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2.xml" ContentType="application/vnd.ms-excel.controlproperties+xml"/>
  <Override PartName="/xl/ctrlProps/ctrlProp13.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6.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7.xml" ContentType="application/vnd.openxmlformats-officedocument.drawing+xml"/>
  <Override PartName="/xl/charts/chart10.xml" ContentType="application/vnd.openxmlformats-officedocument.drawingml.chart+xml"/>
  <Override PartName="/xl/charts/chart11.xml" ContentType="application/vnd.openxmlformats-officedocument.drawingml.chart+xml"/>
  <Override PartName="/xl/drawings/drawing8.xml" ContentType="application/vnd.openxmlformats-officedocument.drawing+xml"/>
  <Override PartName="/xl/ctrlProps/ctrlProp14.xml" ContentType="application/vnd.ms-excel.controlproperties+xml"/>
  <Override PartName="/xl/drawings/drawing9.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10.xml" ContentType="application/vnd.openxmlformats-officedocument.drawing+xml"/>
  <Override PartName="/xl/ctrlProps/ctrlProp21.xml" ContentType="application/vnd.ms-excel.controlproperties+xml"/>
  <Override PartName="/xl/ctrlProps/ctrlProp2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41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Users/davidchang/Downloads/"/>
    </mc:Choice>
  </mc:AlternateContent>
  <xr:revisionPtr revIDLastSave="0" documentId="8_{42032794-C00D-CE4F-80CF-94D257967441}" xr6:coauthVersionLast="32" xr6:coauthVersionMax="32" xr10:uidLastSave="{00000000-0000-0000-0000-000000000000}"/>
  <bookViews>
    <workbookView xWindow="14440" yWindow="0" windowWidth="14360" windowHeight="18000" tabRatio="803" activeTab="3" xr2:uid="{00000000-000D-0000-FFFF-FFFF00000000}"/>
  </bookViews>
  <sheets>
    <sheet name="Introduction" sheetId="41" r:id="rId1"/>
    <sheet name="Pricing - Basic" sheetId="47" r:id="rId2"/>
    <sheet name="Rep Schedule - Basic" sheetId="48" r:id="rId3"/>
    <sheet name="Pricing - Advanced" sheetId="30" r:id="rId4"/>
    <sheet name="Rep Schedule - Advanced" sheetId="29" r:id="rId5"/>
    <sheet name="IRR Flow" sheetId="45" r:id="rId6"/>
    <sheet name="Model Repay Schedule" sheetId="50" r:id="rId7"/>
    <sheet name="Quick Cost Curve Calculator" sheetId="51" r:id="rId8"/>
    <sheet name="Cost Structure Data" sheetId="31" r:id="rId9"/>
    <sheet name="Graphs" sheetId="40" r:id="rId10"/>
    <sheet name="MFI Breakeven Point" sheetId="36" r:id="rId11"/>
    <sheet name="Bangladesh Wk Loan" sheetId="46" r:id="rId12"/>
    <sheet name="Client Cost HIDE" sheetId="49" state="hidden" r:id="rId13"/>
    <sheet name="Translations" sheetId="43" r:id="rId14"/>
    <sheet name="References" sheetId="44" state="hidden" r:id="rId15"/>
  </sheets>
  <functionGroups builtInGroupCount="19"/>
  <definedNames>
    <definedName name="AfterHide">'Pricing - Advanced'!$E$6</definedName>
    <definedName name="all_cols" localSheetId="11">'Bangladesh Wk Loan'!$G$12:$N$12</definedName>
    <definedName name="all_cols" localSheetId="4">'Rep Schedule - Advanced'!$H$5:$AC$5</definedName>
    <definedName name="all_cols" localSheetId="2">'Rep Schedule - Basic'!$C$5:$P$5</definedName>
    <definedName name="Amort">'Pricing - Advanced'!$E$107</definedName>
    <definedName name="amortized" localSheetId="11">'Pricing - Advanced'!$E$107</definedName>
    <definedName name="amortized" localSheetId="12">'Client Cost HIDE'!$A$160</definedName>
    <definedName name="amortized" localSheetId="3">'Pricing - Advanced'!$E$107</definedName>
    <definedName name="amortized" localSheetId="4">'Pricing - Advanced'!$E$107</definedName>
    <definedName name="amortized" localSheetId="2">'Client Cost HIDE'!$A$160</definedName>
    <definedName name="auto_first" localSheetId="4">'Rep Schedule - Advanced'!$G$256</definedName>
    <definedName name="auto_first" localSheetId="2">'Rep Schedule - Basic'!$C$177</definedName>
    <definedName name="auto_last" localSheetId="2">'Rep Schedule - Basic'!#REF!</definedName>
    <definedName name="auto_width" localSheetId="11">'Bangladesh Wk Loan'!$F$178:$N$178</definedName>
    <definedName name="auto_width" localSheetId="4">'Rep Schedule - Advanced'!$G$256:$AC$256</definedName>
    <definedName name="auto_width" localSheetId="2">'Rep Schedule - Basic'!$C$177:$P$177</definedName>
    <definedName name="AutoWidthRange" localSheetId="11">'Bangladesh Wk Loan'!$G$14:$N$134</definedName>
    <definedName name="AutoWidthRange" localSheetId="4">'Rep Schedule - Advanced'!$H$6:$AC$189</definedName>
    <definedName name="AutoWidthRange" localSheetId="2">'Rep Schedule - Basic'!$C$6:$P$127</definedName>
    <definedName name="autozoom" localSheetId="3">'Pricing - Advanced'!$A$1:$S$29</definedName>
    <definedName name="autozoom" localSheetId="1">'Pricing - Basic'!$A$1:$S$31</definedName>
    <definedName name="BetaVersion">References!$D$13</definedName>
    <definedName name="CapGrace">'Pricing - Advanced'!$E$7</definedName>
    <definedName name="ClientCost">'Client Cost HIDE'!$S$1</definedName>
    <definedName name="ConfigureSheets">Introduction!$F$14:$F$20</definedName>
    <definedName name="cost_1" localSheetId="12">'Client Cost HIDE'!$B$12</definedName>
    <definedName name="cost_1">'Pricing - Advanced'!$E$4</definedName>
    <definedName name="cost_10">'Client Cost HIDE'!$A$26:$E$26</definedName>
    <definedName name="cost_11" localSheetId="12">'Client Cost HIDE'!$B$27</definedName>
    <definedName name="cost_11">'Pricing - Advanced'!$F$102</definedName>
    <definedName name="cost_12" localSheetId="12">'Client Cost HIDE'!$B$29</definedName>
    <definedName name="cost_13" localSheetId="12">'Client Cost HIDE'!$B$30</definedName>
    <definedName name="cost_13">'Pricing - Advanced'!$F$143</definedName>
    <definedName name="cost_14" localSheetId="12">'Client Cost HIDE'!$B$31</definedName>
    <definedName name="cost_14">'Pricing - Advanced'!$F$144</definedName>
    <definedName name="cost_15">'Client Cost HIDE'!$B$32</definedName>
    <definedName name="cost_16" localSheetId="12">'Client Cost HIDE'!$B$38</definedName>
    <definedName name="cost_16">'Pricing - Advanced'!$F$148</definedName>
    <definedName name="cost_17" localSheetId="12">'Client Cost HIDE'!$B$39</definedName>
    <definedName name="cost_17">'Pricing - Advanced'!$F$149</definedName>
    <definedName name="cost_18" localSheetId="12">'Client Cost HIDE'!$B$40</definedName>
    <definedName name="cost_18">'Pricing - Advanced'!$F$150</definedName>
    <definedName name="cost_19">'Client Cost HIDE'!$D$48</definedName>
    <definedName name="cost_2">'Client Cost HIDE'!$A$13:$D$13</definedName>
    <definedName name="cost_20">'Client Cost HIDE'!$F$48</definedName>
    <definedName name="cost_21">'Client Cost HIDE'!$D$49</definedName>
    <definedName name="cost_22">'Client Cost HIDE'!$D$53</definedName>
    <definedName name="cost_23">'Client Cost HIDE'!$D$55:$D$59</definedName>
    <definedName name="cost_24">'Client Cost HIDE'!$F$55:$F$59</definedName>
    <definedName name="cost_25">'Client Cost HIDE'!$D$61</definedName>
    <definedName name="cost_3">'Client Cost HIDE'!$A$17:$E$17</definedName>
    <definedName name="cost_4">'Client Cost HIDE'!$A$18:$E$18</definedName>
    <definedName name="cost_40">'Pricing - Advanced'!$O$19</definedName>
    <definedName name="cost_41">'Pricing - Advanced'!$O$20</definedName>
    <definedName name="cost_5">'Client Cost HIDE'!$A$19:$E$19</definedName>
    <definedName name="cost_6" localSheetId="12">'Client Cost HIDE'!$B$20</definedName>
    <definedName name="cost_6">'Rep Schedule - Advanced'!$AG$233</definedName>
    <definedName name="cost_7" localSheetId="12">'Client Cost HIDE'!$B$21</definedName>
    <definedName name="cost_7">'Rep Schedule - Advanced'!$AH$233</definedName>
    <definedName name="cost_8" localSheetId="12">'Client Cost HIDE'!$B$22</definedName>
    <definedName name="cost_8">'Rep Schedule - Advanced'!$AI$233</definedName>
    <definedName name="cost_9" localSheetId="12">'Client Cost HIDE'!$B$25</definedName>
    <definedName name="cost_9">'Quick Cost Curve Calculator'!$B$3:$K$5</definedName>
    <definedName name="Cost1">'Cost Structure Data'!$E$7:$S$8</definedName>
    <definedName name="Cost10">'Pricing - Advanced'!$R$19</definedName>
    <definedName name="Cost2">'Cost Structure Data'!$D$9</definedName>
    <definedName name="Cost3">'Cost Structure Data'!$E$16:$S$16</definedName>
    <definedName name="Cost4">'Cost Structure Data'!$E$20:$S$20</definedName>
    <definedName name="Cost5">'Cost Structure Data'!$E$23:$S$28</definedName>
    <definedName name="Cost6">'Cost Structure Data'!$E$36:$S$42</definedName>
    <definedName name="Cost7">'Pricing - Basic'!$C$4</definedName>
    <definedName name="Cost8">'Pricing - Basic'!$C$16:$C$19</definedName>
    <definedName name="Cost9">'Pricing - Advanced'!#REF!</definedName>
    <definedName name="CurrSymbol">References!$E$37</definedName>
    <definedName name="DaysPeriod" localSheetId="11">'Bangladesh Wk Loan'!$Z$2</definedName>
    <definedName name="DaysPeriod">'Rep Schedule - Advanced'!$CS$2</definedName>
    <definedName name="DaysYr">'Pricing - Advanced'!$N$110</definedName>
    <definedName name="DebugVBA">References!$D$22</definedName>
    <definedName name="DevMode">References!$D$18</definedName>
    <definedName name="DevOk">References!$D$19</definedName>
    <definedName name="DevShowCols">References!$D$21</definedName>
    <definedName name="DevShowRows">References!$D$20</definedName>
    <definedName name="DiscountType">'Rep Schedule - Advanced'!$CR$1</definedName>
    <definedName name="EU_APR">'Rep Schedule - Advanced'!$CJ$3</definedName>
    <definedName name="EU_APR1">'Rep Schedule - Advanced'!$DF$2</definedName>
    <definedName name="EU_APR2">'Rep Schedule - Advanced'!$DK$2</definedName>
    <definedName name="EU_APR3">'Rep Schedule - Advanced'!$DP$2</definedName>
    <definedName name="ExactDays">'Pricing - Advanced'!$E$126</definedName>
    <definedName name="ExcelBuild">References!$D$16</definedName>
    <definedName name="ExcelVersion">References!$D$15</definedName>
    <definedName name="FeeOngoFix">'Pricing - Advanced'!$F$15</definedName>
    <definedName name="FeeOngoPerc">'Pricing - Advanced'!$F$14</definedName>
    <definedName name="fins_18">#REF!,#REF!,#REF!</definedName>
    <definedName name="fins_19">#REF!,#REF!,#REF!</definedName>
    <definedName name="FirstPmt">'Rep Schedule - Advanced'!$AG$227</definedName>
    <definedName name="FullTerm">'Rep Schedule - Advanced'!$AG$230</definedName>
    <definedName name="GraphHideRows">'Pricing - Advanced'!$AD$26:$AD$88</definedName>
    <definedName name="hide_cols" localSheetId="11">'Bangladesh Wk Loan'!$C$180:$O$180</definedName>
    <definedName name="hide_cols">'Rep Schedule - Advanced'!$B$258:$AD$258</definedName>
    <definedName name="hide_rows" localSheetId="12">'Client Cost HIDE'!$A$83</definedName>
    <definedName name="hide_rows" localSheetId="4">'Rep Schedule - Advanced'!$AP$1</definedName>
    <definedName name="hide_rows" localSheetId="2">'Rep Schedule - Basic'!$D$1</definedName>
    <definedName name="HideRows" localSheetId="11">'Bangladesh Wk Loan'!$AB$14:$AB$134</definedName>
    <definedName name="HideRows" localSheetId="12">'Rep Schedule - Basic'!$W$6:$W$126</definedName>
    <definedName name="HideRows" localSheetId="2">'Rep Schedule - Basic'!$W$6:$W$126</definedName>
    <definedName name="HideRows">'Rep Schedule - Advanced'!$AN$6:$AN$214</definedName>
    <definedName name="HideSchedRows">'Model Repay Schedule'!$X$15:$X$198</definedName>
    <definedName name="HolGrace">'Bangladesh Wk Loan'!$AB$8</definedName>
    <definedName name="Holidays">'Bangladesh Wk Loan'!$P$14:$P$90</definedName>
    <definedName name="indexing" localSheetId="11">'Pricing - Advanced'!$F$102</definedName>
    <definedName name="indexing" localSheetId="12">'Client Cost HIDE'!$B$27</definedName>
    <definedName name="indexing" localSheetId="4">'Pricing - Advanced'!$F$102</definedName>
    <definedName name="indexing" localSheetId="2">'Client Cost HIDE'!$B$27</definedName>
    <definedName name="InitBalCalcs">#REF!,#REF!,#REF!,#REF!,#REF!</definedName>
    <definedName name="inst_13">#REF!,#REF!</definedName>
    <definedName name="inst_15">#REF!,#REF!</definedName>
    <definedName name="inst_23">#REF!,#REF!</definedName>
    <definedName name="inst_period">'Client Cost HIDE'!$C$14:$C$20</definedName>
    <definedName name="int_method" localSheetId="11">'Pricing - Advanced'!$E$130</definedName>
    <definedName name="int_method" localSheetId="12">'Client Cost HIDE'!$A$157</definedName>
    <definedName name="int_method" localSheetId="4">'Pricing - Advanced'!$E$130</definedName>
    <definedName name="int_method" localSheetId="2">'Client Cost HIDE'!$A$157</definedName>
    <definedName name="int_method">'Pricing - Advanced'!$E$130</definedName>
    <definedName name="IntCalcMon">'Pricing - Advanced'!$G$7</definedName>
    <definedName name="IntPmt">'Pricing - Advanced'!$E$104</definedName>
    <definedName name="IntPmtMon">'Pricing - Advanced'!$F$7</definedName>
    <definedName name="IrregularSched">'Rep Schedule - Advanced'!$G$227</definedName>
    <definedName name="LangCode">References!$D$7</definedName>
    <definedName name="LangText">Translations!$D$3:$J$441</definedName>
    <definedName name="LblOk">References!$D$9</definedName>
    <definedName name="LOAN_AMT" localSheetId="12">'Client Cost HIDE'!$D$2</definedName>
    <definedName name="LOAN_AMT" localSheetId="2">'Client Cost HIDE'!$D$2</definedName>
    <definedName name="LoanAmt" localSheetId="11">'Bangladesh Wk Loan'!$F$172</definedName>
    <definedName name="LoanAmt">'Rep Schedule - Advanced'!$G$250</definedName>
    <definedName name="LoanTerm" localSheetId="12">'Pricing - Basic'!$C$5:$D$6</definedName>
    <definedName name="LoanTerm" localSheetId="1">'Pricing - Basic'!$C$5:$D$6</definedName>
    <definedName name="LoanTerm" localSheetId="2">'Pricing - Basic'!$C$5:$D$6</definedName>
    <definedName name="LoanTerm">'Pricing - Advanced'!$E$5:$G$6</definedName>
    <definedName name="MacrosEnab">References!$D$23</definedName>
    <definedName name="ManualDates">'Rep Schedule - Advanced'!$C$258</definedName>
    <definedName name="ManualMode">References!$D$8</definedName>
    <definedName name="modset_10">#REF!,#REF!</definedName>
    <definedName name="modset_11">#REF!,#REF!</definedName>
    <definedName name="modset_12">#REF!,#REF!</definedName>
    <definedName name="modset_13">#REF!,#REF!</definedName>
    <definedName name="modset_14">#REF!,#REF!</definedName>
    <definedName name="modset_15">#REF!,#REF!,#REF!</definedName>
    <definedName name="modset_16">#REF!,#REF!</definedName>
    <definedName name="modset_17">#REF!,#REF!,#REF!</definedName>
    <definedName name="modset_18">#REF!,#REF!,#REF!</definedName>
    <definedName name="modset_19">#REF!,#REF!,#REF!</definedName>
    <definedName name="modset_20">#REF!,#REF!,#REF!</definedName>
    <definedName name="modset_21">#REF!,#REF!</definedName>
    <definedName name="modset_38">#REF!,#REF!</definedName>
    <definedName name="modset_39">#REF!,#REF!</definedName>
    <definedName name="modset_40">#REF!,#REF!</definedName>
    <definedName name="modset_43">#REF!,#REF!</definedName>
    <definedName name="modset_49">#REF!,#REF!</definedName>
    <definedName name="modset_50">#REF!,#REF!</definedName>
    <definedName name="NetDiff">'Rep Schedule - Advanced'!$CJ$4</definedName>
    <definedName name="NetDiff1">'Rep Schedule - Advanced'!$DF$4</definedName>
    <definedName name="NetDiff2">'Rep Schedule - Advanced'!$DK$4</definedName>
    <definedName name="NetDiff3">'Rep Schedule - Advanced'!$DP$4</definedName>
    <definedName name="OpSystem">References!$D$14</definedName>
    <definedName name="PaymentAmt">'Bangladesh Wk Loan'!$D$6</definedName>
    <definedName name="PeriodsYr">'Pricing - Advanced'!$K$7</definedName>
    <definedName name="PrepayPeriod">'Rep Schedule - Advanced'!$AG$228</definedName>
    <definedName name="print_all" localSheetId="11">'Bangladesh Wk Loan'!$B$14:$N$134</definedName>
    <definedName name="print_all" localSheetId="12">'Client Cost HIDE'!$A$1:$J$79</definedName>
    <definedName name="print_all" localSheetId="4">'Rep Schedule - Advanced'!$B$6:$AC$189</definedName>
    <definedName name="print_all" localSheetId="2">'Rep Schedule - Basic'!$B$6:$P$127</definedName>
    <definedName name="_xlnm.Print_Area" localSheetId="11">'Bangladesh Wk Loan'!$B$14:$N$134</definedName>
    <definedName name="_xlnm.Print_Area" localSheetId="12">'Client Cost HIDE'!$A$1:$J$81</definedName>
    <definedName name="_xlnm.Print_Area" localSheetId="4">'Rep Schedule - Advanced'!$B$6:$AC$189</definedName>
    <definedName name="_xlnm.Print_Area" localSheetId="2">'Rep Schedule - Basic'!$B$6:$P$127</definedName>
    <definedName name="_xlnm.Print_Titles" localSheetId="11">'Bangladesh Wk Loan'!$11:$12</definedName>
    <definedName name="_xlnm.Print_Titles" localSheetId="4">'Rep Schedule - Advanced'!$4:$5</definedName>
    <definedName name="_xlnm.Print_Titles" localSheetId="2">'Rep Schedule - Basic'!$4:$5</definedName>
    <definedName name="prods_10">#REF!,#REF!,#REF!,#REF!</definedName>
    <definedName name="prods_11">#REF!,#REF!,#REF!,#REF!</definedName>
    <definedName name="prods_12">#REF!,#REF!,#REF!,#REF!</definedName>
    <definedName name="prods_13">#REF!,#REF!,#REF!,#REF!</definedName>
    <definedName name="prods_20">#REF!,#REF!,#REF!,#REF!,#REF!</definedName>
    <definedName name="prods_23">#REF!,#REF!,#REF!,#REF!</definedName>
    <definedName name="prods_26">#REF!,#REF!,#REF!,#REF!</definedName>
    <definedName name="prods_3">#REF!,#REF!,#REF!,#REF!</definedName>
    <definedName name="prods_4">#REF!,#REF!,#REF!,#REF!</definedName>
    <definedName name="prods_5">#REF!,#REF!,#REF!,#REF!</definedName>
    <definedName name="prods_6">#REF!,#REF!,#REF!,#REF!</definedName>
    <definedName name="prods_7">#REF!,#REF!,#REF!,#REF!</definedName>
    <definedName name="prods_8">#REF!,#REF!,#REF!,#REF!</definedName>
    <definedName name="prods_9">#REF!,#REF!,#REF!,#REF!</definedName>
    <definedName name="prog_1">#REF!,#REF!,#REF!,#REF!</definedName>
    <definedName name="prog_10">#REF!,#REF!,#REF!,#REF!</definedName>
    <definedName name="prog_11">#REF!,#REF!,#REF!,#REF!</definedName>
    <definedName name="prog_12">#REF!,#REF!,#REF!,#REF!</definedName>
    <definedName name="prog_13">#REF!,#REF!,#REF!,#REF!</definedName>
    <definedName name="prog_14">#REF!,#REF!,#REF!,#REF!</definedName>
    <definedName name="prog_15">#REF!,#REF!,#REF!,#REF!,#REF!</definedName>
    <definedName name="prog_16">#REF!,#REF!,#REF!,#REF!</definedName>
    <definedName name="prog_17">#REF!,#REF!,#REF!,#REF!</definedName>
    <definedName name="prog_18">#REF!,#REF!,#REF!,#REF!</definedName>
    <definedName name="prog_19">#REF!,#REF!,#REF!,#REF!</definedName>
    <definedName name="prog_2">#REF!,#REF!,#REF!,#REF!</definedName>
    <definedName name="prog_34">#REF!,#REF!,#REF!,#REF!,#REF!,#REF!,#REF!,#REF!,#REF!,#REF!,#REF!,#REF!,#REF!,#REF!,#REF!,#REF!,#REF!,#REF!,#REF!</definedName>
    <definedName name="prog_35">#REF!,#REF!,#REF!</definedName>
    <definedName name="prog_4">#REF!,#REF!,#REF!,#REF!</definedName>
    <definedName name="prog_41">#REF!,#REF!,#REF!,#REF!</definedName>
    <definedName name="prog_45">#REF!,#REF!,#REF!,#REF!</definedName>
    <definedName name="prog_5">#REF!,#REF!,#REF!,#REF!</definedName>
    <definedName name="prog_54">#REF!,#REF!,#REF!,#REF!</definedName>
    <definedName name="prog_66">#REF!,#REF!,#REF!,#REF!</definedName>
    <definedName name="prog_7">#REF!,#REF!,#REF!,#REF!</definedName>
    <definedName name="prog_8">#REF!,#REF!,#REF!,#REF!</definedName>
    <definedName name="prog_9">#REF!,#REF!,#REF!,#REF!,#REF!</definedName>
    <definedName name="repsched" localSheetId="11">'Bangladesh Wk Loan'!$A$2</definedName>
    <definedName name="repsched" localSheetId="12">'Rep Schedule - Basic'!$A$2</definedName>
    <definedName name="repsched" localSheetId="2">'Rep Schedule - Basic'!$A$2</definedName>
    <definedName name="repsched">'Rep Schedule - Advanced'!$A$1</definedName>
    <definedName name="reten_1">#REF!,#REF!</definedName>
    <definedName name="reten_2">#REF!,#REF!</definedName>
    <definedName name="reten_3">#REF!,#REF!</definedName>
    <definedName name="reten_4">#REF!,#REF!</definedName>
    <definedName name="SameDay">'Pricing - Advanced'!$N$121</definedName>
    <definedName name="SchedTop">'Model Repay Schedule'!$A$1</definedName>
    <definedName name="SeedIRR" localSheetId="12">'Pricing - Basic'!$C$41</definedName>
    <definedName name="SeedIRR" localSheetId="1">'Pricing - Basic'!$C$41</definedName>
    <definedName name="SeedIRR" localSheetId="2">'Pricing - Basic'!$C$41</definedName>
    <definedName name="SeedIRR">'Pricing - Advanced'!$Z$10</definedName>
    <definedName name="sheet_id" localSheetId="11">'Bangladesh Wk Loan'!$B$1</definedName>
    <definedName name="sheet_id" localSheetId="12">'Client Cost HIDE'!$R$1</definedName>
    <definedName name="sheet_id" localSheetId="4">'Rep Schedule - Advanced'!#REF!</definedName>
    <definedName name="sheet_id" localSheetId="2">'Rep Schedule - Basic'!$B$1</definedName>
    <definedName name="ShowAdvanced">Introduction!$F$15</definedName>
    <definedName name="ShowBasic">Introduction!$F$14</definedName>
    <definedName name="ShowBdesh">Introduction!$F$20</definedName>
    <definedName name="ShowCostStruc">Introduction!$F$18</definedName>
    <definedName name="ShowEIR">'Pricing - Advanced'!$AA$1</definedName>
    <definedName name="ShowIRRFlow">Introduction!$F$16</definedName>
    <definedName name="ShowModelSched">Introduction!$F$17</definedName>
    <definedName name="ShowQuickCurve">Introduction!$F$19</definedName>
    <definedName name="term" localSheetId="12">'Client Cost HIDE'!$B$14</definedName>
    <definedName name="term" localSheetId="1">'Client Cost HIDE'!$B$14</definedName>
    <definedName name="term" localSheetId="2">'Client Cost HIDE'!$B$14</definedName>
    <definedName name="term">'Pricing - Advanced'!$E$5</definedName>
    <definedName name="TermMonths">'Pricing - Advanced'!$J$125</definedName>
    <definedName name="TestLabel">'Pricing - Advanced'!$D$13</definedName>
    <definedName name="top" localSheetId="11">'Bangladesh Wk Loan'!$A$1</definedName>
    <definedName name="top" localSheetId="12">'Client Cost HIDE'!$A$8</definedName>
    <definedName name="top" localSheetId="4">'Rep Schedule - Advanced'!#REF!</definedName>
    <definedName name="top" localSheetId="2">'Rep Schedule - Basic'!$A$1</definedName>
    <definedName name="TopLeft">'Rep Schedule - Advanced'!$G$6</definedName>
    <definedName name="TranHidden">Translations!$A$243</definedName>
    <definedName name="TranVisible">Translations!$A$244</definedName>
    <definedName name="UseManualCalcs">'Rep Schedule - Advanced'!$CT$1</definedName>
    <definedName name="UserDate">'Rep Schedule - Advanced'!$C$7:$D$188</definedName>
    <definedName name="UserFees">'Rep Schedule - Advanced'!$O$6:$O$188</definedName>
    <definedName name="UserIns">'Rep Schedule - Advanced'!$S$6:$S$188</definedName>
    <definedName name="UserInt">'Rep Schedule - Advanced'!$L$6:$L$188</definedName>
    <definedName name="UserPrin">'Rep Schedule - Advanced'!$I$6:$I$188</definedName>
    <definedName name="UserSec">'Rep Schedule - Advanced'!$AA$6:$AA$188</definedName>
    <definedName name="UserTax">'Rep Schedule - Advanced'!$V$6:$V$188</definedName>
    <definedName name="UseXIRR">References!$D$25</definedName>
    <definedName name="ZoomCostCl">'Client Cost HIDE'!$A$1:$I$19</definedName>
  </definedNames>
  <calcPr calcId="179017"/>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A17" i="41" l="1"/>
  <c r="A10" i="41"/>
  <c r="B251" i="43"/>
  <c r="A251" i="43" s="1"/>
  <c r="F13" i="41" s="1"/>
  <c r="B250" i="43"/>
  <c r="A250" i="43" s="1"/>
  <c r="B243" i="43"/>
  <c r="A243" i="43" s="1"/>
  <c r="B244" i="43"/>
  <c r="A244" i="43" s="1"/>
  <c r="B248" i="43"/>
  <c r="A248" i="43" s="1"/>
  <c r="B249" i="43"/>
  <c r="A249" i="43" s="1"/>
  <c r="B247" i="43"/>
  <c r="A247" i="43"/>
  <c r="G17" i="41" s="1"/>
  <c r="B246" i="43"/>
  <c r="A246" i="43" s="1"/>
  <c r="G16" i="41" s="1"/>
  <c r="B245" i="43"/>
  <c r="A245" i="43" s="1"/>
  <c r="B242" i="43"/>
  <c r="A242" i="43" s="1"/>
  <c r="B241" i="43"/>
  <c r="A241" i="43" s="1"/>
  <c r="D20" i="41" s="1"/>
  <c r="B26" i="43"/>
  <c r="A26" i="43" s="1"/>
  <c r="B18" i="43"/>
  <c r="A18" i="43" s="1"/>
  <c r="G117" i="30" s="1"/>
  <c r="F121" i="30" s="1"/>
  <c r="B15" i="43"/>
  <c r="A15" i="43" s="1"/>
  <c r="G113" i="30" s="1"/>
  <c r="E38" i="44"/>
  <c r="G103" i="43" s="1"/>
  <c r="J121" i="30"/>
  <c r="O121" i="30"/>
  <c r="K7" i="30"/>
  <c r="M196" i="29" s="1"/>
  <c r="AC196" i="29" s="1"/>
  <c r="N121" i="30"/>
  <c r="K121" i="30"/>
  <c r="CS2" i="29" s="1"/>
  <c r="CR3" i="29" s="1"/>
  <c r="E6" i="29"/>
  <c r="AS6" i="29"/>
  <c r="C258" i="29"/>
  <c r="AG230" i="29"/>
  <c r="Z27" i="29" s="1"/>
  <c r="AG233" i="29"/>
  <c r="AG226" i="29" s="1"/>
  <c r="G250" i="29"/>
  <c r="G6" i="29" s="1"/>
  <c r="J6" i="29"/>
  <c r="AI233" i="29"/>
  <c r="AH233" i="29"/>
  <c r="AH227" i="29" s="1"/>
  <c r="AN8" i="29"/>
  <c r="I127" i="30"/>
  <c r="I128" i="30" s="1"/>
  <c r="AN9" i="29"/>
  <c r="AN10" i="29"/>
  <c r="AN11" i="29"/>
  <c r="AN12" i="29"/>
  <c r="AN13" i="29"/>
  <c r="AN14" i="29"/>
  <c r="AN15" i="29"/>
  <c r="AN16" i="29"/>
  <c r="AN17" i="29"/>
  <c r="AN18" i="29"/>
  <c r="AN19" i="29"/>
  <c r="J19" i="29" s="1"/>
  <c r="AQ20" i="29" s="1"/>
  <c r="AN20" i="29"/>
  <c r="J20" i="29" s="1"/>
  <c r="AN21" i="29"/>
  <c r="Z21" i="29"/>
  <c r="L30" i="50" s="1"/>
  <c r="AN22" i="29"/>
  <c r="M22" i="29" s="1"/>
  <c r="AN23" i="29"/>
  <c r="M23" i="29" s="1"/>
  <c r="AN24" i="29"/>
  <c r="M24" i="29" s="1"/>
  <c r="J24" i="29"/>
  <c r="R24" i="29" s="1"/>
  <c r="I44" i="30" s="1"/>
  <c r="AN25" i="29"/>
  <c r="AN26" i="29"/>
  <c r="M26" i="29" s="1"/>
  <c r="J26" i="29"/>
  <c r="AN27" i="29"/>
  <c r="M27" i="29" s="1"/>
  <c r="AN28" i="29"/>
  <c r="M28" i="29" s="1"/>
  <c r="J28" i="29"/>
  <c r="AF28" i="29" s="1"/>
  <c r="AN29" i="29"/>
  <c r="AN30" i="29"/>
  <c r="M30" i="29" s="1"/>
  <c r="AN31" i="29"/>
  <c r="M31" i="29" s="1"/>
  <c r="AN32" i="29"/>
  <c r="M32" i="29" s="1"/>
  <c r="AN33" i="29"/>
  <c r="M33" i="29" s="1"/>
  <c r="J33" i="29"/>
  <c r="R33" i="29" s="1"/>
  <c r="Z33" i="29"/>
  <c r="L42" i="50" s="1"/>
  <c r="AN34" i="29"/>
  <c r="M34" i="29" s="1"/>
  <c r="AN35" i="29"/>
  <c r="M35" i="29" s="1"/>
  <c r="AN36" i="29"/>
  <c r="M36" i="29" s="1"/>
  <c r="AN37" i="29"/>
  <c r="AN38" i="29"/>
  <c r="M38" i="29" s="1"/>
  <c r="AN39" i="29"/>
  <c r="M39" i="29" s="1"/>
  <c r="Z39" i="29"/>
  <c r="AN40" i="29"/>
  <c r="M40" i="29" s="1"/>
  <c r="AN41" i="29"/>
  <c r="M41" i="29" s="1"/>
  <c r="Z41" i="29"/>
  <c r="L50" i="50" s="1"/>
  <c r="AN42" i="29"/>
  <c r="M42" i="29" s="1"/>
  <c r="AN43" i="29"/>
  <c r="M43" i="29" s="1"/>
  <c r="AN44" i="29"/>
  <c r="M44" i="29" s="1"/>
  <c r="J44" i="29"/>
  <c r="R44" i="29" s="1"/>
  <c r="AN45" i="29"/>
  <c r="AN46" i="29"/>
  <c r="M46" i="29" s="1"/>
  <c r="Z46" i="29"/>
  <c r="AN47" i="29"/>
  <c r="M47" i="29" s="1"/>
  <c r="AN48" i="29"/>
  <c r="M48" i="29" s="1"/>
  <c r="J48" i="29"/>
  <c r="R48" i="29" s="1"/>
  <c r="H57" i="50" s="1"/>
  <c r="AN49" i="29"/>
  <c r="M49" i="29" s="1"/>
  <c r="J49" i="29"/>
  <c r="R49" i="29" s="1"/>
  <c r="AN50" i="29"/>
  <c r="M50" i="29" s="1"/>
  <c r="Z50" i="29"/>
  <c r="AN51" i="29"/>
  <c r="AN52" i="29"/>
  <c r="M52" i="29" s="1"/>
  <c r="J52" i="29"/>
  <c r="R52" i="29" s="1"/>
  <c r="AN53" i="29"/>
  <c r="M53" i="29" s="1"/>
  <c r="AN54" i="29"/>
  <c r="M54" i="29" s="1"/>
  <c r="Z54" i="29"/>
  <c r="AN55" i="29"/>
  <c r="AN56" i="29"/>
  <c r="M56" i="29" s="1"/>
  <c r="J56" i="29"/>
  <c r="R56" i="29" s="1"/>
  <c r="AN57" i="29"/>
  <c r="M57" i="29" s="1"/>
  <c r="J57" i="29"/>
  <c r="R57" i="29" s="1"/>
  <c r="I77" i="30" s="1"/>
  <c r="AN58" i="29"/>
  <c r="M58" i="29" s="1"/>
  <c r="AN59" i="29"/>
  <c r="M59" i="29" s="1"/>
  <c r="AN60" i="29"/>
  <c r="M60" i="29" s="1"/>
  <c r="Z60" i="29"/>
  <c r="AX60" i="29" s="1"/>
  <c r="AN61" i="29"/>
  <c r="AN62" i="29"/>
  <c r="M62" i="29" s="1"/>
  <c r="AN63" i="29"/>
  <c r="M63" i="29" s="1"/>
  <c r="AN64" i="29"/>
  <c r="AN65" i="29"/>
  <c r="J65" i="29" s="1"/>
  <c r="AF65" i="29" s="1"/>
  <c r="AN66" i="29"/>
  <c r="J66" i="29" s="1"/>
  <c r="Z66" i="29"/>
  <c r="AX66" i="29" s="1"/>
  <c r="AN67" i="29"/>
  <c r="J67" i="29" s="1"/>
  <c r="AF67" i="29" s="1"/>
  <c r="AN68" i="29"/>
  <c r="J68" i="29" s="1"/>
  <c r="AF68" i="29" s="1"/>
  <c r="Z68" i="29"/>
  <c r="AN69" i="29"/>
  <c r="J69" i="29" s="1"/>
  <c r="AQ70" i="29" s="1"/>
  <c r="AN70" i="29"/>
  <c r="J70" i="29" s="1"/>
  <c r="AN71" i="29"/>
  <c r="M71" i="29" s="1"/>
  <c r="Z71" i="29"/>
  <c r="AX71" i="29" s="1"/>
  <c r="AN72" i="29"/>
  <c r="M72" i="29" s="1"/>
  <c r="AN73" i="29"/>
  <c r="M73" i="29" s="1"/>
  <c r="Z73" i="29"/>
  <c r="AX73" i="29" s="1"/>
  <c r="AN74" i="29"/>
  <c r="AN75" i="29"/>
  <c r="M75" i="29" s="1"/>
  <c r="AN76" i="29"/>
  <c r="AN77" i="29"/>
  <c r="M77" i="29" s="1"/>
  <c r="AN78" i="29"/>
  <c r="AN79" i="29"/>
  <c r="M79" i="29" s="1"/>
  <c r="Z79" i="29"/>
  <c r="AN80" i="29"/>
  <c r="M80" i="29" s="1"/>
  <c r="AN81" i="29"/>
  <c r="M81" i="29" s="1"/>
  <c r="Z81" i="29"/>
  <c r="L90" i="50" s="1"/>
  <c r="AN82" i="29"/>
  <c r="M82" i="29" s="1"/>
  <c r="AN83" i="29"/>
  <c r="M83" i="29" s="1"/>
  <c r="AN84" i="29"/>
  <c r="M84" i="29" s="1"/>
  <c r="AN85" i="29"/>
  <c r="M85" i="29" s="1"/>
  <c r="AN86" i="29"/>
  <c r="M86" i="29" s="1"/>
  <c r="AN87" i="29"/>
  <c r="M87" i="29" s="1"/>
  <c r="Z87" i="29"/>
  <c r="AX87" i="29" s="1"/>
  <c r="AN88" i="29"/>
  <c r="M88" i="29" s="1"/>
  <c r="AN89" i="29"/>
  <c r="M89" i="29" s="1"/>
  <c r="Z89" i="29"/>
  <c r="AN90" i="29"/>
  <c r="M90" i="29" s="1"/>
  <c r="AN91" i="29"/>
  <c r="M91" i="29" s="1"/>
  <c r="AN92" i="29"/>
  <c r="M92" i="29" s="1"/>
  <c r="AN93" i="29"/>
  <c r="M93" i="29" s="1"/>
  <c r="AN94" i="29"/>
  <c r="M94" i="29" s="1"/>
  <c r="J94" i="29"/>
  <c r="R94" i="29" s="1"/>
  <c r="H103" i="50" s="1"/>
  <c r="Z94" i="29"/>
  <c r="AN95" i="29"/>
  <c r="M95" i="29" s="1"/>
  <c r="AN96" i="29"/>
  <c r="M96" i="29" s="1"/>
  <c r="Z96" i="29"/>
  <c r="AX96" i="29" s="1"/>
  <c r="AN97" i="29"/>
  <c r="M97" i="29" s="1"/>
  <c r="AN98" i="29"/>
  <c r="J98" i="29" s="1"/>
  <c r="R98" i="29" s="1"/>
  <c r="H107" i="50" s="1"/>
  <c r="M98" i="29"/>
  <c r="AN99" i="29"/>
  <c r="M99" i="29" s="1"/>
  <c r="Z99" i="29"/>
  <c r="AN100" i="29"/>
  <c r="M100" i="29" s="1"/>
  <c r="AN101" i="29"/>
  <c r="M101" i="29" s="1"/>
  <c r="Z101" i="29"/>
  <c r="L110" i="50" s="1"/>
  <c r="AN102" i="29"/>
  <c r="M102" i="29" s="1"/>
  <c r="AN103" i="29"/>
  <c r="AN104" i="29"/>
  <c r="M104" i="29" s="1"/>
  <c r="J104" i="29"/>
  <c r="AN105" i="29"/>
  <c r="AN106" i="29"/>
  <c r="M106" i="29" s="1"/>
  <c r="AN107" i="29"/>
  <c r="AN108" i="29"/>
  <c r="M108" i="29" s="1"/>
  <c r="AN109" i="29"/>
  <c r="Z109" i="29"/>
  <c r="AN110" i="29"/>
  <c r="M110" i="29" s="1"/>
  <c r="AN111" i="29"/>
  <c r="Z111" i="29"/>
  <c r="AN112" i="29"/>
  <c r="M112" i="29" s="1"/>
  <c r="AN113" i="29"/>
  <c r="AN114" i="29"/>
  <c r="M114" i="29" s="1"/>
  <c r="AN115" i="29"/>
  <c r="M115" i="29" s="1"/>
  <c r="AN116" i="29"/>
  <c r="J116" i="29" s="1"/>
  <c r="AN117" i="29"/>
  <c r="J117" i="29" s="1"/>
  <c r="M117" i="29"/>
  <c r="AN118" i="29"/>
  <c r="M118" i="29" s="1"/>
  <c r="Z118" i="29"/>
  <c r="AN119" i="29"/>
  <c r="AN120" i="29"/>
  <c r="M120" i="29" s="1"/>
  <c r="AN121" i="29"/>
  <c r="M121" i="29" s="1"/>
  <c r="AN122" i="29"/>
  <c r="M122" i="29" s="1"/>
  <c r="AN123" i="29"/>
  <c r="M123" i="29" s="1"/>
  <c r="AN124" i="29"/>
  <c r="M124" i="29" s="1"/>
  <c r="Z124" i="29"/>
  <c r="AN125" i="29"/>
  <c r="M125" i="29" s="1"/>
  <c r="AN126" i="29"/>
  <c r="M126" i="29" s="1"/>
  <c r="Z126" i="29"/>
  <c r="L135" i="50" s="1"/>
  <c r="AN127" i="29"/>
  <c r="M127" i="29" s="1"/>
  <c r="AN128" i="29"/>
  <c r="AN129" i="29"/>
  <c r="M129" i="29" s="1"/>
  <c r="J129" i="29"/>
  <c r="AN130" i="29"/>
  <c r="M130" i="29" s="1"/>
  <c r="Z130" i="29"/>
  <c r="AN131" i="29"/>
  <c r="M131" i="29" s="1"/>
  <c r="Z131" i="29"/>
  <c r="AX131" i="29" s="1"/>
  <c r="AN132" i="29"/>
  <c r="M132" i="29" s="1"/>
  <c r="Z132" i="29"/>
  <c r="AX132" i="29" s="1"/>
  <c r="AN133" i="29"/>
  <c r="J133" i="29" s="1"/>
  <c r="Q134" i="29" s="1"/>
  <c r="AN134" i="29"/>
  <c r="J134" i="29" s="1"/>
  <c r="AN135" i="29"/>
  <c r="J135" i="29" s="1"/>
  <c r="AN136" i="29"/>
  <c r="M136" i="29" s="1"/>
  <c r="AN137" i="29"/>
  <c r="M137" i="29" s="1"/>
  <c r="Z137" i="29"/>
  <c r="AN138" i="29"/>
  <c r="AN139" i="29"/>
  <c r="M139" i="29" s="1"/>
  <c r="AN140" i="29"/>
  <c r="M140" i="29" s="1"/>
  <c r="AN141" i="29"/>
  <c r="AN142" i="29"/>
  <c r="M142" i="29" s="1"/>
  <c r="AN143" i="29"/>
  <c r="M143" i="29" s="1"/>
  <c r="Z143" i="29"/>
  <c r="AX143" i="29" s="1"/>
  <c r="AN144" i="29"/>
  <c r="M144" i="29" s="1"/>
  <c r="AN145" i="29"/>
  <c r="J145" i="29" s="1"/>
  <c r="AN146" i="29"/>
  <c r="M146" i="29" s="1"/>
  <c r="AN147" i="29"/>
  <c r="AN148" i="29"/>
  <c r="M148" i="29" s="1"/>
  <c r="J148" i="29"/>
  <c r="R148" i="29" s="1"/>
  <c r="H157" i="50" s="1"/>
  <c r="Z148" i="29"/>
  <c r="AN149" i="29"/>
  <c r="J149" i="29" s="1"/>
  <c r="Z149" i="29"/>
  <c r="AN150" i="29"/>
  <c r="M150" i="29" s="1"/>
  <c r="AN151" i="29"/>
  <c r="M151" i="29" s="1"/>
  <c r="Z151" i="29"/>
  <c r="AN152" i="29"/>
  <c r="M152" i="29" s="1"/>
  <c r="AN153" i="29"/>
  <c r="Z153" i="29"/>
  <c r="AN154" i="29"/>
  <c r="AN155" i="29"/>
  <c r="J155" i="29" s="1"/>
  <c r="AN156" i="29"/>
  <c r="J156" i="29" s="1"/>
  <c r="Z156" i="29"/>
  <c r="AN157" i="29"/>
  <c r="AN158" i="29"/>
  <c r="J158" i="29" s="1"/>
  <c r="M158" i="29"/>
  <c r="AN159" i="29"/>
  <c r="M159" i="29" s="1"/>
  <c r="AN160" i="29"/>
  <c r="AN161" i="29"/>
  <c r="J161" i="29" s="1"/>
  <c r="K162" i="29" s="1"/>
  <c r="F171" i="50" s="1"/>
  <c r="M161" i="29"/>
  <c r="AN162" i="29"/>
  <c r="J162" i="29" s="1"/>
  <c r="AN163" i="29"/>
  <c r="J163" i="29" s="1"/>
  <c r="AQ164" i="29" s="1"/>
  <c r="AN164" i="29"/>
  <c r="AN165" i="29"/>
  <c r="M165" i="29" s="1"/>
  <c r="Z165" i="29"/>
  <c r="AN166" i="29"/>
  <c r="M166" i="29" s="1"/>
  <c r="AN167" i="29"/>
  <c r="M167" i="29" s="1"/>
  <c r="Z167" i="29"/>
  <c r="AN168" i="29"/>
  <c r="M168" i="29" s="1"/>
  <c r="AN169" i="29"/>
  <c r="Z169" i="29"/>
  <c r="L178" i="50" s="1"/>
  <c r="AN170" i="29"/>
  <c r="AN171" i="29"/>
  <c r="J171" i="29" s="1"/>
  <c r="AN172" i="29"/>
  <c r="J172" i="29" s="1"/>
  <c r="Z172" i="29"/>
  <c r="L181" i="50" s="1"/>
  <c r="AN173" i="29"/>
  <c r="J173" i="29" s="1"/>
  <c r="AN174" i="29"/>
  <c r="J174" i="29" s="1"/>
  <c r="Z174" i="29"/>
  <c r="AN175" i="29"/>
  <c r="AN176" i="29"/>
  <c r="J176" i="29" s="1"/>
  <c r="AN177" i="29"/>
  <c r="J177" i="29" s="1"/>
  <c r="AN178" i="29"/>
  <c r="M178" i="29" s="1"/>
  <c r="AN179" i="29"/>
  <c r="J179" i="29" s="1"/>
  <c r="Q180" i="29" s="1"/>
  <c r="AN180" i="29"/>
  <c r="J180" i="29" s="1"/>
  <c r="Z180" i="29"/>
  <c r="L189" i="50" s="1"/>
  <c r="AN181" i="29"/>
  <c r="J181" i="29" s="1"/>
  <c r="AN182" i="29"/>
  <c r="J182" i="29" s="1"/>
  <c r="Q183" i="29" s="1"/>
  <c r="Z182" i="29"/>
  <c r="AN183" i="29"/>
  <c r="J183" i="29" s="1"/>
  <c r="AN184" i="29"/>
  <c r="J184" i="29" s="1"/>
  <c r="M184" i="29"/>
  <c r="Z184" i="29"/>
  <c r="AN185" i="29"/>
  <c r="J185" i="29" s="1"/>
  <c r="AN186" i="29"/>
  <c r="J186" i="29" s="1"/>
  <c r="AF186" i="29" s="1"/>
  <c r="AN187" i="29"/>
  <c r="J187" i="29" s="1"/>
  <c r="AN188" i="29"/>
  <c r="J188" i="29" s="1"/>
  <c r="D25" i="44"/>
  <c r="Z10" i="30"/>
  <c r="C189" i="29"/>
  <c r="D189" i="29"/>
  <c r="H112" i="30"/>
  <c r="H117" i="30"/>
  <c r="H121" i="30" s="1"/>
  <c r="K6" i="30" s="1"/>
  <c r="W196" i="29"/>
  <c r="T196" i="29"/>
  <c r="P196" i="29"/>
  <c r="AY6" i="29"/>
  <c r="BH6" i="29" s="1"/>
  <c r="D4" i="45"/>
  <c r="B2" i="45"/>
  <c r="C8" i="41"/>
  <c r="C7" i="41"/>
  <c r="V14" i="30"/>
  <c r="V13" i="30"/>
  <c r="U11" i="30"/>
  <c r="V11" i="30" s="1"/>
  <c r="U10" i="30"/>
  <c r="V10" i="30" s="1"/>
  <c r="V9" i="30"/>
  <c r="V7" i="30"/>
  <c r="V6" i="30"/>
  <c r="V5" i="30"/>
  <c r="U5" i="30"/>
  <c r="U14" i="30"/>
  <c r="U13" i="30"/>
  <c r="U9" i="30"/>
  <c r="U7" i="30"/>
  <c r="U6" i="30"/>
  <c r="V4" i="30"/>
  <c r="W18" i="30"/>
  <c r="W16" i="30"/>
  <c r="W17" i="30"/>
  <c r="K19" i="44"/>
  <c r="E37" i="44"/>
  <c r="D42" i="44"/>
  <c r="C47" i="44"/>
  <c r="D47" i="44"/>
  <c r="C48" i="44"/>
  <c r="D48" i="44"/>
  <c r="C49" i="44"/>
  <c r="D49" i="44"/>
  <c r="B3" i="43"/>
  <c r="A3" i="43" s="1"/>
  <c r="B4" i="43"/>
  <c r="A4" i="43" s="1"/>
  <c r="B3" i="30" s="1"/>
  <c r="B5" i="43"/>
  <c r="A5" i="43" s="1"/>
  <c r="B4" i="30" s="1"/>
  <c r="B6" i="43"/>
  <c r="A6" i="43" s="1"/>
  <c r="B7" i="43"/>
  <c r="A7" i="43" s="1"/>
  <c r="F107" i="30" s="1"/>
  <c r="B8" i="43"/>
  <c r="A8" i="43" s="1"/>
  <c r="B9" i="43"/>
  <c r="A9" i="43" s="1"/>
  <c r="B10" i="43"/>
  <c r="A10" i="43" s="1"/>
  <c r="G4" i="30" s="1"/>
  <c r="B11" i="43"/>
  <c r="A11" i="43" s="1"/>
  <c r="B12" i="43"/>
  <c r="A12" i="43" s="1"/>
  <c r="B13" i="43"/>
  <c r="A13" i="43" s="1"/>
  <c r="B14" i="43"/>
  <c r="A14" i="43" s="1"/>
  <c r="G112" i="30" s="1"/>
  <c r="B16" i="43"/>
  <c r="A16" i="43" s="1"/>
  <c r="G114" i="30" s="1"/>
  <c r="B17" i="43"/>
  <c r="A17" i="43" s="1"/>
  <c r="B19" i="43"/>
  <c r="A19" i="43" s="1"/>
  <c r="B20" i="43"/>
  <c r="A20" i="43" s="1"/>
  <c r="G119" i="30" s="1"/>
  <c r="B21" i="43"/>
  <c r="A21" i="43" s="1"/>
  <c r="B22" i="43"/>
  <c r="A22" i="43"/>
  <c r="E6" i="30" s="1"/>
  <c r="B23" i="43"/>
  <c r="A23" i="43" s="1"/>
  <c r="B24" i="43"/>
  <c r="A24" i="43" s="1"/>
  <c r="B25" i="43"/>
  <c r="A25" i="43" s="1"/>
  <c r="B27" i="43"/>
  <c r="A27" i="43" s="1"/>
  <c r="B28" i="43"/>
  <c r="A28" i="43" s="1"/>
  <c r="B29" i="43"/>
  <c r="A29" i="43" s="1"/>
  <c r="F114" i="30" s="1"/>
  <c r="B30" i="43"/>
  <c r="A30" i="43" s="1"/>
  <c r="B31" i="43"/>
  <c r="A31" i="43" s="1"/>
  <c r="B32" i="43"/>
  <c r="A32" i="43" s="1"/>
  <c r="B33" i="43"/>
  <c r="A33" i="43" s="1"/>
  <c r="B34" i="43"/>
  <c r="A34" i="43" s="1"/>
  <c r="B35" i="43"/>
  <c r="A35" i="43" s="1"/>
  <c r="B36" i="43"/>
  <c r="A36" i="43" s="1"/>
  <c r="B37" i="43"/>
  <c r="A37" i="43"/>
  <c r="B38" i="43"/>
  <c r="A38" i="43" s="1"/>
  <c r="B39" i="43"/>
  <c r="A39" i="43"/>
  <c r="B40" i="43"/>
  <c r="A40" i="43" s="1"/>
  <c r="B41" i="43"/>
  <c r="A41" i="43" s="1"/>
  <c r="B42" i="43"/>
  <c r="A42" i="43" s="1"/>
  <c r="B43" i="43"/>
  <c r="A43" i="43" s="1"/>
  <c r="B44" i="43"/>
  <c r="A44" i="43" s="1"/>
  <c r="B45" i="43"/>
  <c r="A45" i="43" s="1"/>
  <c r="F13" i="30" s="1"/>
  <c r="B46" i="43"/>
  <c r="A46" i="43" s="1"/>
  <c r="B47" i="43"/>
  <c r="A47" i="43"/>
  <c r="B48" i="43"/>
  <c r="A48" i="43" s="1"/>
  <c r="B49" i="43"/>
  <c r="A49" i="43" s="1"/>
  <c r="B50" i="43"/>
  <c r="A50" i="43" s="1"/>
  <c r="B51" i="43"/>
  <c r="A51" i="43" s="1"/>
  <c r="B52" i="43"/>
  <c r="A52" i="43" s="1"/>
  <c r="B53" i="43"/>
  <c r="A53" i="43"/>
  <c r="B54" i="43"/>
  <c r="A54" i="43" s="1"/>
  <c r="B55" i="43"/>
  <c r="A55" i="43" s="1"/>
  <c r="H1" i="29" s="1"/>
  <c r="B56" i="43"/>
  <c r="A56" i="43" s="1"/>
  <c r="F11" i="46" s="1"/>
  <c r="B57" i="43"/>
  <c r="A57" i="43" s="1"/>
  <c r="B58" i="43"/>
  <c r="A58" i="43" s="1"/>
  <c r="B59" i="43"/>
  <c r="A59" i="43" s="1"/>
  <c r="B60" i="43"/>
  <c r="A60" i="43" s="1"/>
  <c r="C12" i="46" s="1"/>
  <c r="B61" i="43"/>
  <c r="A61" i="43" s="1"/>
  <c r="B62" i="43"/>
  <c r="A62" i="43" s="1"/>
  <c r="G12" i="46" s="1"/>
  <c r="B63" i="43"/>
  <c r="A63" i="43"/>
  <c r="B64" i="43"/>
  <c r="A64" i="43" s="1"/>
  <c r="B65" i="43"/>
  <c r="A65" i="43" s="1"/>
  <c r="H12" i="46" s="1"/>
  <c r="B66" i="43"/>
  <c r="A66" i="43" s="1"/>
  <c r="B67" i="43"/>
  <c r="A67" i="43" s="1"/>
  <c r="B68" i="43"/>
  <c r="A68" i="43" s="1"/>
  <c r="B69" i="43"/>
  <c r="A69" i="43" s="1"/>
  <c r="W5" i="29" s="1"/>
  <c r="B70" i="43"/>
  <c r="A70" i="43" s="1"/>
  <c r="K12" i="46" s="1"/>
  <c r="B71" i="43"/>
  <c r="A71" i="43" s="1"/>
  <c r="B72" i="43"/>
  <c r="A72" i="43" s="1"/>
  <c r="L12" i="46" s="1"/>
  <c r="B73" i="43"/>
  <c r="A73" i="43" s="1"/>
  <c r="M12" i="46" s="1"/>
  <c r="B74" i="43"/>
  <c r="A74" i="43" s="1"/>
  <c r="B75" i="43"/>
  <c r="A75" i="43" s="1"/>
  <c r="B76" i="43"/>
  <c r="A76" i="43" s="1"/>
  <c r="B77" i="43"/>
  <c r="A77" i="43" s="1"/>
  <c r="B78" i="43"/>
  <c r="A78" i="43" s="1"/>
  <c r="B79" i="43"/>
  <c r="A79" i="43"/>
  <c r="B80" i="43"/>
  <c r="A80" i="43" s="1"/>
  <c r="G5" i="46" s="1"/>
  <c r="B81" i="43"/>
  <c r="A81" i="43" s="1"/>
  <c r="D16" i="47" s="1"/>
  <c r="B82" i="43"/>
  <c r="A82" i="43" s="1"/>
  <c r="B83" i="43"/>
  <c r="A83" i="43" s="1"/>
  <c r="B84" i="43"/>
  <c r="A84" i="43" s="1"/>
  <c r="B85" i="43"/>
  <c r="A85" i="43" s="1"/>
  <c r="L19" i="30" s="1"/>
  <c r="A16" i="47" s="1"/>
  <c r="B86" i="43"/>
  <c r="A86" i="43" s="1"/>
  <c r="B87" i="43"/>
  <c r="A87" i="43"/>
  <c r="B88" i="43"/>
  <c r="A88" i="43" s="1"/>
  <c r="B89" i="43"/>
  <c r="A89" i="43" s="1"/>
  <c r="B90" i="43"/>
  <c r="A90" i="43" s="1"/>
  <c r="B91" i="43"/>
  <c r="A91" i="43" s="1"/>
  <c r="B92" i="43"/>
  <c r="A92" i="43" s="1"/>
  <c r="B93" i="43"/>
  <c r="A93" i="43" s="1"/>
  <c r="B94" i="43"/>
  <c r="A94" i="43" s="1"/>
  <c r="B95" i="43"/>
  <c r="A95" i="43" s="1"/>
  <c r="B96" i="43"/>
  <c r="A96" i="43" s="1"/>
  <c r="B97" i="43"/>
  <c r="A97" i="43" s="1"/>
  <c r="B98" i="43"/>
  <c r="A98" i="43" s="1"/>
  <c r="B99" i="43"/>
  <c r="A99" i="43" s="1"/>
  <c r="B100" i="43"/>
  <c r="A100" i="43" s="1"/>
  <c r="B101" i="43"/>
  <c r="A101" i="43"/>
  <c r="B102" i="43"/>
  <c r="A102" i="43" s="1"/>
  <c r="B103" i="43"/>
  <c r="A103" i="43" s="1"/>
  <c r="D103" i="43"/>
  <c r="E103" i="43"/>
  <c r="F103" i="43"/>
  <c r="K103" i="43"/>
  <c r="B104" i="43"/>
  <c r="A104" i="43" s="1"/>
  <c r="B105" i="43"/>
  <c r="A105" i="43" s="1"/>
  <c r="B106" i="43"/>
  <c r="A106" i="43" s="1"/>
  <c r="B107" i="43"/>
  <c r="A107" i="43"/>
  <c r="B108" i="43"/>
  <c r="A108" i="43" s="1"/>
  <c r="B109" i="43"/>
  <c r="A109" i="43" s="1"/>
  <c r="B110" i="43"/>
  <c r="A110" i="43" s="1"/>
  <c r="D18" i="41" s="1"/>
  <c r="B111" i="43"/>
  <c r="A111" i="43" s="1"/>
  <c r="B112" i="43"/>
  <c r="A112" i="43" s="1"/>
  <c r="B113" i="43"/>
  <c r="A113" i="43" s="1"/>
  <c r="B6" i="41" s="1"/>
  <c r="B114" i="43"/>
  <c r="A114" i="43" s="1"/>
  <c r="B115" i="43"/>
  <c r="A115" i="43" s="1"/>
  <c r="D8" i="41" s="1"/>
  <c r="B116" i="43"/>
  <c r="A116" i="43" s="1"/>
  <c r="B117" i="43"/>
  <c r="A117" i="43"/>
  <c r="F2" i="29" s="1"/>
  <c r="B118" i="43"/>
  <c r="A118" i="43" s="1"/>
  <c r="C5" i="31" s="1"/>
  <c r="B119" i="43"/>
  <c r="A119" i="43" s="1"/>
  <c r="C7" i="31" s="1"/>
  <c r="B120" i="43"/>
  <c r="A120" i="43" s="1"/>
  <c r="C8" i="31" s="1"/>
  <c r="B121" i="43"/>
  <c r="A121" i="43" s="1"/>
  <c r="B122" i="43"/>
  <c r="A122" i="43" s="1"/>
  <c r="B123" i="43"/>
  <c r="A123" i="43" s="1"/>
  <c r="C11" i="31" s="1"/>
  <c r="B124" i="43"/>
  <c r="A124" i="43" s="1"/>
  <c r="C12" i="31" s="1"/>
  <c r="B125" i="43"/>
  <c r="A125" i="43" s="1"/>
  <c r="C14" i="31" s="1"/>
  <c r="B126" i="43"/>
  <c r="A126" i="43" s="1"/>
  <c r="C15" i="31" s="1"/>
  <c r="B127" i="43"/>
  <c r="A127" i="43"/>
  <c r="B128" i="43"/>
  <c r="A128" i="43" s="1"/>
  <c r="C18" i="31" s="1"/>
  <c r="B129" i="43"/>
  <c r="A129" i="43" s="1"/>
  <c r="B130" i="43"/>
  <c r="A130" i="43" s="1"/>
  <c r="C20" i="31" s="1"/>
  <c r="B131" i="43"/>
  <c r="A131" i="43" s="1"/>
  <c r="C22" i="31" s="1"/>
  <c r="B132" i="43"/>
  <c r="A132" i="43" s="1"/>
  <c r="C23" i="31" s="1"/>
  <c r="B133" i="43"/>
  <c r="A133" i="43"/>
  <c r="C24" i="31" s="1"/>
  <c r="B134" i="43"/>
  <c r="A134" i="43" s="1"/>
  <c r="C25" i="31" s="1"/>
  <c r="B135" i="43"/>
  <c r="A135" i="43"/>
  <c r="B136" i="43"/>
  <c r="A136" i="43" s="1"/>
  <c r="C27" i="31" s="1"/>
  <c r="B137" i="43"/>
  <c r="A137" i="43" s="1"/>
  <c r="B138" i="43"/>
  <c r="A138" i="43" s="1"/>
  <c r="C29" i="31" s="1"/>
  <c r="B139" i="43"/>
  <c r="A139" i="43"/>
  <c r="C31" i="31" s="1"/>
  <c r="B140" i="43"/>
  <c r="A140" i="43" s="1"/>
  <c r="B141" i="43"/>
  <c r="A141" i="43" s="1"/>
  <c r="O6" i="31" s="1"/>
  <c r="B142" i="43"/>
  <c r="A142" i="43" s="1"/>
  <c r="D7" i="31" s="1"/>
  <c r="B143" i="43"/>
  <c r="A143" i="43" s="1"/>
  <c r="B2" i="36" s="1"/>
  <c r="B144" i="43"/>
  <c r="A144" i="43" s="1"/>
  <c r="B145" i="43"/>
  <c r="A145" i="43" s="1"/>
  <c r="C4" i="36" s="1"/>
  <c r="B146" i="43"/>
  <c r="A146" i="43" s="1"/>
  <c r="B147" i="43"/>
  <c r="A147" i="43" s="1"/>
  <c r="B5" i="36" s="1"/>
  <c r="B148" i="43"/>
  <c r="A148" i="43" s="1"/>
  <c r="B6" i="36" s="1"/>
  <c r="B149" i="43"/>
  <c r="A149" i="43" s="1"/>
  <c r="B8" i="36" s="1"/>
  <c r="B150" i="43"/>
  <c r="A150" i="43" s="1"/>
  <c r="B151" i="43"/>
  <c r="A151" i="43"/>
  <c r="B152" i="43"/>
  <c r="A152" i="43" s="1"/>
  <c r="L112" i="30" s="1"/>
  <c r="B153" i="43"/>
  <c r="A153" i="43" s="1"/>
  <c r="B154" i="43"/>
  <c r="A154" i="43" s="1"/>
  <c r="B155" i="43"/>
  <c r="A155" i="43" s="1"/>
  <c r="B156" i="43"/>
  <c r="A156" i="43" s="1"/>
  <c r="B157" i="43"/>
  <c r="A157" i="43"/>
  <c r="L118" i="30" s="1"/>
  <c r="B158" i="43"/>
  <c r="A158" i="43" s="1"/>
  <c r="L119" i="30" s="1"/>
  <c r="B159" i="43"/>
  <c r="A159" i="43" s="1"/>
  <c r="B160" i="43"/>
  <c r="A160" i="43" s="1"/>
  <c r="B11" i="30" s="1"/>
  <c r="B161" i="43"/>
  <c r="A161" i="43" s="1"/>
  <c r="B162" i="43"/>
  <c r="A162" i="43" s="1"/>
  <c r="L5" i="29" s="1"/>
  <c r="I5" i="29" s="1"/>
  <c r="B163" i="43"/>
  <c r="A163" i="43"/>
  <c r="C2" i="46" s="1"/>
  <c r="B164" i="43"/>
  <c r="A164" i="43" s="1"/>
  <c r="B165" i="43"/>
  <c r="A165" i="43" s="1"/>
  <c r="B166" i="43"/>
  <c r="A166" i="43" s="1"/>
  <c r="B167" i="43"/>
  <c r="A167" i="43" s="1"/>
  <c r="B168" i="43"/>
  <c r="A168" i="43" s="1"/>
  <c r="B169" i="43"/>
  <c r="A169" i="43"/>
  <c r="B170" i="43"/>
  <c r="A170" i="43" s="1"/>
  <c r="B209" i="29" s="1"/>
  <c r="B171" i="43"/>
  <c r="A171" i="43" s="1"/>
  <c r="B202" i="29" s="1"/>
  <c r="B172" i="43"/>
  <c r="A172" i="43" s="1"/>
  <c r="U5" i="29" s="1"/>
  <c r="B173" i="43"/>
  <c r="A173" i="43"/>
  <c r="G115" i="30" s="1"/>
  <c r="B174" i="43"/>
  <c r="A174" i="43" s="1"/>
  <c r="B175" i="43"/>
  <c r="A175" i="43" s="1"/>
  <c r="B4" i="29" s="1"/>
  <c r="B176" i="43"/>
  <c r="A176" i="43" s="1"/>
  <c r="F3" i="29" s="1"/>
  <c r="B177" i="43"/>
  <c r="A177" i="43" s="1"/>
  <c r="B178" i="43"/>
  <c r="A178" i="43" s="1"/>
  <c r="B179" i="43"/>
  <c r="A179" i="43"/>
  <c r="D5" i="29" s="1"/>
  <c r="B180" i="43"/>
  <c r="A180" i="43" s="1"/>
  <c r="B1" i="47" s="1"/>
  <c r="B181" i="43"/>
  <c r="A181" i="43" s="1"/>
  <c r="B182" i="43"/>
  <c r="A182" i="43" s="1"/>
  <c r="B8" i="47" s="1"/>
  <c r="B183" i="43"/>
  <c r="A183" i="43" s="1"/>
  <c r="B9" i="47" s="1"/>
  <c r="B184" i="43"/>
  <c r="A184" i="43" s="1"/>
  <c r="B10" i="47" s="1"/>
  <c r="B185" i="43"/>
  <c r="A185" i="43"/>
  <c r="B186" i="43"/>
  <c r="A186" i="43" s="1"/>
  <c r="B187" i="43"/>
  <c r="A187" i="43" s="1"/>
  <c r="B20" i="47" s="1"/>
  <c r="B188" i="43"/>
  <c r="A188" i="43" s="1"/>
  <c r="B23" i="47" s="1"/>
  <c r="B189" i="43"/>
  <c r="A189" i="43"/>
  <c r="B25" i="47" s="1"/>
  <c r="B190" i="43"/>
  <c r="A190" i="43" s="1"/>
  <c r="B30" i="47" s="1"/>
  <c r="B191" i="43"/>
  <c r="A191" i="43" s="1"/>
  <c r="B31" i="47" s="1"/>
  <c r="B192" i="43"/>
  <c r="A192" i="43" s="1"/>
  <c r="B193" i="43"/>
  <c r="A193" i="43" s="1"/>
  <c r="B194" i="43"/>
  <c r="A194" i="43" s="1"/>
  <c r="B195" i="43"/>
  <c r="A195" i="43"/>
  <c r="H6" i="30" s="1"/>
  <c r="B196" i="43"/>
  <c r="A196" i="43" s="1"/>
  <c r="P18" i="30" s="1"/>
  <c r="B197" i="43"/>
  <c r="A197" i="43" s="1"/>
  <c r="Q5" i="29" s="1"/>
  <c r="R24" i="30" s="1"/>
  <c r="B198" i="43"/>
  <c r="A198" i="43" s="1"/>
  <c r="B199" i="43"/>
  <c r="A199" i="43" s="1"/>
  <c r="B16" i="30" s="1"/>
  <c r="B200" i="43"/>
  <c r="A200" i="43" s="1"/>
  <c r="B201" i="43"/>
  <c r="A201" i="43"/>
  <c r="R5" i="29" s="1"/>
  <c r="I24" i="30" s="1"/>
  <c r="B202" i="43"/>
  <c r="A202" i="43" s="1"/>
  <c r="T5" i="29" s="1"/>
  <c r="B203" i="43"/>
  <c r="A203" i="43" s="1"/>
  <c r="B204" i="43"/>
  <c r="A204" i="43" s="1"/>
  <c r="K4" i="29" s="1"/>
  <c r="B205" i="43"/>
  <c r="A205" i="43"/>
  <c r="B206" i="43"/>
  <c r="A206" i="43" s="1"/>
  <c r="R4" i="29" s="1"/>
  <c r="B207" i="43"/>
  <c r="A207" i="43" s="1"/>
  <c r="U4" i="29" s="1"/>
  <c r="B208" i="43"/>
  <c r="A208" i="43" s="1"/>
  <c r="B209" i="43"/>
  <c r="A209" i="43" s="1"/>
  <c r="B210" i="43"/>
  <c r="A210" i="43" s="1"/>
  <c r="B211" i="43"/>
  <c r="A211" i="43" s="1"/>
  <c r="G196" i="29" s="1"/>
  <c r="G199" i="29" s="1"/>
  <c r="B212" i="43"/>
  <c r="A212" i="43" s="1"/>
  <c r="G197" i="29" s="1"/>
  <c r="B213" i="43"/>
  <c r="A213" i="43"/>
  <c r="G198" i="29" s="1"/>
  <c r="B214" i="43"/>
  <c r="A214" i="43" s="1"/>
  <c r="B215" i="43"/>
  <c r="D215" i="43"/>
  <c r="B216" i="43"/>
  <c r="A216" i="43" s="1"/>
  <c r="B217" i="43"/>
  <c r="D217" i="43"/>
  <c r="E217" i="43"/>
  <c r="F217" i="43"/>
  <c r="B218" i="43"/>
  <c r="A218" i="43" s="1"/>
  <c r="B213" i="29" s="1"/>
  <c r="B219" i="43"/>
  <c r="A219" i="43" s="1"/>
  <c r="B220" i="43"/>
  <c r="A220" i="43" s="1"/>
  <c r="G209" i="29" s="1"/>
  <c r="B221" i="43"/>
  <c r="A221" i="43" s="1"/>
  <c r="B222" i="43"/>
  <c r="A222" i="43" s="1"/>
  <c r="J6" i="30" s="1"/>
  <c r="B223" i="43"/>
  <c r="A223" i="43"/>
  <c r="I9" i="30" s="1"/>
  <c r="B224" i="43"/>
  <c r="A224" i="43" s="1"/>
  <c r="B225" i="43"/>
  <c r="A225" i="43"/>
  <c r="B212" i="29" s="1"/>
  <c r="B226" i="43"/>
  <c r="A226" i="43" s="1"/>
  <c r="G206" i="29" s="1"/>
  <c r="B227" i="43"/>
  <c r="A227" i="43" s="1"/>
  <c r="B208" i="29" s="1"/>
  <c r="B228" i="43"/>
  <c r="A228" i="43"/>
  <c r="G208" i="29" s="1"/>
  <c r="B229" i="43"/>
  <c r="A229" i="43" s="1"/>
  <c r="B211" i="29" s="1"/>
  <c r="B230" i="43"/>
  <c r="A230" i="43"/>
  <c r="G211" i="29" s="1"/>
  <c r="B231" i="43"/>
  <c r="A231" i="43" s="1"/>
  <c r="K3" i="30" s="1"/>
  <c r="B232" i="43"/>
  <c r="A232" i="43" s="1"/>
  <c r="C2" i="40" s="1"/>
  <c r="B233" i="43"/>
  <c r="A233" i="43" s="1"/>
  <c r="B234" i="43"/>
  <c r="A234" i="43"/>
  <c r="C7" i="40" s="1"/>
  <c r="B235" i="43"/>
  <c r="A235" i="43" s="1"/>
  <c r="C9" i="40" s="1"/>
  <c r="B236" i="43"/>
  <c r="A236" i="43"/>
  <c r="C11" i="40" s="1"/>
  <c r="B237" i="43"/>
  <c r="A237" i="43" s="1"/>
  <c r="C13" i="40" s="1"/>
  <c r="B238" i="43"/>
  <c r="A238" i="43" s="1"/>
  <c r="B9" i="36" s="1"/>
  <c r="B239" i="43"/>
  <c r="A239" i="43" s="1"/>
  <c r="B7" i="36" s="1"/>
  <c r="B240" i="43"/>
  <c r="A240" i="43" s="1"/>
  <c r="B252" i="43"/>
  <c r="A252" i="43" s="1"/>
  <c r="B253" i="43"/>
  <c r="A253" i="43"/>
  <c r="B254" i="43"/>
  <c r="A254" i="43" s="1"/>
  <c r="B255" i="43"/>
  <c r="A255" i="43"/>
  <c r="B256" i="43"/>
  <c r="A256" i="43" s="1"/>
  <c r="B257" i="43"/>
  <c r="A257" i="43"/>
  <c r="B258" i="43"/>
  <c r="A258" i="43" s="1"/>
  <c r="B259" i="43"/>
  <c r="A259" i="43" s="1"/>
  <c r="B260" i="43"/>
  <c r="A260" i="43" s="1"/>
  <c r="B261" i="43"/>
  <c r="A261" i="43" s="1"/>
  <c r="B262" i="43"/>
  <c r="A262" i="43" s="1"/>
  <c r="B263" i="43"/>
  <c r="A263" i="43"/>
  <c r="B264" i="43"/>
  <c r="A264" i="43" s="1"/>
  <c r="D6" i="49"/>
  <c r="E6" i="49"/>
  <c r="D7" i="49"/>
  <c r="C7" i="49"/>
  <c r="E7" i="49"/>
  <c r="B12" i="49"/>
  <c r="B14" i="49"/>
  <c r="A164" i="49"/>
  <c r="B25" i="49"/>
  <c r="F25" i="49"/>
  <c r="A157" i="49"/>
  <c r="B28" i="49"/>
  <c r="B30" i="49"/>
  <c r="C30" i="49"/>
  <c r="C31" i="49"/>
  <c r="C32" i="49"/>
  <c r="B38" i="49"/>
  <c r="C38" i="49" s="1"/>
  <c r="D38" i="49"/>
  <c r="C39" i="49"/>
  <c r="B40" i="49"/>
  <c r="F49" i="49"/>
  <c r="D50" i="49"/>
  <c r="F50" i="49"/>
  <c r="D52" i="49"/>
  <c r="F52" i="49"/>
  <c r="F54" i="49" s="1"/>
  <c r="F60" i="49" s="1"/>
  <c r="F53" i="49"/>
  <c r="D54" i="49"/>
  <c r="D60" i="49"/>
  <c r="D62" i="49" s="1"/>
  <c r="D64" i="49" s="1"/>
  <c r="F61" i="49"/>
  <c r="F62" i="49"/>
  <c r="F64" i="49" s="1"/>
  <c r="A83" i="49"/>
  <c r="D151" i="49"/>
  <c r="D152" i="49"/>
  <c r="E152" i="49"/>
  <c r="G4" i="46"/>
  <c r="J5" i="46"/>
  <c r="N5" i="46"/>
  <c r="D7" i="46"/>
  <c r="C14" i="46"/>
  <c r="C15" i="46"/>
  <c r="P15" i="46"/>
  <c r="P16" i="46" s="1"/>
  <c r="P17" i="46" s="1"/>
  <c r="P18" i="46" s="1"/>
  <c r="P19" i="46"/>
  <c r="P20" i="46" s="1"/>
  <c r="P21" i="46" s="1"/>
  <c r="P22" i="46" s="1"/>
  <c r="P23" i="46" s="1"/>
  <c r="P24" i="46" s="1"/>
  <c r="P25" i="46" s="1"/>
  <c r="P26" i="46" s="1"/>
  <c r="P27" i="46"/>
  <c r="P28" i="46" s="1"/>
  <c r="P29" i="46" s="1"/>
  <c r="P30" i="46" s="1"/>
  <c r="P31" i="46" s="1"/>
  <c r="P32" i="46" s="1"/>
  <c r="P33" i="46" s="1"/>
  <c r="P34" i="46" s="1"/>
  <c r="P35" i="46" s="1"/>
  <c r="P36" i="46" s="1"/>
  <c r="P37" i="46" s="1"/>
  <c r="P38" i="46" s="1"/>
  <c r="P39" i="46" s="1"/>
  <c r="P40" i="46" s="1"/>
  <c r="P41" i="46" s="1"/>
  <c r="P42" i="46" s="1"/>
  <c r="P43" i="46" s="1"/>
  <c r="P44" i="46" s="1"/>
  <c r="P45" i="46" s="1"/>
  <c r="P46" i="46" s="1"/>
  <c r="P47" i="46" s="1"/>
  <c r="P48" i="46" s="1"/>
  <c r="P49" i="46" s="1"/>
  <c r="P50" i="46" s="1"/>
  <c r="P51" i="46" s="1"/>
  <c r="P52" i="46" s="1"/>
  <c r="P53" i="46" s="1"/>
  <c r="P54" i="46" s="1"/>
  <c r="E11" i="46"/>
  <c r="K11" i="46"/>
  <c r="B12" i="46"/>
  <c r="J12" i="46"/>
  <c r="F14" i="46"/>
  <c r="F13" i="46"/>
  <c r="H14" i="46"/>
  <c r="I14" i="46"/>
  <c r="I13" i="46"/>
  <c r="K13" i="46"/>
  <c r="L13" i="46"/>
  <c r="J14" i="46"/>
  <c r="M14" i="46"/>
  <c r="AB16" i="46"/>
  <c r="AB17" i="46"/>
  <c r="AB18" i="46"/>
  <c r="AB19" i="46"/>
  <c r="AB20" i="46"/>
  <c r="AB21" i="46"/>
  <c r="AB22" i="46"/>
  <c r="AB23" i="46"/>
  <c r="AB24" i="46"/>
  <c r="AB25" i="46"/>
  <c r="AB26" i="46"/>
  <c r="AB27" i="46"/>
  <c r="AB28" i="46"/>
  <c r="AB29" i="46"/>
  <c r="AB30" i="46"/>
  <c r="AB31" i="46"/>
  <c r="AB32" i="46"/>
  <c r="AB33" i="46"/>
  <c r="AB34" i="46"/>
  <c r="AB35" i="46"/>
  <c r="AB36" i="46"/>
  <c r="AB37" i="46"/>
  <c r="AB38" i="46"/>
  <c r="AB39" i="46"/>
  <c r="AB40" i="46"/>
  <c r="AB41" i="46"/>
  <c r="AB42" i="46"/>
  <c r="AB43" i="46"/>
  <c r="AB44" i="46"/>
  <c r="AB45" i="46"/>
  <c r="AB46" i="46"/>
  <c r="AB47" i="46"/>
  <c r="AB48" i="46"/>
  <c r="AB49" i="46"/>
  <c r="AB50" i="46"/>
  <c r="AB51" i="46"/>
  <c r="AB52" i="46"/>
  <c r="AB53" i="46"/>
  <c r="AB54" i="46"/>
  <c r="AB55" i="46"/>
  <c r="AB56" i="46"/>
  <c r="AB57" i="46"/>
  <c r="AB58" i="46"/>
  <c r="AB59" i="46"/>
  <c r="AB60" i="46"/>
  <c r="AB61" i="46"/>
  <c r="AB62" i="46"/>
  <c r="AB63" i="46"/>
  <c r="AB64" i="46"/>
  <c r="AB65" i="46"/>
  <c r="AB66" i="46"/>
  <c r="AB67" i="46"/>
  <c r="AB68" i="46"/>
  <c r="AB69" i="46"/>
  <c r="AB70" i="46"/>
  <c r="AB71" i="46"/>
  <c r="AB72" i="46"/>
  <c r="AB73" i="46"/>
  <c r="AB74" i="46"/>
  <c r="AB75" i="46"/>
  <c r="AB76" i="46"/>
  <c r="AB77" i="46"/>
  <c r="AB78" i="46"/>
  <c r="AB79" i="46"/>
  <c r="AB80" i="46"/>
  <c r="AB81" i="46"/>
  <c r="AB82" i="46"/>
  <c r="AB83" i="46"/>
  <c r="AB84" i="46"/>
  <c r="AB85" i="46"/>
  <c r="AB86" i="46"/>
  <c r="AB87" i="46"/>
  <c r="AB88" i="46"/>
  <c r="AB89" i="46"/>
  <c r="AB90" i="46"/>
  <c r="AB91" i="46"/>
  <c r="AB92" i="46"/>
  <c r="AB93" i="46"/>
  <c r="AB94" i="46"/>
  <c r="AB95" i="46"/>
  <c r="AB96" i="46"/>
  <c r="AB97" i="46"/>
  <c r="AB98" i="46"/>
  <c r="AB99" i="46"/>
  <c r="AB100" i="46"/>
  <c r="AB101" i="46"/>
  <c r="AB102" i="46"/>
  <c r="AB103" i="46"/>
  <c r="AB104" i="46"/>
  <c r="AB105" i="46"/>
  <c r="AB106" i="46"/>
  <c r="AB107" i="46"/>
  <c r="AB108" i="46"/>
  <c r="AB109" i="46"/>
  <c r="AB110" i="46"/>
  <c r="AB111" i="46"/>
  <c r="AB112" i="46"/>
  <c r="AB113" i="46"/>
  <c r="AB114" i="46"/>
  <c r="AB115" i="46"/>
  <c r="AB116" i="46"/>
  <c r="AB117" i="46"/>
  <c r="AB118" i="46"/>
  <c r="AB119" i="46"/>
  <c r="AB120" i="46"/>
  <c r="AB121" i="46"/>
  <c r="AB122" i="46"/>
  <c r="AB123" i="46"/>
  <c r="AB124" i="46"/>
  <c r="AB125" i="46"/>
  <c r="AB126" i="46"/>
  <c r="AB127" i="46"/>
  <c r="AB128" i="46"/>
  <c r="AB129" i="46"/>
  <c r="AB130" i="46"/>
  <c r="AB131" i="46"/>
  <c r="AB132" i="46"/>
  <c r="AB133" i="46"/>
  <c r="AB134" i="46"/>
  <c r="F172" i="46"/>
  <c r="F178" i="46"/>
  <c r="I178" i="46"/>
  <c r="K178" i="46"/>
  <c r="L178" i="46"/>
  <c r="O180" i="46"/>
  <c r="I2" i="36"/>
  <c r="M4" i="36"/>
  <c r="C5" i="36"/>
  <c r="D5" i="36"/>
  <c r="E5" i="36"/>
  <c r="F5" i="36"/>
  <c r="G5" i="36"/>
  <c r="H5" i="36"/>
  <c r="I5" i="36"/>
  <c r="J5" i="36"/>
  <c r="K5" i="36"/>
  <c r="L5" i="36"/>
  <c r="M5" i="36"/>
  <c r="N5" i="36"/>
  <c r="O5" i="36"/>
  <c r="P5" i="36"/>
  <c r="Q5" i="36"/>
  <c r="E8" i="31"/>
  <c r="E12" i="31"/>
  <c r="E24" i="31"/>
  <c r="E27" i="31" s="1"/>
  <c r="E41" i="31" s="1"/>
  <c r="E26" i="31"/>
  <c r="F8" i="31"/>
  <c r="F16" i="31"/>
  <c r="F39" i="31" s="1"/>
  <c r="F20" i="31"/>
  <c r="F40" i="31" s="1"/>
  <c r="F33" i="31" s="1"/>
  <c r="F12" i="31"/>
  <c r="F24" i="31" s="1"/>
  <c r="F27" i="31" s="1"/>
  <c r="F41" i="31" s="1"/>
  <c r="F34" i="31" s="1"/>
  <c r="F26" i="31"/>
  <c r="G8" i="31"/>
  <c r="G12" i="31"/>
  <c r="G24" i="31"/>
  <c r="G27" i="31" s="1"/>
  <c r="G41" i="31" s="1"/>
  <c r="G26" i="31"/>
  <c r="H8" i="31"/>
  <c r="H16" i="31"/>
  <c r="H39" i="31" s="1"/>
  <c r="H20" i="31"/>
  <c r="H40" i="31" s="1"/>
  <c r="H33" i="31" s="1"/>
  <c r="H12" i="31"/>
  <c r="H24" i="31" s="1"/>
  <c r="H27" i="31" s="1"/>
  <c r="H41" i="31" s="1"/>
  <c r="H34" i="31" s="1"/>
  <c r="H26" i="31"/>
  <c r="I8" i="31"/>
  <c r="I12" i="31"/>
  <c r="I24" i="31"/>
  <c r="I27" i="31" s="1"/>
  <c r="I41" i="31" s="1"/>
  <c r="I26" i="31"/>
  <c r="J8" i="31"/>
  <c r="J16" i="31"/>
  <c r="J39" i="31" s="1"/>
  <c r="J20" i="31"/>
  <c r="J40" i="31" s="1"/>
  <c r="J33" i="31" s="1"/>
  <c r="J12" i="31"/>
  <c r="J24" i="31" s="1"/>
  <c r="J27" i="31" s="1"/>
  <c r="J41" i="31" s="1"/>
  <c r="J34" i="31" s="1"/>
  <c r="J26" i="31"/>
  <c r="K8" i="31"/>
  <c r="K12" i="31"/>
  <c r="K24" i="31"/>
  <c r="K27" i="31" s="1"/>
  <c r="K41" i="31" s="1"/>
  <c r="K34" i="31" s="1"/>
  <c r="K26" i="31"/>
  <c r="L8" i="31"/>
  <c r="L16" i="31"/>
  <c r="L39" i="31" s="1"/>
  <c r="L20" i="31"/>
  <c r="L40" i="31" s="1"/>
  <c r="L33" i="31" s="1"/>
  <c r="L12" i="31"/>
  <c r="L24" i="31" s="1"/>
  <c r="L27" i="31" s="1"/>
  <c r="L29" i="31" s="1"/>
  <c r="L26" i="31"/>
  <c r="M8" i="31"/>
  <c r="M12" i="31"/>
  <c r="M24" i="31"/>
  <c r="M27" i="31" s="1"/>
  <c r="M41" i="31" s="1"/>
  <c r="M26" i="31"/>
  <c r="N8" i="31"/>
  <c r="N16" i="31"/>
  <c r="N39" i="31" s="1"/>
  <c r="N20" i="31"/>
  <c r="N40" i="31" s="1"/>
  <c r="N33" i="31" s="1"/>
  <c r="N12" i="31"/>
  <c r="N24" i="31" s="1"/>
  <c r="N27" i="31" s="1"/>
  <c r="N41" i="31" s="1"/>
  <c r="N34" i="31" s="1"/>
  <c r="N26" i="31"/>
  <c r="O8" i="31"/>
  <c r="O12" i="31"/>
  <c r="O24" i="31"/>
  <c r="O27" i="31" s="1"/>
  <c r="O41" i="31" s="1"/>
  <c r="O26" i="31"/>
  <c r="P8" i="31"/>
  <c r="P16" i="31"/>
  <c r="P39" i="31" s="1"/>
  <c r="P20" i="31"/>
  <c r="P40" i="31" s="1"/>
  <c r="P33" i="31" s="1"/>
  <c r="P12" i="31"/>
  <c r="P24" i="31" s="1"/>
  <c r="P27" i="31" s="1"/>
  <c r="P41" i="31" s="1"/>
  <c r="P34" i="31" s="1"/>
  <c r="P26" i="31"/>
  <c r="Q8" i="31"/>
  <c r="Q12" i="31"/>
  <c r="Q24" i="31"/>
  <c r="Q27" i="31" s="1"/>
  <c r="Q41" i="31" s="1"/>
  <c r="Q26" i="31"/>
  <c r="R8" i="31"/>
  <c r="R16" i="31"/>
  <c r="R39" i="31" s="1"/>
  <c r="R20" i="31"/>
  <c r="R40" i="31" s="1"/>
  <c r="R33" i="31" s="1"/>
  <c r="R12" i="31"/>
  <c r="R24" i="31" s="1"/>
  <c r="R27" i="31" s="1"/>
  <c r="R41" i="31" s="1"/>
  <c r="R34" i="31" s="1"/>
  <c r="R26" i="31"/>
  <c r="S8" i="31"/>
  <c r="S12" i="31"/>
  <c r="S24" i="31"/>
  <c r="S27" i="31" s="1"/>
  <c r="S41" i="31" s="1"/>
  <c r="S34" i="31" s="1"/>
  <c r="S26" i="31"/>
  <c r="D7" i="36"/>
  <c r="F7" i="36"/>
  <c r="H7" i="36"/>
  <c r="J7" i="36"/>
  <c r="L7" i="36"/>
  <c r="N7" i="36"/>
  <c r="P7" i="36"/>
  <c r="C5" i="40"/>
  <c r="E6" i="31"/>
  <c r="C9" i="31"/>
  <c r="C10" i="31"/>
  <c r="E10" i="31"/>
  <c r="F10" i="31"/>
  <c r="G10" i="31"/>
  <c r="H10" i="31"/>
  <c r="I10" i="31"/>
  <c r="J10" i="31"/>
  <c r="K10" i="31"/>
  <c r="L10" i="31"/>
  <c r="M10" i="31"/>
  <c r="N10" i="31"/>
  <c r="O10" i="31"/>
  <c r="P10" i="31"/>
  <c r="Q10" i="31"/>
  <c r="R10" i="31"/>
  <c r="S10" i="31"/>
  <c r="C16" i="31"/>
  <c r="C19" i="31"/>
  <c r="C26" i="31"/>
  <c r="C28" i="31"/>
  <c r="F28" i="31"/>
  <c r="H28" i="31"/>
  <c r="J28" i="31"/>
  <c r="L28" i="31"/>
  <c r="N28" i="31"/>
  <c r="P28" i="31"/>
  <c r="R28" i="31"/>
  <c r="J29" i="31"/>
  <c r="R29" i="31"/>
  <c r="C32" i="31"/>
  <c r="C33" i="31"/>
  <c r="C34" i="31"/>
  <c r="E36" i="31"/>
  <c r="F36" i="31"/>
  <c r="G36" i="31"/>
  <c r="H36" i="31"/>
  <c r="I36" i="31"/>
  <c r="J36" i="31"/>
  <c r="K36" i="31"/>
  <c r="L36" i="31"/>
  <c r="M36" i="31"/>
  <c r="N36" i="31"/>
  <c r="O36" i="31"/>
  <c r="P36" i="31"/>
  <c r="Q36" i="31"/>
  <c r="R36" i="31"/>
  <c r="S36" i="31"/>
  <c r="B4" i="51"/>
  <c r="B6" i="51" s="1"/>
  <c r="C4" i="51"/>
  <c r="C6" i="51" s="1"/>
  <c r="D4" i="51"/>
  <c r="E4" i="51"/>
  <c r="F4" i="51"/>
  <c r="F6" i="51" s="1"/>
  <c r="G4" i="51"/>
  <c r="G6" i="51" s="1"/>
  <c r="H4" i="51"/>
  <c r="I4" i="51"/>
  <c r="J4" i="51"/>
  <c r="K4" i="51"/>
  <c r="K6" i="51" s="1"/>
  <c r="D6" i="51"/>
  <c r="E6" i="51"/>
  <c r="H6" i="51"/>
  <c r="I6" i="51"/>
  <c r="J6" i="51"/>
  <c r="H8" i="50"/>
  <c r="B15" i="50"/>
  <c r="H9" i="50" s="1"/>
  <c r="D15" i="50"/>
  <c r="F15" i="50"/>
  <c r="K15" i="50"/>
  <c r="L15" i="50"/>
  <c r="X15" i="50"/>
  <c r="C16" i="50"/>
  <c r="O16" i="50"/>
  <c r="X16" i="50"/>
  <c r="A17" i="50"/>
  <c r="O17" i="50"/>
  <c r="C17" i="50"/>
  <c r="A18" i="50"/>
  <c r="A19" i="50" s="1"/>
  <c r="O19" i="50"/>
  <c r="C18" i="50"/>
  <c r="C19" i="50"/>
  <c r="C20" i="50"/>
  <c r="C21" i="50"/>
  <c r="C22" i="50"/>
  <c r="C23" i="50"/>
  <c r="C24" i="50"/>
  <c r="C25" i="50"/>
  <c r="C26" i="50"/>
  <c r="C27" i="50"/>
  <c r="C28" i="50"/>
  <c r="C29" i="50"/>
  <c r="C30" i="50"/>
  <c r="C31" i="50"/>
  <c r="C32" i="50"/>
  <c r="C33" i="50"/>
  <c r="C34" i="50"/>
  <c r="C35" i="50"/>
  <c r="C36" i="50"/>
  <c r="C37" i="50"/>
  <c r="C38" i="50"/>
  <c r="C39" i="50"/>
  <c r="C40" i="50"/>
  <c r="C41" i="50"/>
  <c r="C42" i="50"/>
  <c r="C43" i="50"/>
  <c r="C44" i="50"/>
  <c r="C45" i="50"/>
  <c r="C46" i="50"/>
  <c r="C47" i="50"/>
  <c r="C48" i="50"/>
  <c r="C49" i="50"/>
  <c r="C50" i="50"/>
  <c r="C51" i="50"/>
  <c r="C52" i="50"/>
  <c r="C53" i="50"/>
  <c r="C54" i="50"/>
  <c r="C55" i="50"/>
  <c r="C56" i="50"/>
  <c r="C57" i="50"/>
  <c r="C58" i="50"/>
  <c r="C59" i="50"/>
  <c r="C60" i="50"/>
  <c r="C61" i="50"/>
  <c r="C62" i="50"/>
  <c r="C63" i="50"/>
  <c r="C64" i="50"/>
  <c r="C65" i="50"/>
  <c r="C66" i="50"/>
  <c r="C67" i="50"/>
  <c r="C68" i="50"/>
  <c r="C69" i="50"/>
  <c r="C70" i="50"/>
  <c r="C71" i="50"/>
  <c r="C72" i="50"/>
  <c r="C73" i="50"/>
  <c r="C74" i="50"/>
  <c r="C75" i="50"/>
  <c r="C76" i="50"/>
  <c r="C77" i="50"/>
  <c r="C78" i="50"/>
  <c r="C79" i="50"/>
  <c r="C80" i="50"/>
  <c r="C81" i="50"/>
  <c r="C82" i="50"/>
  <c r="C83" i="50"/>
  <c r="C84" i="50"/>
  <c r="C85" i="50"/>
  <c r="C86" i="50"/>
  <c r="C87" i="50"/>
  <c r="C88" i="50"/>
  <c r="C89" i="50"/>
  <c r="C90" i="50"/>
  <c r="C91" i="50"/>
  <c r="C92" i="50"/>
  <c r="C93" i="50"/>
  <c r="C94" i="50"/>
  <c r="C95" i="50"/>
  <c r="C96" i="50"/>
  <c r="C97" i="50"/>
  <c r="C98" i="50"/>
  <c r="C99" i="50"/>
  <c r="C100" i="50"/>
  <c r="C101" i="50"/>
  <c r="C102" i="50"/>
  <c r="C103" i="50"/>
  <c r="C104" i="50"/>
  <c r="C105" i="50"/>
  <c r="C106" i="50"/>
  <c r="C107" i="50"/>
  <c r="C108" i="50"/>
  <c r="C109" i="50"/>
  <c r="C110" i="50"/>
  <c r="C111" i="50"/>
  <c r="C112" i="50"/>
  <c r="C113" i="50"/>
  <c r="C114" i="50"/>
  <c r="C115" i="50"/>
  <c r="C116" i="50"/>
  <c r="C117" i="50"/>
  <c r="C118" i="50"/>
  <c r="C119" i="50"/>
  <c r="C120" i="50"/>
  <c r="C121" i="50"/>
  <c r="C122" i="50"/>
  <c r="C123" i="50"/>
  <c r="C124" i="50"/>
  <c r="C125" i="50"/>
  <c r="C126" i="50"/>
  <c r="C127" i="50"/>
  <c r="C128" i="50"/>
  <c r="C129" i="50"/>
  <c r="C130" i="50"/>
  <c r="C131" i="50"/>
  <c r="C132" i="50"/>
  <c r="C133" i="50"/>
  <c r="C134" i="50"/>
  <c r="C135" i="50"/>
  <c r="C136" i="50"/>
  <c r="C137" i="50"/>
  <c r="C138" i="50"/>
  <c r="C139" i="50"/>
  <c r="C140" i="50"/>
  <c r="C141" i="50"/>
  <c r="C142" i="50"/>
  <c r="C143" i="50"/>
  <c r="C144" i="50"/>
  <c r="C145" i="50"/>
  <c r="C146" i="50"/>
  <c r="C147" i="50"/>
  <c r="C148" i="50"/>
  <c r="C149" i="50"/>
  <c r="C150" i="50"/>
  <c r="C151" i="50"/>
  <c r="C152" i="50"/>
  <c r="C153" i="50"/>
  <c r="C154" i="50"/>
  <c r="C155" i="50"/>
  <c r="C156" i="50"/>
  <c r="C157" i="50"/>
  <c r="C158" i="50"/>
  <c r="C159" i="50"/>
  <c r="C160" i="50"/>
  <c r="C161" i="50"/>
  <c r="C162" i="50"/>
  <c r="C163" i="50"/>
  <c r="C164" i="50"/>
  <c r="C165" i="50"/>
  <c r="C166" i="50"/>
  <c r="C167" i="50"/>
  <c r="C168" i="50"/>
  <c r="C169" i="50"/>
  <c r="C170" i="50"/>
  <c r="C171" i="50"/>
  <c r="C172" i="50"/>
  <c r="C173" i="50"/>
  <c r="C174" i="50"/>
  <c r="C175" i="50"/>
  <c r="C176" i="50"/>
  <c r="C177" i="50"/>
  <c r="C178" i="50"/>
  <c r="C179" i="50"/>
  <c r="C180" i="50"/>
  <c r="C181" i="50"/>
  <c r="C182" i="50"/>
  <c r="C183" i="50"/>
  <c r="C184" i="50"/>
  <c r="C185" i="50"/>
  <c r="C186" i="50"/>
  <c r="C187" i="50"/>
  <c r="C188" i="50"/>
  <c r="C189" i="50"/>
  <c r="C190" i="50"/>
  <c r="C191" i="50"/>
  <c r="C192" i="50"/>
  <c r="C193" i="50"/>
  <c r="C194" i="50"/>
  <c r="C195" i="50"/>
  <c r="C196" i="50"/>
  <c r="C197" i="50"/>
  <c r="M1" i="45"/>
  <c r="D3" i="45"/>
  <c r="F3" i="45"/>
  <c r="H3" i="45"/>
  <c r="J3" i="45"/>
  <c r="L3" i="45"/>
  <c r="N3" i="45"/>
  <c r="P3" i="45"/>
  <c r="R3" i="45"/>
  <c r="T3" i="45"/>
  <c r="V3" i="45"/>
  <c r="X3" i="45"/>
  <c r="Z3" i="45"/>
  <c r="AB3" i="45"/>
  <c r="AK3" i="45"/>
  <c r="B11" i="45"/>
  <c r="B12" i="45"/>
  <c r="E14" i="45"/>
  <c r="G14" i="45"/>
  <c r="G55" i="45" s="1"/>
  <c r="I14" i="45"/>
  <c r="K14" i="45"/>
  <c r="K55" i="45" s="1"/>
  <c r="M14" i="45"/>
  <c r="O14" i="45"/>
  <c r="O55" i="45" s="1"/>
  <c r="Q14" i="45"/>
  <c r="S14" i="45"/>
  <c r="S55" i="45" s="1"/>
  <c r="U14" i="45"/>
  <c r="W14" i="45"/>
  <c r="W55" i="45" s="1"/>
  <c r="Y14" i="45"/>
  <c r="AA14" i="45"/>
  <c r="AA55" i="45" s="1"/>
  <c r="AC14" i="45"/>
  <c r="AF25" i="45"/>
  <c r="AF24" i="45" s="1"/>
  <c r="AF23" i="45" s="1"/>
  <c r="AF22" i="45" s="1"/>
  <c r="AF21" i="45" s="1"/>
  <c r="AF20" i="45" s="1"/>
  <c r="AF19" i="45" s="1"/>
  <c r="AF18" i="45" s="1"/>
  <c r="AF17" i="45" s="1"/>
  <c r="AF16" i="45" s="1"/>
  <c r="AF15" i="45" s="1"/>
  <c r="AF44" i="45"/>
  <c r="AF45" i="45"/>
  <c r="AF46" i="45" s="1"/>
  <c r="AF47" i="45"/>
  <c r="AF48" i="45" s="1"/>
  <c r="AF49" i="45" s="1"/>
  <c r="AF50" i="45" s="1"/>
  <c r="AF51" i="45" s="1"/>
  <c r="AF52" i="45" s="1"/>
  <c r="AF53" i="45" s="1"/>
  <c r="AF54" i="45" s="1"/>
  <c r="E55" i="45"/>
  <c r="I55" i="45"/>
  <c r="M55" i="45"/>
  <c r="Q55" i="45"/>
  <c r="U55" i="45"/>
  <c r="Y55" i="45"/>
  <c r="AC55" i="45"/>
  <c r="B1" i="29"/>
  <c r="AP1" i="29"/>
  <c r="CS1" i="29"/>
  <c r="DJ1" i="29"/>
  <c r="CJ2" i="29"/>
  <c r="CI140" i="29" s="1"/>
  <c r="G4" i="29"/>
  <c r="N4" i="29"/>
  <c r="X4" i="29"/>
  <c r="L4" i="48" s="1"/>
  <c r="AT4" i="29"/>
  <c r="DK4" i="29"/>
  <c r="DP4" i="29"/>
  <c r="B5" i="29"/>
  <c r="C5" i="29"/>
  <c r="E5" i="29"/>
  <c r="F5" i="29"/>
  <c r="H5" i="29"/>
  <c r="E24" i="30" s="1"/>
  <c r="J5" i="29"/>
  <c r="K5" i="29"/>
  <c r="G24" i="30" s="1"/>
  <c r="M5" i="29"/>
  <c r="I5" i="48" s="1"/>
  <c r="O5" i="29"/>
  <c r="V5" i="29" s="1"/>
  <c r="AA5" i="29" s="1"/>
  <c r="P5" i="29"/>
  <c r="J5" i="48" s="1"/>
  <c r="S5" i="29"/>
  <c r="Y5" i="29"/>
  <c r="M5" i="48" s="1"/>
  <c r="Z5" i="29"/>
  <c r="M24" i="30" s="1"/>
  <c r="BK5" i="29"/>
  <c r="BL5" i="29"/>
  <c r="BT5" i="29"/>
  <c r="BU5" i="29"/>
  <c r="CC5" i="29"/>
  <c r="CD5" i="29"/>
  <c r="DK5" i="29"/>
  <c r="DP5" i="29" s="1"/>
  <c r="CJ5" i="29" s="1"/>
  <c r="BE6" i="29"/>
  <c r="BN6" i="29" s="1"/>
  <c r="BW6" i="29" s="1"/>
  <c r="BO6" i="29"/>
  <c r="BX6" i="29" s="1"/>
  <c r="CA6" i="29"/>
  <c r="AW6" i="29"/>
  <c r="BY6" i="29" s="1"/>
  <c r="BY3" i="29" s="1"/>
  <c r="CL6" i="29"/>
  <c r="DH6" i="29"/>
  <c r="BI6" i="29" s="1"/>
  <c r="DM6" i="29"/>
  <c r="BR6" i="29" s="1"/>
  <c r="AW7" i="29"/>
  <c r="BG7" i="29" s="1"/>
  <c r="BE7" i="29"/>
  <c r="BN7" i="29" s="1"/>
  <c r="X17" i="50"/>
  <c r="AW8" i="29"/>
  <c r="BE8" i="29"/>
  <c r="BN8" i="29" s="1"/>
  <c r="AW9" i="29"/>
  <c r="BP9" i="29"/>
  <c r="BE9" i="29"/>
  <c r="BN9" i="29" s="1"/>
  <c r="AW10" i="29"/>
  <c r="BG10" i="29"/>
  <c r="BE10" i="29"/>
  <c r="BN10" i="29" s="1"/>
  <c r="AW11" i="29"/>
  <c r="BP11" i="29"/>
  <c r="BE11" i="29"/>
  <c r="BN11" i="29" s="1"/>
  <c r="X21" i="50"/>
  <c r="AW12" i="29"/>
  <c r="BE12" i="29"/>
  <c r="BN12" i="29" s="1"/>
  <c r="X22" i="50"/>
  <c r="AW13" i="29"/>
  <c r="BE13" i="29"/>
  <c r="BN13" i="29" s="1"/>
  <c r="AW14" i="29"/>
  <c r="BE14" i="29"/>
  <c r="BN14" i="29" s="1"/>
  <c r="AW15" i="29"/>
  <c r="BG15" i="29" s="1"/>
  <c r="BE15" i="29"/>
  <c r="BN15" i="29" s="1"/>
  <c r="X25" i="50"/>
  <c r="AW16" i="29"/>
  <c r="BE16" i="29"/>
  <c r="BN16" i="29" s="1"/>
  <c r="X26" i="50"/>
  <c r="AW17" i="29"/>
  <c r="BP17" i="29" s="1"/>
  <c r="BE17" i="29"/>
  <c r="BN17" i="29"/>
  <c r="X27" i="50"/>
  <c r="AW18" i="29"/>
  <c r="BP18" i="29" s="1"/>
  <c r="BE18" i="29"/>
  <c r="BN18" i="29" s="1"/>
  <c r="AW19" i="29"/>
  <c r="BE19" i="29"/>
  <c r="BN19" i="29" s="1"/>
  <c r="AW20" i="29"/>
  <c r="BE20" i="29"/>
  <c r="BN20" i="29" s="1"/>
  <c r="AW21" i="29"/>
  <c r="CC21" i="29" s="1"/>
  <c r="BE21" i="29"/>
  <c r="BN21" i="29" s="1"/>
  <c r="X31" i="50"/>
  <c r="AW22" i="29"/>
  <c r="BE22" i="29"/>
  <c r="BN22" i="29" s="1"/>
  <c r="AW23" i="29"/>
  <c r="CC23" i="29" s="1"/>
  <c r="BE23" i="29"/>
  <c r="BN23" i="29" s="1"/>
  <c r="AD44" i="30"/>
  <c r="AW24" i="29"/>
  <c r="CC24" i="29" s="1"/>
  <c r="BE24" i="29"/>
  <c r="BN24" i="29" s="1"/>
  <c r="AD45" i="30"/>
  <c r="AW25" i="29"/>
  <c r="BE25" i="29"/>
  <c r="BN25" i="29" s="1"/>
  <c r="X35" i="50"/>
  <c r="AW26" i="29"/>
  <c r="BE26" i="29"/>
  <c r="BN26" i="29" s="1"/>
  <c r="AW27" i="29"/>
  <c r="BP27" i="29" s="1"/>
  <c r="BE27" i="29"/>
  <c r="BN27" i="29" s="1"/>
  <c r="AW28" i="29"/>
  <c r="BE28" i="29"/>
  <c r="BN28" i="29" s="1"/>
  <c r="AW29" i="29"/>
  <c r="CC29" i="29" s="1"/>
  <c r="BE29" i="29"/>
  <c r="BN29" i="29" s="1"/>
  <c r="AD50" i="30"/>
  <c r="AW30" i="29"/>
  <c r="BE30" i="29"/>
  <c r="BN30" i="29" s="1"/>
  <c r="AW31" i="29"/>
  <c r="BP31" i="29" s="1"/>
  <c r="BE31" i="29"/>
  <c r="BN31" i="29" s="1"/>
  <c r="AD52" i="30"/>
  <c r="AW32" i="29"/>
  <c r="BE32" i="29"/>
  <c r="BN32" i="29" s="1"/>
  <c r="AD53" i="30"/>
  <c r="AW33" i="29"/>
  <c r="BE33" i="29"/>
  <c r="BN33" i="29" s="1"/>
  <c r="AW34" i="29"/>
  <c r="BG34" i="29" s="1"/>
  <c r="BE34" i="29"/>
  <c r="BN34" i="29" s="1"/>
  <c r="AW35" i="29"/>
  <c r="BP35" i="29" s="1"/>
  <c r="BE35" i="29"/>
  <c r="BN35" i="29" s="1"/>
  <c r="X45" i="50"/>
  <c r="AW36" i="29"/>
  <c r="BE36" i="29"/>
  <c r="BN36" i="29" s="1"/>
  <c r="AW37" i="29"/>
  <c r="BE37" i="29"/>
  <c r="BN37" i="29" s="1"/>
  <c r="AW38" i="29"/>
  <c r="BE38" i="29"/>
  <c r="BN38" i="29" s="1"/>
  <c r="AW39" i="29"/>
  <c r="BE39" i="29"/>
  <c r="BN39" i="29" s="1"/>
  <c r="AW40" i="29"/>
  <c r="BE40" i="29"/>
  <c r="BN40" i="29" s="1"/>
  <c r="X50" i="50"/>
  <c r="AW41" i="29"/>
  <c r="BG41" i="29"/>
  <c r="BE41" i="29"/>
  <c r="BN41" i="29" s="1"/>
  <c r="X51" i="50"/>
  <c r="AW42" i="29"/>
  <c r="BE42" i="29"/>
  <c r="BN42" i="29" s="1"/>
  <c r="AW43" i="29"/>
  <c r="BE43" i="29"/>
  <c r="BN43" i="29"/>
  <c r="AW44" i="29"/>
  <c r="BG44" i="29" s="1"/>
  <c r="BE44" i="29"/>
  <c r="BN44" i="29"/>
  <c r="AD65" i="30"/>
  <c r="AW45" i="29"/>
  <c r="BE45" i="29"/>
  <c r="BN45" i="29" s="1"/>
  <c r="AW46" i="29"/>
  <c r="BE46" i="29"/>
  <c r="BN46" i="29" s="1"/>
  <c r="X56" i="50"/>
  <c r="AW47" i="29"/>
  <c r="BG47" i="29" s="1"/>
  <c r="BE47" i="29"/>
  <c r="BN47" i="29" s="1"/>
  <c r="AW48" i="29"/>
  <c r="BE48" i="29"/>
  <c r="BN48" i="29" s="1"/>
  <c r="AW49" i="29"/>
  <c r="CC49" i="29" s="1"/>
  <c r="BE49" i="29"/>
  <c r="BN49" i="29" s="1"/>
  <c r="AD70" i="30"/>
  <c r="AW50" i="29"/>
  <c r="CC50" i="29" s="1"/>
  <c r="BE50" i="29"/>
  <c r="BN50" i="29"/>
  <c r="AW51" i="29"/>
  <c r="BE51" i="29"/>
  <c r="BN51" i="29" s="1"/>
  <c r="AW52" i="29"/>
  <c r="CC52" i="29" s="1"/>
  <c r="BE52" i="29"/>
  <c r="BN52" i="29" s="1"/>
  <c r="AW53" i="29"/>
  <c r="BE53" i="29"/>
  <c r="BN53" i="29" s="1"/>
  <c r="AD74" i="30"/>
  <c r="AW54" i="29"/>
  <c r="BE54" i="29"/>
  <c r="BN54" i="29" s="1"/>
  <c r="AD75" i="30"/>
  <c r="AW55" i="29"/>
  <c r="BE55" i="29"/>
  <c r="BN55" i="29"/>
  <c r="X65" i="50"/>
  <c r="AW56" i="29"/>
  <c r="BE56" i="29"/>
  <c r="BN56" i="29" s="1"/>
  <c r="X66" i="50"/>
  <c r="AW57" i="29"/>
  <c r="BE57" i="29"/>
  <c r="BN57" i="29" s="1"/>
  <c r="AW58" i="29"/>
  <c r="BE58" i="29"/>
  <c r="BN58" i="29" s="1"/>
  <c r="X68" i="50"/>
  <c r="AW59" i="29"/>
  <c r="BG59" i="29" s="1"/>
  <c r="BE59" i="29"/>
  <c r="BN59" i="29"/>
  <c r="AW60" i="29"/>
  <c r="BE60" i="29"/>
  <c r="BN60" i="29" s="1"/>
  <c r="AW61" i="29"/>
  <c r="BG61" i="29" s="1"/>
  <c r="BE61" i="29"/>
  <c r="BN61" i="29" s="1"/>
  <c r="AW62" i="29"/>
  <c r="BP62" i="29" s="1"/>
  <c r="BE62" i="29"/>
  <c r="BN62" i="29" s="1"/>
  <c r="X72" i="50"/>
  <c r="AW63" i="29"/>
  <c r="BG63" i="29" s="1"/>
  <c r="BE63" i="29"/>
  <c r="BN63" i="29" s="1"/>
  <c r="AW64" i="29"/>
  <c r="BP64" i="29" s="1"/>
  <c r="BE64" i="29"/>
  <c r="BN64" i="29" s="1"/>
  <c r="X74" i="50"/>
  <c r="AW65" i="29"/>
  <c r="BP65" i="29" s="1"/>
  <c r="BE65" i="29"/>
  <c r="BN65" i="29" s="1"/>
  <c r="X75" i="50"/>
  <c r="AW66" i="29"/>
  <c r="BE66" i="29"/>
  <c r="BN66" i="29" s="1"/>
  <c r="AW67" i="29"/>
  <c r="BE67" i="29"/>
  <c r="BN67" i="29" s="1"/>
  <c r="X77" i="50"/>
  <c r="AW68" i="29"/>
  <c r="BE68" i="29"/>
  <c r="BN68" i="29" s="1"/>
  <c r="X78" i="50"/>
  <c r="AW69" i="29"/>
  <c r="BG69" i="29" s="1"/>
  <c r="BE69" i="29"/>
  <c r="BN69" i="29" s="1"/>
  <c r="AW70" i="29"/>
  <c r="BE70" i="29"/>
  <c r="BN70" i="29" s="1"/>
  <c r="X80" i="50"/>
  <c r="AW71" i="29"/>
  <c r="BE71" i="29"/>
  <c r="BN71" i="29" s="1"/>
  <c r="X81" i="50"/>
  <c r="AW72" i="29"/>
  <c r="BE72" i="29"/>
  <c r="BN72" i="29" s="1"/>
  <c r="AW73" i="29"/>
  <c r="BP73" i="29" s="1"/>
  <c r="BE73" i="29"/>
  <c r="BN73" i="29" s="1"/>
  <c r="AW74" i="29"/>
  <c r="BP74" i="29" s="1"/>
  <c r="BE74" i="29"/>
  <c r="BN74" i="29"/>
  <c r="AW75" i="29"/>
  <c r="BP75" i="29"/>
  <c r="BE75" i="29"/>
  <c r="BN75" i="29"/>
  <c r="X85" i="50"/>
  <c r="AW76" i="29"/>
  <c r="BE76" i="29"/>
  <c r="BN76" i="29" s="1"/>
  <c r="X86" i="50"/>
  <c r="AW77" i="29"/>
  <c r="BE77" i="29"/>
  <c r="BN77" i="29" s="1"/>
  <c r="X87" i="50"/>
  <c r="AW78" i="29"/>
  <c r="BE78" i="29"/>
  <c r="BN78" i="29" s="1"/>
  <c r="X88" i="50"/>
  <c r="AW79" i="29"/>
  <c r="BE79" i="29"/>
  <c r="BN79" i="29" s="1"/>
  <c r="AW80" i="29"/>
  <c r="BE80" i="29"/>
  <c r="BN80" i="29" s="1"/>
  <c r="X90" i="50"/>
  <c r="AW81" i="29"/>
  <c r="BP81" i="29"/>
  <c r="BE81" i="29"/>
  <c r="BN81" i="29" s="1"/>
  <c r="AW82" i="29"/>
  <c r="BG82" i="29" s="1"/>
  <c r="BE82" i="29"/>
  <c r="BN82" i="29" s="1"/>
  <c r="AW83" i="29"/>
  <c r="BP83" i="29" s="1"/>
  <c r="BE83" i="29"/>
  <c r="BN83" i="29" s="1"/>
  <c r="X93" i="50"/>
  <c r="AW84" i="29"/>
  <c r="BP84" i="29" s="1"/>
  <c r="BE84" i="29"/>
  <c r="BN84" i="29" s="1"/>
  <c r="AW85" i="29"/>
  <c r="BE85" i="29"/>
  <c r="BN85" i="29" s="1"/>
  <c r="AW86" i="29"/>
  <c r="BE86" i="29"/>
  <c r="BN86" i="29"/>
  <c r="AW87" i="29"/>
  <c r="BP87" i="29" s="1"/>
  <c r="BE87" i="29"/>
  <c r="BN87" i="29"/>
  <c r="AW88" i="29"/>
  <c r="BP88" i="29" s="1"/>
  <c r="BE88" i="29"/>
  <c r="BN88" i="29" s="1"/>
  <c r="X98" i="50"/>
  <c r="AW89" i="29"/>
  <c r="BG89" i="29" s="1"/>
  <c r="BE89" i="29"/>
  <c r="BN89" i="29" s="1"/>
  <c r="X99" i="50"/>
  <c r="AW90" i="29"/>
  <c r="BE90" i="29"/>
  <c r="BN90" i="29" s="1"/>
  <c r="X100" i="50"/>
  <c r="AW91" i="29"/>
  <c r="BE91" i="29"/>
  <c r="BN91" i="29" s="1"/>
  <c r="AW92" i="29"/>
  <c r="BG92" i="29" s="1"/>
  <c r="BE92" i="29"/>
  <c r="BN92" i="29" s="1"/>
  <c r="AW93" i="29"/>
  <c r="BP93" i="29" s="1"/>
  <c r="BE93" i="29"/>
  <c r="BN93" i="29" s="1"/>
  <c r="AW94" i="29"/>
  <c r="BG94" i="29" s="1"/>
  <c r="BE94" i="29"/>
  <c r="BN94" i="29"/>
  <c r="X104" i="50"/>
  <c r="AW95" i="29"/>
  <c r="BE95" i="29"/>
  <c r="BN95" i="29" s="1"/>
  <c r="AW96" i="29"/>
  <c r="BE96" i="29"/>
  <c r="BN96" i="29" s="1"/>
  <c r="AW97" i="29"/>
  <c r="BE97" i="29"/>
  <c r="BN97" i="29" s="1"/>
  <c r="AW98" i="29"/>
  <c r="BE98" i="29"/>
  <c r="BN98" i="29" s="1"/>
  <c r="AW99" i="29"/>
  <c r="BE99" i="29"/>
  <c r="BN99" i="29" s="1"/>
  <c r="X109" i="50"/>
  <c r="AW100" i="29"/>
  <c r="BE100" i="29"/>
  <c r="BN100" i="29" s="1"/>
  <c r="X110" i="50"/>
  <c r="AW101" i="29"/>
  <c r="BG101" i="29" s="1"/>
  <c r="BE101" i="29"/>
  <c r="BN101" i="29"/>
  <c r="X111" i="50"/>
  <c r="AW102" i="29"/>
  <c r="BP102" i="29" s="1"/>
  <c r="BE102" i="29"/>
  <c r="BN102" i="29" s="1"/>
  <c r="AW103" i="29"/>
  <c r="BP103" i="29" s="1"/>
  <c r="BE103" i="29"/>
  <c r="BN103" i="29" s="1"/>
  <c r="AW104" i="29"/>
  <c r="BG104" i="29" s="1"/>
  <c r="BE104" i="29"/>
  <c r="BN104" i="29" s="1"/>
  <c r="X114" i="50"/>
  <c r="AW105" i="29"/>
  <c r="BG105" i="29" s="1"/>
  <c r="BE105" i="29"/>
  <c r="BN105" i="29" s="1"/>
  <c r="X115" i="50"/>
  <c r="AW106" i="29"/>
  <c r="BP106" i="29" s="1"/>
  <c r="BE106" i="29"/>
  <c r="BN106" i="29" s="1"/>
  <c r="AW107" i="29"/>
  <c r="BP107" i="29" s="1"/>
  <c r="BE107" i="29"/>
  <c r="BN107" i="29" s="1"/>
  <c r="X117" i="50"/>
  <c r="AW108" i="29"/>
  <c r="BE108" i="29"/>
  <c r="BN108" i="29" s="1"/>
  <c r="AW109" i="29"/>
  <c r="BP109" i="29" s="1"/>
  <c r="BE109" i="29"/>
  <c r="BN109" i="29" s="1"/>
  <c r="AW110" i="29"/>
  <c r="BP110" i="29" s="1"/>
  <c r="BE110" i="29"/>
  <c r="BN110" i="29" s="1"/>
  <c r="AW111" i="29"/>
  <c r="BE111" i="29"/>
  <c r="BN111" i="29" s="1"/>
  <c r="AW112" i="29"/>
  <c r="BG112" i="29" s="1"/>
  <c r="BE112" i="29"/>
  <c r="BN112" i="29" s="1"/>
  <c r="AW113" i="29"/>
  <c r="BP113" i="29" s="1"/>
  <c r="BE113" i="29"/>
  <c r="BN113" i="29" s="1"/>
  <c r="AW114" i="29"/>
  <c r="BP114" i="29" s="1"/>
  <c r="BE114" i="29"/>
  <c r="BN114" i="29" s="1"/>
  <c r="AW115" i="29"/>
  <c r="BG115" i="29" s="1"/>
  <c r="BE115" i="29"/>
  <c r="BN115" i="29" s="1"/>
  <c r="AW116" i="29"/>
  <c r="BG116" i="29" s="1"/>
  <c r="BE116" i="29"/>
  <c r="BN116" i="29" s="1"/>
  <c r="AW117" i="29"/>
  <c r="BG117" i="29" s="1"/>
  <c r="BE117" i="29"/>
  <c r="BN117" i="29"/>
  <c r="AW118" i="29"/>
  <c r="BE118" i="29"/>
  <c r="BN118" i="29" s="1"/>
  <c r="AW119" i="29"/>
  <c r="BP119" i="29" s="1"/>
  <c r="BE119" i="29"/>
  <c r="BN119" i="29" s="1"/>
  <c r="X129" i="50"/>
  <c r="AW120" i="29"/>
  <c r="BE120" i="29"/>
  <c r="BN120" i="29" s="1"/>
  <c r="F121" i="29"/>
  <c r="AW121" i="29"/>
  <c r="BG121" i="29" s="1"/>
  <c r="BE121" i="29"/>
  <c r="BN121" i="29"/>
  <c r="AW122" i="29"/>
  <c r="BP122" i="29" s="1"/>
  <c r="BE122" i="29"/>
  <c r="BN122" i="29" s="1"/>
  <c r="AW123" i="29"/>
  <c r="BE123" i="29"/>
  <c r="BN123" i="29" s="1"/>
  <c r="F124" i="29"/>
  <c r="AW124" i="29"/>
  <c r="BE124" i="29"/>
  <c r="BN124" i="29" s="1"/>
  <c r="F125" i="29"/>
  <c r="AW125" i="29"/>
  <c r="BG125" i="29" s="1"/>
  <c r="BE125" i="29"/>
  <c r="BN125" i="29" s="1"/>
  <c r="AW126" i="29"/>
  <c r="BG126" i="29" s="1"/>
  <c r="BE126" i="29"/>
  <c r="BN126" i="29" s="1"/>
  <c r="AW127" i="29"/>
  <c r="BG127" i="29" s="1"/>
  <c r="BE127" i="29"/>
  <c r="BN127" i="29" s="1"/>
  <c r="AW128" i="29"/>
  <c r="BG128" i="29" s="1"/>
  <c r="BE128" i="29"/>
  <c r="BN128" i="29" s="1"/>
  <c r="AW129" i="29"/>
  <c r="BE129" i="29"/>
  <c r="BN129" i="29" s="1"/>
  <c r="AW130" i="29"/>
  <c r="BG130" i="29" s="1"/>
  <c r="BE130" i="29"/>
  <c r="BN130" i="29" s="1"/>
  <c r="AW131" i="29"/>
  <c r="BE131" i="29"/>
  <c r="BN131" i="29" s="1"/>
  <c r="AW132" i="29"/>
  <c r="BP132" i="29"/>
  <c r="BE132" i="29"/>
  <c r="BN132" i="29" s="1"/>
  <c r="AW133" i="29"/>
  <c r="BP133" i="29" s="1"/>
  <c r="BE133" i="29"/>
  <c r="BN133" i="29" s="1"/>
  <c r="AW134" i="29"/>
  <c r="BE134" i="29"/>
  <c r="BN134" i="29" s="1"/>
  <c r="AW135" i="29"/>
  <c r="BP135" i="29" s="1"/>
  <c r="BE135" i="29"/>
  <c r="BN135" i="29" s="1"/>
  <c r="AW136" i="29"/>
  <c r="BE136" i="29"/>
  <c r="BN136" i="29" s="1"/>
  <c r="AW137" i="29"/>
  <c r="BG137" i="29" s="1"/>
  <c r="BE137" i="29"/>
  <c r="BN137" i="29" s="1"/>
  <c r="AW138" i="29"/>
  <c r="BG138" i="29" s="1"/>
  <c r="BE138" i="29"/>
  <c r="BN138" i="29" s="1"/>
  <c r="AW139" i="29"/>
  <c r="BP139" i="29" s="1"/>
  <c r="BE139" i="29"/>
  <c r="BN139" i="29"/>
  <c r="AW140" i="29"/>
  <c r="BE140" i="29"/>
  <c r="BN140" i="29" s="1"/>
  <c r="X150" i="50"/>
  <c r="AW141" i="29"/>
  <c r="BG141" i="29" s="1"/>
  <c r="BE141" i="29"/>
  <c r="BN141" i="29" s="1"/>
  <c r="AW142" i="29"/>
  <c r="BE142" i="29"/>
  <c r="BN142" i="29" s="1"/>
  <c r="AW143" i="29"/>
  <c r="BP143" i="29"/>
  <c r="BE143" i="29"/>
  <c r="BN143" i="29" s="1"/>
  <c r="AW144" i="29"/>
  <c r="BE144" i="29"/>
  <c r="BN144" i="29" s="1"/>
  <c r="X154" i="50"/>
  <c r="AW145" i="29"/>
  <c r="BG145" i="29" s="1"/>
  <c r="BE145" i="29"/>
  <c r="BN145" i="29" s="1"/>
  <c r="X155" i="50"/>
  <c r="AW146" i="29"/>
  <c r="BE146" i="29"/>
  <c r="BN146" i="29" s="1"/>
  <c r="AW147" i="29"/>
  <c r="BG147" i="29" s="1"/>
  <c r="BE147" i="29"/>
  <c r="BN147" i="29" s="1"/>
  <c r="X157" i="50"/>
  <c r="AW148" i="29"/>
  <c r="BP148" i="29" s="1"/>
  <c r="BE148" i="29"/>
  <c r="BN148" i="29" s="1"/>
  <c r="F149" i="29"/>
  <c r="AW149" i="29"/>
  <c r="BE149" i="29"/>
  <c r="BN149" i="29" s="1"/>
  <c r="AW150" i="29"/>
  <c r="BP150" i="29" s="1"/>
  <c r="BE150" i="29"/>
  <c r="BN150" i="29" s="1"/>
  <c r="AW151" i="29"/>
  <c r="BE151" i="29"/>
  <c r="BN151" i="29" s="1"/>
  <c r="X161" i="50"/>
  <c r="AW152" i="29"/>
  <c r="BE152" i="29"/>
  <c r="BN152" i="29" s="1"/>
  <c r="AW153" i="29"/>
  <c r="BP153" i="29" s="1"/>
  <c r="BE153" i="29"/>
  <c r="BN153" i="29" s="1"/>
  <c r="F154" i="29"/>
  <c r="AW154" i="29"/>
  <c r="BE154" i="29"/>
  <c r="BN154" i="29" s="1"/>
  <c r="AW155" i="29"/>
  <c r="BP155" i="29" s="1"/>
  <c r="BE155" i="29"/>
  <c r="BN155" i="29" s="1"/>
  <c r="X165" i="50"/>
  <c r="AW156" i="29"/>
  <c r="BE156" i="29"/>
  <c r="BN156" i="29" s="1"/>
  <c r="AW157" i="29"/>
  <c r="BE157" i="29"/>
  <c r="BN157" i="29" s="1"/>
  <c r="AW158" i="29"/>
  <c r="BE158" i="29"/>
  <c r="BN158" i="29" s="1"/>
  <c r="AW159" i="29"/>
  <c r="BP159" i="29" s="1"/>
  <c r="BE159" i="29"/>
  <c r="BN159" i="29" s="1"/>
  <c r="AW160" i="29"/>
  <c r="BE160" i="29"/>
  <c r="BN160" i="29" s="1"/>
  <c r="AW161" i="29"/>
  <c r="BP161" i="29" s="1"/>
  <c r="BE161" i="29"/>
  <c r="BN161" i="29" s="1"/>
  <c r="X171" i="50"/>
  <c r="AW162" i="29"/>
  <c r="BG162" i="29" s="1"/>
  <c r="BE162" i="29"/>
  <c r="BN162" i="29"/>
  <c r="AW163" i="29"/>
  <c r="BE163" i="29"/>
  <c r="BN163" i="29"/>
  <c r="AW164" i="29"/>
  <c r="BG164" i="29" s="1"/>
  <c r="BE164" i="29"/>
  <c r="BN164" i="29" s="1"/>
  <c r="AW165" i="29"/>
  <c r="BE165" i="29"/>
  <c r="BN165" i="29" s="1"/>
  <c r="AW166" i="29"/>
  <c r="BG166" i="29" s="1"/>
  <c r="BE166" i="29"/>
  <c r="BN166" i="29" s="1"/>
  <c r="F167" i="29"/>
  <c r="AW167" i="29"/>
  <c r="BE167" i="29"/>
  <c r="BN167" i="29" s="1"/>
  <c r="F168" i="29"/>
  <c r="AW168" i="29"/>
  <c r="BE168" i="29"/>
  <c r="BN168" i="29" s="1"/>
  <c r="F169" i="29"/>
  <c r="AW169" i="29"/>
  <c r="BP169" i="29" s="1"/>
  <c r="BE169" i="29"/>
  <c r="BN169" i="29" s="1"/>
  <c r="X179" i="50"/>
  <c r="AW170" i="29"/>
  <c r="BE170" i="29"/>
  <c r="BN170" i="29" s="1"/>
  <c r="AW171" i="29"/>
  <c r="BE171" i="29"/>
  <c r="BN171" i="29" s="1"/>
  <c r="X181" i="50"/>
  <c r="AW172" i="29"/>
  <c r="BG172" i="29" s="1"/>
  <c r="BE172" i="29"/>
  <c r="BN172" i="29" s="1"/>
  <c r="F173" i="29"/>
  <c r="AW173" i="29"/>
  <c r="BP173" i="29" s="1"/>
  <c r="BG173" i="29"/>
  <c r="BE173" i="29"/>
  <c r="BN173" i="29" s="1"/>
  <c r="AW174" i="29"/>
  <c r="BE174" i="29"/>
  <c r="BN174" i="29"/>
  <c r="AW175" i="29"/>
  <c r="BG175" i="29" s="1"/>
  <c r="BE175" i="29"/>
  <c r="BN175" i="29"/>
  <c r="AW176" i="29"/>
  <c r="BE176" i="29"/>
  <c r="BN176" i="29"/>
  <c r="AW177" i="29"/>
  <c r="BE177" i="29"/>
  <c r="BN177" i="29" s="1"/>
  <c r="AW178" i="29"/>
  <c r="BG178" i="29" s="1"/>
  <c r="BE178" i="29"/>
  <c r="BN178" i="29"/>
  <c r="AW179" i="29"/>
  <c r="BP179" i="29"/>
  <c r="BE179" i="29"/>
  <c r="BN179" i="29"/>
  <c r="X189" i="50"/>
  <c r="AW180" i="29"/>
  <c r="BG180" i="29" s="1"/>
  <c r="BE180" i="29"/>
  <c r="BN180" i="29" s="1"/>
  <c r="AW181" i="29"/>
  <c r="BE181" i="29"/>
  <c r="BN181" i="29" s="1"/>
  <c r="AW182" i="29"/>
  <c r="BE182" i="29"/>
  <c r="BN182" i="29"/>
  <c r="AW183" i="29"/>
  <c r="BP183" i="29" s="1"/>
  <c r="BE183" i="29"/>
  <c r="BN183" i="29" s="1"/>
  <c r="X193" i="50"/>
  <c r="AW184" i="29"/>
  <c r="BP184" i="29" s="1"/>
  <c r="BE184" i="29"/>
  <c r="BN184" i="29" s="1"/>
  <c r="F185" i="29"/>
  <c r="AW185" i="29"/>
  <c r="BE185" i="29"/>
  <c r="BN185" i="29" s="1"/>
  <c r="AW186" i="29"/>
  <c r="BP186" i="29" s="1"/>
  <c r="BE186" i="29"/>
  <c r="BN186" i="29" s="1"/>
  <c r="F187" i="29"/>
  <c r="AW187" i="29"/>
  <c r="BP187" i="29" s="1"/>
  <c r="BE187" i="29"/>
  <c r="BN187" i="29" s="1"/>
  <c r="X197" i="50"/>
  <c r="AW188" i="29"/>
  <c r="BG188" i="29" s="1"/>
  <c r="BE188" i="29"/>
  <c r="BN188" i="29" s="1"/>
  <c r="I189" i="29"/>
  <c r="L189" i="29"/>
  <c r="O189" i="29"/>
  <c r="S189" i="29"/>
  <c r="V189" i="29"/>
  <c r="AA189" i="29"/>
  <c r="B195" i="29"/>
  <c r="G195" i="29"/>
  <c r="B196" i="29"/>
  <c r="B199" i="29"/>
  <c r="G202" i="29"/>
  <c r="B203" i="29"/>
  <c r="M203" i="29"/>
  <c r="B205" i="29"/>
  <c r="M205" i="29"/>
  <c r="P205" i="29"/>
  <c r="T205" i="29"/>
  <c r="W205" i="29"/>
  <c r="AC205" i="29"/>
  <c r="G213" i="29"/>
  <c r="AN214" i="29"/>
  <c r="C15" i="50"/>
  <c r="D258" i="29"/>
  <c r="I258" i="29"/>
  <c r="L258" i="29"/>
  <c r="AD258" i="29"/>
  <c r="B1" i="30"/>
  <c r="I1" i="30"/>
  <c r="B3" i="47"/>
  <c r="G3" i="30"/>
  <c r="B5" i="30"/>
  <c r="J5" i="30"/>
  <c r="F6" i="30"/>
  <c r="G6" i="30"/>
  <c r="J7" i="30"/>
  <c r="B9" i="30"/>
  <c r="B7" i="47" s="1"/>
  <c r="H9" i="30"/>
  <c r="J9" i="30"/>
  <c r="K9" i="30"/>
  <c r="B10" i="30"/>
  <c r="B13" i="30"/>
  <c r="E13" i="30"/>
  <c r="G13" i="30"/>
  <c r="H13" i="30"/>
  <c r="B14" i="30"/>
  <c r="B15" i="30"/>
  <c r="B17" i="30"/>
  <c r="B18" i="30"/>
  <c r="L18" i="30"/>
  <c r="S19" i="30"/>
  <c r="B20" i="30"/>
  <c r="B12" i="47" s="1"/>
  <c r="L20" i="30"/>
  <c r="B19" i="47" s="1"/>
  <c r="B21" i="30"/>
  <c r="L21" i="30"/>
  <c r="O21" i="30"/>
  <c r="B22" i="30"/>
  <c r="L22" i="30"/>
  <c r="R22" i="30"/>
  <c r="B24" i="30"/>
  <c r="O24" i="30"/>
  <c r="P24" i="30"/>
  <c r="Q24" i="30"/>
  <c r="S24" i="30"/>
  <c r="C87" i="30"/>
  <c r="C25" i="30" s="1"/>
  <c r="O25" i="30"/>
  <c r="B26" i="30"/>
  <c r="C26" i="30"/>
  <c r="E26" i="30"/>
  <c r="G26" i="30"/>
  <c r="L26" i="30"/>
  <c r="M26" i="30"/>
  <c r="AD26" i="30"/>
  <c r="B27" i="30"/>
  <c r="D27" i="30"/>
  <c r="AD27" i="30"/>
  <c r="B28" i="30"/>
  <c r="D28" i="30"/>
  <c r="B29" i="30"/>
  <c r="D29" i="30"/>
  <c r="B30" i="30"/>
  <c r="D30" i="30"/>
  <c r="B31" i="30"/>
  <c r="D31" i="30"/>
  <c r="B32" i="30"/>
  <c r="D32" i="30"/>
  <c r="B33" i="30"/>
  <c r="D33" i="30"/>
  <c r="B34" i="30"/>
  <c r="D34" i="30"/>
  <c r="B35" i="30"/>
  <c r="D35" i="30"/>
  <c r="B36" i="30"/>
  <c r="D36" i="30"/>
  <c r="B37" i="30"/>
  <c r="D37" i="30"/>
  <c r="B38" i="30"/>
  <c r="D38" i="30"/>
  <c r="B39" i="30"/>
  <c r="D39" i="30"/>
  <c r="B40" i="30"/>
  <c r="D40" i="30"/>
  <c r="B41" i="30"/>
  <c r="D41" i="30"/>
  <c r="B42" i="30"/>
  <c r="D42" i="30"/>
  <c r="B43" i="30"/>
  <c r="D43" i="30"/>
  <c r="B44" i="30"/>
  <c r="D44" i="30"/>
  <c r="B45" i="30"/>
  <c r="D45" i="30"/>
  <c r="B46" i="30"/>
  <c r="D46" i="30"/>
  <c r="B47" i="30"/>
  <c r="D47" i="30"/>
  <c r="B48" i="30"/>
  <c r="D48" i="30"/>
  <c r="B49" i="30"/>
  <c r="D49" i="30"/>
  <c r="B50" i="30"/>
  <c r="D50" i="30"/>
  <c r="B51" i="30"/>
  <c r="D51" i="30"/>
  <c r="B52" i="30"/>
  <c r="D52" i="30"/>
  <c r="B53" i="30"/>
  <c r="D53" i="30"/>
  <c r="B54" i="30"/>
  <c r="D54" i="30"/>
  <c r="B55" i="30"/>
  <c r="D55" i="30"/>
  <c r="B56" i="30"/>
  <c r="D56" i="30"/>
  <c r="B57" i="30"/>
  <c r="D57" i="30"/>
  <c r="B58" i="30"/>
  <c r="D58" i="30"/>
  <c r="B59" i="30"/>
  <c r="D59" i="30"/>
  <c r="B60" i="30"/>
  <c r="D60" i="30"/>
  <c r="B61" i="30"/>
  <c r="D61" i="30"/>
  <c r="B62" i="30"/>
  <c r="D62" i="30"/>
  <c r="B63" i="30"/>
  <c r="D63" i="30"/>
  <c r="B64" i="30"/>
  <c r="D64" i="30"/>
  <c r="B65" i="30"/>
  <c r="D65" i="30"/>
  <c r="B66" i="30"/>
  <c r="D66" i="30"/>
  <c r="B67" i="30"/>
  <c r="D67" i="30"/>
  <c r="B68" i="30"/>
  <c r="D68" i="30"/>
  <c r="B69" i="30"/>
  <c r="D69" i="30"/>
  <c r="B70" i="30"/>
  <c r="D70" i="30"/>
  <c r="B71" i="30"/>
  <c r="D71" i="30"/>
  <c r="B72" i="30"/>
  <c r="D72" i="30"/>
  <c r="B73" i="30"/>
  <c r="D73" i="30"/>
  <c r="B74" i="30"/>
  <c r="D74" i="30"/>
  <c r="B75" i="30"/>
  <c r="D75" i="30"/>
  <c r="B76" i="30"/>
  <c r="D76" i="30"/>
  <c r="B77" i="30"/>
  <c r="D77" i="30"/>
  <c r="B78" i="30"/>
  <c r="D78" i="30"/>
  <c r="B79" i="30"/>
  <c r="D79" i="30"/>
  <c r="B80" i="30"/>
  <c r="D80" i="30"/>
  <c r="B81" i="30"/>
  <c r="D81" i="30"/>
  <c r="B82" i="30"/>
  <c r="D82" i="30"/>
  <c r="B83" i="30"/>
  <c r="D83" i="30"/>
  <c r="B84" i="30"/>
  <c r="D84" i="30"/>
  <c r="B85" i="30"/>
  <c r="D85" i="30"/>
  <c r="B86" i="30"/>
  <c r="D86" i="30"/>
  <c r="F87" i="30"/>
  <c r="F25" i="30" s="1"/>
  <c r="N87" i="30"/>
  <c r="N25" i="30" s="1"/>
  <c r="AD88" i="30"/>
  <c r="F104" i="30"/>
  <c r="F105" i="30"/>
  <c r="F108" i="30"/>
  <c r="F109" i="30"/>
  <c r="F112" i="30"/>
  <c r="M112" i="30"/>
  <c r="R112" i="30"/>
  <c r="F113" i="30"/>
  <c r="O22" i="30"/>
  <c r="H113" i="30"/>
  <c r="L113" i="30"/>
  <c r="M113" i="30"/>
  <c r="M117" i="30"/>
  <c r="M121" i="30" s="1"/>
  <c r="R113" i="30"/>
  <c r="H114" i="30"/>
  <c r="L114" i="30"/>
  <c r="M114" i="30"/>
  <c r="R114" i="30"/>
  <c r="F115" i="30"/>
  <c r="J115" i="30"/>
  <c r="J123" i="30" s="1"/>
  <c r="O123" i="30" s="1"/>
  <c r="E11" i="30" s="1"/>
  <c r="AG229" i="29" s="1"/>
  <c r="H115" i="30"/>
  <c r="L115" i="30"/>
  <c r="L123" i="30" s="1"/>
  <c r="M115" i="30"/>
  <c r="R115" i="30"/>
  <c r="F116" i="30"/>
  <c r="G116" i="30"/>
  <c r="H116" i="30"/>
  <c r="L116" i="30"/>
  <c r="M116" i="30"/>
  <c r="R116" i="30"/>
  <c r="F117" i="30"/>
  <c r="L117" i="30"/>
  <c r="R117" i="30"/>
  <c r="F118" i="30"/>
  <c r="G118" i="30"/>
  <c r="H118" i="30"/>
  <c r="M118" i="30"/>
  <c r="R118" i="30"/>
  <c r="F119" i="30"/>
  <c r="H119" i="30"/>
  <c r="M119" i="30"/>
  <c r="R119" i="30"/>
  <c r="F120" i="30"/>
  <c r="G120" i="30"/>
  <c r="H120" i="30"/>
  <c r="L120" i="30"/>
  <c r="M120" i="30"/>
  <c r="R120" i="30"/>
  <c r="I121" i="30"/>
  <c r="J124" i="30"/>
  <c r="J125" i="30" s="1"/>
  <c r="J126" i="30" s="1"/>
  <c r="K126" i="30" s="1"/>
  <c r="CR4" i="29"/>
  <c r="K123" i="30"/>
  <c r="M123" i="30"/>
  <c r="D130" i="30"/>
  <c r="D131" i="30"/>
  <c r="D1" i="48"/>
  <c r="C3" i="48"/>
  <c r="C4" i="48"/>
  <c r="B5" i="48"/>
  <c r="D5" i="48"/>
  <c r="K5" i="48"/>
  <c r="N5" i="48"/>
  <c r="D7" i="48"/>
  <c r="F7" i="48"/>
  <c r="N7" i="48"/>
  <c r="D8" i="48"/>
  <c r="L8" i="48" s="1"/>
  <c r="F8" i="48"/>
  <c r="G8" i="48"/>
  <c r="N8" i="48"/>
  <c r="W8" i="48"/>
  <c r="D9" i="48"/>
  <c r="G9" i="48" s="1"/>
  <c r="F9" i="48"/>
  <c r="N9" i="48"/>
  <c r="W9" i="48"/>
  <c r="D10" i="48"/>
  <c r="F10" i="48"/>
  <c r="N10" i="48"/>
  <c r="W10" i="48"/>
  <c r="D11" i="48"/>
  <c r="F11" i="48"/>
  <c r="N11" i="48"/>
  <c r="W11" i="48"/>
  <c r="D12" i="48"/>
  <c r="L12" i="48" s="1"/>
  <c r="F12" i="48"/>
  <c r="G12" i="48"/>
  <c r="N12" i="48"/>
  <c r="W12" i="48"/>
  <c r="D13" i="48"/>
  <c r="F13" i="48"/>
  <c r="N13" i="48"/>
  <c r="W13" i="48"/>
  <c r="D14" i="48"/>
  <c r="G14" i="48" s="1"/>
  <c r="F14" i="48"/>
  <c r="N14" i="48"/>
  <c r="W14" i="48"/>
  <c r="D15" i="48"/>
  <c r="G15" i="48" s="1"/>
  <c r="F15" i="48"/>
  <c r="N15" i="48"/>
  <c r="W15" i="48"/>
  <c r="D16" i="48"/>
  <c r="G16" i="48" s="1"/>
  <c r="F16" i="48"/>
  <c r="N16" i="48"/>
  <c r="W16" i="48"/>
  <c r="D17" i="48"/>
  <c r="L17" i="48" s="1"/>
  <c r="F17" i="48"/>
  <c r="G17" i="48"/>
  <c r="N17" i="48"/>
  <c r="W17" i="48"/>
  <c r="D18" i="48"/>
  <c r="G18" i="48" s="1"/>
  <c r="F18" i="48"/>
  <c r="W18" i="48"/>
  <c r="D19" i="48"/>
  <c r="G19" i="48"/>
  <c r="F19" i="48"/>
  <c r="L19" i="48"/>
  <c r="N19" i="48"/>
  <c r="W19" i="48"/>
  <c r="D20" i="48"/>
  <c r="F20" i="48"/>
  <c r="N20" i="48"/>
  <c r="W20" i="48"/>
  <c r="D21" i="48"/>
  <c r="G21" i="48" s="1"/>
  <c r="F21" i="48"/>
  <c r="L21" i="48"/>
  <c r="N21" i="48"/>
  <c r="W21" i="48"/>
  <c r="D22" i="48"/>
  <c r="F22" i="48"/>
  <c r="L22" i="48"/>
  <c r="N22" i="48"/>
  <c r="W22" i="48"/>
  <c r="D23" i="48"/>
  <c r="F23" i="48"/>
  <c r="G23" i="48"/>
  <c r="N23" i="48"/>
  <c r="W23" i="48"/>
  <c r="D24" i="48"/>
  <c r="G24" i="48" s="1"/>
  <c r="F24" i="48"/>
  <c r="L24" i="48"/>
  <c r="N24" i="48"/>
  <c r="W24" i="48"/>
  <c r="D25" i="48"/>
  <c r="F25" i="48"/>
  <c r="N25" i="48"/>
  <c r="W25" i="48"/>
  <c r="D26" i="48"/>
  <c r="F26" i="48"/>
  <c r="G26" i="48"/>
  <c r="L26" i="48"/>
  <c r="N26" i="48"/>
  <c r="W26" i="48"/>
  <c r="D27" i="48"/>
  <c r="F27" i="48"/>
  <c r="N27" i="48"/>
  <c r="W27" i="48"/>
  <c r="D28" i="48"/>
  <c r="F28" i="48"/>
  <c r="N28" i="48"/>
  <c r="W28" i="48"/>
  <c r="D29" i="48"/>
  <c r="F29" i="48"/>
  <c r="N29" i="48"/>
  <c r="W29" i="48"/>
  <c r="D30" i="48"/>
  <c r="F30" i="48"/>
  <c r="N30" i="48"/>
  <c r="W30" i="48"/>
  <c r="D31" i="48"/>
  <c r="F31" i="48"/>
  <c r="N31" i="48"/>
  <c r="W31" i="48"/>
  <c r="D32" i="48"/>
  <c r="G32" i="48" s="1"/>
  <c r="F32" i="48"/>
  <c r="L32" i="48"/>
  <c r="N32" i="48"/>
  <c r="W32" i="48"/>
  <c r="D33" i="48"/>
  <c r="G33" i="48"/>
  <c r="F33" i="48"/>
  <c r="N33" i="48"/>
  <c r="W33" i="48"/>
  <c r="D34" i="48"/>
  <c r="L34" i="48" s="1"/>
  <c r="F34" i="48"/>
  <c r="N34" i="48"/>
  <c r="W34" i="48"/>
  <c r="D35" i="48"/>
  <c r="F35" i="48"/>
  <c r="N35" i="48"/>
  <c r="W35" i="48"/>
  <c r="D36" i="48"/>
  <c r="F36" i="48"/>
  <c r="N36" i="48"/>
  <c r="W36" i="48"/>
  <c r="D37" i="48"/>
  <c r="L37" i="48" s="1"/>
  <c r="F37" i="48"/>
  <c r="N37" i="48"/>
  <c r="W37" i="48"/>
  <c r="D38" i="48"/>
  <c r="G38" i="48"/>
  <c r="F38" i="48"/>
  <c r="N38" i="48"/>
  <c r="W38" i="48"/>
  <c r="D39" i="48"/>
  <c r="G39" i="48" s="1"/>
  <c r="F39" i="48"/>
  <c r="N39" i="48"/>
  <c r="W39" i="48"/>
  <c r="D40" i="48"/>
  <c r="F40" i="48"/>
  <c r="N40" i="48"/>
  <c r="W40" i="48"/>
  <c r="D41" i="48"/>
  <c r="G41" i="48" s="1"/>
  <c r="F41" i="48"/>
  <c r="N41" i="48"/>
  <c r="W41" i="48"/>
  <c r="D42" i="48"/>
  <c r="F42" i="48"/>
  <c r="G42" i="48"/>
  <c r="L42" i="48"/>
  <c r="N42" i="48"/>
  <c r="W42" i="48"/>
  <c r="D43" i="48"/>
  <c r="L43" i="48"/>
  <c r="F43" i="48"/>
  <c r="G43" i="48"/>
  <c r="N43" i="48"/>
  <c r="W43" i="48"/>
  <c r="D44" i="48"/>
  <c r="G44" i="48"/>
  <c r="F44" i="48"/>
  <c r="N44" i="48"/>
  <c r="W44" i="48"/>
  <c r="D45" i="48"/>
  <c r="G45" i="48" s="1"/>
  <c r="F45" i="48"/>
  <c r="N45" i="48"/>
  <c r="W45" i="48"/>
  <c r="D46" i="48"/>
  <c r="G46" i="48" s="1"/>
  <c r="F46" i="48"/>
  <c r="N46" i="48"/>
  <c r="W46" i="48"/>
  <c r="D47" i="48"/>
  <c r="L47" i="48" s="1"/>
  <c r="F47" i="48"/>
  <c r="G47" i="48"/>
  <c r="N47" i="48"/>
  <c r="W47" i="48"/>
  <c r="D48" i="48"/>
  <c r="G48" i="48" s="1"/>
  <c r="F48" i="48"/>
  <c r="N48" i="48"/>
  <c r="W48" i="48"/>
  <c r="D49" i="48"/>
  <c r="F49" i="48"/>
  <c r="N49" i="48"/>
  <c r="W49" i="48"/>
  <c r="D50" i="48"/>
  <c r="F50" i="48"/>
  <c r="N50" i="48"/>
  <c r="W50" i="48"/>
  <c r="D51" i="48"/>
  <c r="F51" i="48"/>
  <c r="N51" i="48"/>
  <c r="W51" i="48"/>
  <c r="D52" i="48"/>
  <c r="L52" i="48" s="1"/>
  <c r="F52" i="48"/>
  <c r="G52" i="48"/>
  <c r="N52" i="48"/>
  <c r="W52" i="48"/>
  <c r="D53" i="48"/>
  <c r="L53" i="48" s="1"/>
  <c r="F53" i="48"/>
  <c r="N53" i="48"/>
  <c r="W53" i="48"/>
  <c r="D54" i="48"/>
  <c r="L54" i="48" s="1"/>
  <c r="F54" i="48"/>
  <c r="G54" i="48"/>
  <c r="N54" i="48"/>
  <c r="W54" i="48"/>
  <c r="D55" i="48"/>
  <c r="G55" i="48" s="1"/>
  <c r="F55" i="48"/>
  <c r="N55" i="48"/>
  <c r="W55" i="48"/>
  <c r="D56" i="48"/>
  <c r="L56" i="48" s="1"/>
  <c r="F56" i="48"/>
  <c r="N56" i="48"/>
  <c r="W56" i="48"/>
  <c r="D57" i="48"/>
  <c r="G57" i="48" s="1"/>
  <c r="F57" i="48"/>
  <c r="N57" i="48"/>
  <c r="W57" i="48"/>
  <c r="D58" i="48"/>
  <c r="F58" i="48"/>
  <c r="G58" i="48"/>
  <c r="N58" i="48"/>
  <c r="W58" i="48"/>
  <c r="D59" i="48"/>
  <c r="G59" i="48" s="1"/>
  <c r="F59" i="48"/>
  <c r="L59" i="48"/>
  <c r="N59" i="48"/>
  <c r="W59" i="48"/>
  <c r="D60" i="48"/>
  <c r="F60" i="48"/>
  <c r="N60" i="48"/>
  <c r="W60" i="48"/>
  <c r="D61" i="48"/>
  <c r="F61" i="48"/>
  <c r="G61" i="48"/>
  <c r="L61" i="48"/>
  <c r="N61" i="48"/>
  <c r="W61" i="48"/>
  <c r="D62" i="48"/>
  <c r="G62" i="48" s="1"/>
  <c r="F62" i="48"/>
  <c r="L62" i="48"/>
  <c r="N62" i="48"/>
  <c r="W62" i="48"/>
  <c r="D63" i="48"/>
  <c r="F63" i="48"/>
  <c r="N63" i="48"/>
  <c r="W63" i="48"/>
  <c r="D64" i="48"/>
  <c r="G64" i="48"/>
  <c r="F64" i="48"/>
  <c r="N64" i="48"/>
  <c r="W64" i="48"/>
  <c r="D65" i="48"/>
  <c r="L65" i="48" s="1"/>
  <c r="F65" i="48"/>
  <c r="G65" i="48"/>
  <c r="N65" i="48"/>
  <c r="W65" i="48"/>
  <c r="D66" i="48"/>
  <c r="G66" i="48" s="1"/>
  <c r="F66" i="48"/>
  <c r="N66" i="48"/>
  <c r="W66" i="48"/>
  <c r="D67" i="48"/>
  <c r="L67" i="48"/>
  <c r="F67" i="48"/>
  <c r="G67" i="48"/>
  <c r="N67" i="48"/>
  <c r="W67" i="48"/>
  <c r="D68" i="48"/>
  <c r="F68" i="48"/>
  <c r="N68" i="48"/>
  <c r="W68" i="48"/>
  <c r="D69" i="48"/>
  <c r="L69" i="48"/>
  <c r="F69" i="48"/>
  <c r="N69" i="48"/>
  <c r="W69" i="48"/>
  <c r="D70" i="48"/>
  <c r="G70" i="48" s="1"/>
  <c r="F70" i="48"/>
  <c r="N70" i="48"/>
  <c r="W70" i="48"/>
  <c r="D71" i="48"/>
  <c r="L71" i="48" s="1"/>
  <c r="F71" i="48"/>
  <c r="G71" i="48"/>
  <c r="N71" i="48"/>
  <c r="W71" i="48"/>
  <c r="D72" i="48"/>
  <c r="G72" i="48" s="1"/>
  <c r="F72" i="48"/>
  <c r="N72" i="48"/>
  <c r="W72" i="48"/>
  <c r="D73" i="48"/>
  <c r="G73" i="48" s="1"/>
  <c r="F73" i="48"/>
  <c r="L73" i="48"/>
  <c r="N73" i="48"/>
  <c r="W73" i="48"/>
  <c r="D74" i="48"/>
  <c r="G74" i="48" s="1"/>
  <c r="F74" i="48"/>
  <c r="N74" i="48"/>
  <c r="W74" i="48"/>
  <c r="D75" i="48"/>
  <c r="G75" i="48" s="1"/>
  <c r="F75" i="48"/>
  <c r="L75" i="48"/>
  <c r="N75" i="48"/>
  <c r="W75" i="48"/>
  <c r="D76" i="48"/>
  <c r="G76" i="48" s="1"/>
  <c r="F76" i="48"/>
  <c r="N76" i="48"/>
  <c r="W76" i="48"/>
  <c r="D77" i="48"/>
  <c r="F77" i="48"/>
  <c r="N77" i="48"/>
  <c r="W77" i="48"/>
  <c r="D78" i="48"/>
  <c r="G78" i="48" s="1"/>
  <c r="F78" i="48"/>
  <c r="N78" i="48"/>
  <c r="W78" i="48"/>
  <c r="D79" i="48"/>
  <c r="F79" i="48"/>
  <c r="N79" i="48"/>
  <c r="W79" i="48"/>
  <c r="D80" i="48"/>
  <c r="G80" i="48" s="1"/>
  <c r="F80" i="48"/>
  <c r="L80" i="48"/>
  <c r="N80" i="48"/>
  <c r="W80" i="48"/>
  <c r="D81" i="48"/>
  <c r="L81" i="48" s="1"/>
  <c r="F81" i="48"/>
  <c r="G81" i="48"/>
  <c r="N81" i="48"/>
  <c r="W81" i="48"/>
  <c r="D82" i="48"/>
  <c r="F82" i="48"/>
  <c r="G82" i="48"/>
  <c r="L82" i="48"/>
  <c r="N82" i="48"/>
  <c r="W82" i="48"/>
  <c r="D83" i="48"/>
  <c r="L83" i="48" s="1"/>
  <c r="F83" i="48"/>
  <c r="N83" i="48"/>
  <c r="W83" i="48"/>
  <c r="D84" i="48"/>
  <c r="F84" i="48"/>
  <c r="G84" i="48"/>
  <c r="L84" i="48"/>
  <c r="N84" i="48"/>
  <c r="W84" i="48"/>
  <c r="D85" i="48"/>
  <c r="L85" i="48" s="1"/>
  <c r="F85" i="48"/>
  <c r="N85" i="48"/>
  <c r="W85" i="48"/>
  <c r="D86" i="48"/>
  <c r="G86" i="48" s="1"/>
  <c r="F86" i="48"/>
  <c r="L86" i="48"/>
  <c r="N86" i="48"/>
  <c r="W86" i="48"/>
  <c r="D87" i="48"/>
  <c r="L87" i="48" s="1"/>
  <c r="F87" i="48"/>
  <c r="G87" i="48"/>
  <c r="N87" i="48"/>
  <c r="W87" i="48"/>
  <c r="D88" i="48"/>
  <c r="F88" i="48"/>
  <c r="N88" i="48"/>
  <c r="W88" i="48"/>
  <c r="D89" i="48"/>
  <c r="G89" i="48" s="1"/>
  <c r="F89" i="48"/>
  <c r="L89" i="48"/>
  <c r="N89" i="48"/>
  <c r="W89" i="48"/>
  <c r="D90" i="48"/>
  <c r="F90" i="48"/>
  <c r="N90" i="48"/>
  <c r="W90" i="48"/>
  <c r="D91" i="48"/>
  <c r="F91" i="48"/>
  <c r="G91" i="48"/>
  <c r="L91" i="48"/>
  <c r="N91" i="48"/>
  <c r="W91" i="48"/>
  <c r="D92" i="48"/>
  <c r="G92" i="48" s="1"/>
  <c r="F92" i="48"/>
  <c r="L92" i="48"/>
  <c r="N92" i="48"/>
  <c r="W92" i="48"/>
  <c r="D93" i="48"/>
  <c r="F93" i="48"/>
  <c r="G93" i="48"/>
  <c r="L93" i="48"/>
  <c r="N93" i="48"/>
  <c r="W93" i="48"/>
  <c r="D94" i="48"/>
  <c r="G94" i="48" s="1"/>
  <c r="F94" i="48"/>
  <c r="L94" i="48"/>
  <c r="N94" i="48"/>
  <c r="W94" i="48"/>
  <c r="D95" i="48"/>
  <c r="L95" i="48"/>
  <c r="F95" i="48"/>
  <c r="G95" i="48"/>
  <c r="N95" i="48"/>
  <c r="W95" i="48"/>
  <c r="D96" i="48"/>
  <c r="G96" i="48" s="1"/>
  <c r="F96" i="48"/>
  <c r="L96" i="48"/>
  <c r="N96" i="48"/>
  <c r="W96" i="48"/>
  <c r="D97" i="48"/>
  <c r="L97" i="48" s="1"/>
  <c r="G97" i="48"/>
  <c r="F97" i="48"/>
  <c r="N97" i="48"/>
  <c r="W97" i="48"/>
  <c r="D98" i="48"/>
  <c r="G98" i="48" s="1"/>
  <c r="F98" i="48"/>
  <c r="L98" i="48"/>
  <c r="N98" i="48"/>
  <c r="W98" i="48"/>
  <c r="D99" i="48"/>
  <c r="F99" i="48"/>
  <c r="N99" i="48"/>
  <c r="W99" i="48"/>
  <c r="D100" i="48"/>
  <c r="L100" i="48"/>
  <c r="F100" i="48"/>
  <c r="N100" i="48"/>
  <c r="W100" i="48"/>
  <c r="D101" i="48"/>
  <c r="G101" i="48" s="1"/>
  <c r="F101" i="48"/>
  <c r="N101" i="48"/>
  <c r="W101" i="48"/>
  <c r="D102" i="48"/>
  <c r="F102" i="48"/>
  <c r="N102" i="48"/>
  <c r="W102" i="48"/>
  <c r="D103" i="48"/>
  <c r="F103" i="48"/>
  <c r="G103" i="48"/>
  <c r="L103" i="48"/>
  <c r="N103" i="48"/>
  <c r="W103" i="48"/>
  <c r="D104" i="48"/>
  <c r="F104" i="48"/>
  <c r="N104" i="48"/>
  <c r="W104" i="48"/>
  <c r="D105" i="48"/>
  <c r="G105" i="48" s="1"/>
  <c r="F105" i="48"/>
  <c r="N105" i="48"/>
  <c r="W105" i="48"/>
  <c r="D106" i="48"/>
  <c r="F106" i="48"/>
  <c r="N106" i="48"/>
  <c r="W106" i="48"/>
  <c r="D107" i="48"/>
  <c r="G107" i="48" s="1"/>
  <c r="F107" i="48"/>
  <c r="N107" i="48"/>
  <c r="W107" i="48"/>
  <c r="D108" i="48"/>
  <c r="F108" i="48"/>
  <c r="N108" i="48"/>
  <c r="W108" i="48"/>
  <c r="D109" i="48"/>
  <c r="G109" i="48" s="1"/>
  <c r="F109" i="48"/>
  <c r="L109" i="48"/>
  <c r="N109" i="48"/>
  <c r="W109" i="48"/>
  <c r="D110" i="48"/>
  <c r="G110" i="48" s="1"/>
  <c r="F110" i="48"/>
  <c r="L110" i="48"/>
  <c r="N110" i="48"/>
  <c r="W110" i="48"/>
  <c r="D111" i="48"/>
  <c r="F111" i="48"/>
  <c r="N111" i="48"/>
  <c r="W111" i="48"/>
  <c r="D112" i="48"/>
  <c r="L112" i="48"/>
  <c r="F112" i="48"/>
  <c r="N112" i="48"/>
  <c r="W112" i="48"/>
  <c r="D113" i="48"/>
  <c r="G113" i="48" s="1"/>
  <c r="F113" i="48"/>
  <c r="N113" i="48"/>
  <c r="W113" i="48"/>
  <c r="D114" i="48"/>
  <c r="L114" i="48"/>
  <c r="F114" i="48"/>
  <c r="N114" i="48"/>
  <c r="W114" i="48"/>
  <c r="D115" i="48"/>
  <c r="G115" i="48" s="1"/>
  <c r="F115" i="48"/>
  <c r="N115" i="48"/>
  <c r="W115" i="48"/>
  <c r="D116" i="48"/>
  <c r="F116" i="48"/>
  <c r="N116" i="48"/>
  <c r="W116" i="48"/>
  <c r="D117" i="48"/>
  <c r="L117" i="48" s="1"/>
  <c r="F117" i="48"/>
  <c r="N117" i="48"/>
  <c r="W117" i="48"/>
  <c r="D118" i="48"/>
  <c r="F118" i="48"/>
  <c r="G118" i="48"/>
  <c r="L118" i="48"/>
  <c r="N118" i="48"/>
  <c r="W118" i="48"/>
  <c r="D119" i="48"/>
  <c r="F119" i="48"/>
  <c r="N119" i="48"/>
  <c r="W119" i="48"/>
  <c r="D120" i="48"/>
  <c r="G120" i="48" s="1"/>
  <c r="F120" i="48"/>
  <c r="N120" i="48"/>
  <c r="W120" i="48"/>
  <c r="D121" i="48"/>
  <c r="G121" i="48" s="1"/>
  <c r="F121" i="48"/>
  <c r="L121" i="48"/>
  <c r="N121" i="48"/>
  <c r="W121" i="48"/>
  <c r="D122" i="48"/>
  <c r="F122" i="48"/>
  <c r="N122" i="48"/>
  <c r="W122" i="48"/>
  <c r="D123" i="48"/>
  <c r="F123" i="48"/>
  <c r="N123" i="48"/>
  <c r="W123" i="48"/>
  <c r="D124" i="48"/>
  <c r="G124" i="48" s="1"/>
  <c r="F124" i="48"/>
  <c r="N124" i="48"/>
  <c r="W124" i="48"/>
  <c r="D125" i="48"/>
  <c r="F125" i="48"/>
  <c r="G125" i="48"/>
  <c r="L125" i="48"/>
  <c r="N125" i="48"/>
  <c r="W125" i="48"/>
  <c r="D126" i="48"/>
  <c r="G126" i="48" s="1"/>
  <c r="F126" i="48"/>
  <c r="N126" i="48"/>
  <c r="W126" i="48"/>
  <c r="B4" i="47"/>
  <c r="B5" i="47"/>
  <c r="B11" i="47"/>
  <c r="B13" i="47"/>
  <c r="B15" i="47"/>
  <c r="B17" i="47"/>
  <c r="D17" i="47"/>
  <c r="B22" i="47"/>
  <c r="B26" i="47"/>
  <c r="B27" i="47"/>
  <c r="B3" i="41"/>
  <c r="B5" i="41"/>
  <c r="C5" i="41"/>
  <c r="G5" i="41"/>
  <c r="V5" i="41"/>
  <c r="B4" i="41"/>
  <c r="C6" i="41"/>
  <c r="B7" i="41"/>
  <c r="D7" i="41"/>
  <c r="D10" i="41"/>
  <c r="D11" i="41"/>
  <c r="D12" i="41"/>
  <c r="D13" i="41"/>
  <c r="D14" i="41"/>
  <c r="D15" i="41"/>
  <c r="D17" i="41"/>
  <c r="A20" i="50"/>
  <c r="A21" i="50"/>
  <c r="N14" i="46"/>
  <c r="U205" i="29"/>
  <c r="G189" i="29"/>
  <c r="D87" i="30" s="1"/>
  <c r="D25" i="30" s="1"/>
  <c r="BG83" i="29"/>
  <c r="AD40" i="30"/>
  <c r="CC8" i="29"/>
  <c r="BG87" i="29"/>
  <c r="AD86" i="30"/>
  <c r="AD62" i="30"/>
  <c r="BG74" i="29"/>
  <c r="BG110" i="29"/>
  <c r="AD38" i="30"/>
  <c r="AD46" i="30"/>
  <c r="X37" i="50"/>
  <c r="AD48" i="30"/>
  <c r="AX68" i="29"/>
  <c r="BG159" i="29"/>
  <c r="BG133" i="29"/>
  <c r="BG109" i="29"/>
  <c r="BP53" i="29"/>
  <c r="BP21" i="29"/>
  <c r="X41" i="50"/>
  <c r="X107" i="50"/>
  <c r="BP121" i="29"/>
  <c r="BP145" i="29"/>
  <c r="BP82" i="29"/>
  <c r="BG103" i="29"/>
  <c r="X33" i="50"/>
  <c r="X39" i="50"/>
  <c r="CC18" i="29"/>
  <c r="X29" i="50"/>
  <c r="O20" i="50"/>
  <c r="F120" i="29"/>
  <c r="F180" i="29"/>
  <c r="O258" i="29"/>
  <c r="L48" i="50"/>
  <c r="D26" i="30"/>
  <c r="AX6" i="29"/>
  <c r="P19" i="30"/>
  <c r="F139" i="29"/>
  <c r="BG18" i="29"/>
  <c r="X64" i="50"/>
  <c r="BG184" i="29"/>
  <c r="X128" i="50"/>
  <c r="BG11" i="29"/>
  <c r="BG122" i="29"/>
  <c r="X42" i="50"/>
  <c r="X124" i="50"/>
  <c r="BG62" i="29"/>
  <c r="X89" i="50"/>
  <c r="BP89" i="29"/>
  <c r="BG81" i="29"/>
  <c r="BG114" i="29"/>
  <c r="BG150" i="29"/>
  <c r="BG183" i="29"/>
  <c r="BG93" i="29"/>
  <c r="BG187" i="29"/>
  <c r="CC46" i="29"/>
  <c r="BP15" i="29"/>
  <c r="BG14" i="29"/>
  <c r="BP14" i="29"/>
  <c r="CC14" i="29"/>
  <c r="AD71" i="30"/>
  <c r="CC48" i="29"/>
  <c r="CC16" i="29"/>
  <c r="BP16" i="29"/>
  <c r="AD34" i="30"/>
  <c r="X23" i="50"/>
  <c r="CC10" i="29"/>
  <c r="BG16" i="29"/>
  <c r="BP101" i="29"/>
  <c r="BP49" i="29"/>
  <c r="BG49" i="29"/>
  <c r="BP126" i="29"/>
  <c r="CC32" i="29"/>
  <c r="BP32" i="29"/>
  <c r="AD32" i="30"/>
  <c r="CC9" i="29"/>
  <c r="BG9" i="29"/>
  <c r="BG32" i="29"/>
  <c r="CC15" i="29"/>
  <c r="F159" i="29"/>
  <c r="X125" i="50"/>
  <c r="BP86" i="29"/>
  <c r="BG86" i="29"/>
  <c r="K206" i="29"/>
  <c r="N204" i="29"/>
  <c r="K203" i="29"/>
  <c r="AB203" i="29" s="1"/>
  <c r="AA203" i="29" s="1"/>
  <c r="U203" i="29"/>
  <c r="N205" i="29"/>
  <c r="AA205" i="29"/>
  <c r="AA204" i="29"/>
  <c r="N203" i="29"/>
  <c r="X17" i="30"/>
  <c r="F148" i="29"/>
  <c r="X153" i="50"/>
  <c r="F144" i="29"/>
  <c r="X20" i="50"/>
  <c r="AD31" i="30"/>
  <c r="X119" i="50"/>
  <c r="X103" i="50"/>
  <c r="X95" i="50"/>
  <c r="X94" i="50"/>
  <c r="X57" i="50"/>
  <c r="AD67" i="30"/>
  <c r="X24" i="50"/>
  <c r="AD35" i="30"/>
  <c r="BP180" i="29"/>
  <c r="BP141" i="29"/>
  <c r="AD81" i="30"/>
  <c r="BG30" i="29"/>
  <c r="X38" i="50"/>
  <c r="AD49" i="30"/>
  <c r="AD47" i="30"/>
  <c r="X36" i="50"/>
  <c r="BP24" i="29"/>
  <c r="BG24" i="29"/>
  <c r="BG20" i="29"/>
  <c r="BP20" i="29"/>
  <c r="CC20" i="29"/>
  <c r="X28" i="50"/>
  <c r="D8" i="45"/>
  <c r="D11" i="45" s="1"/>
  <c r="F176" i="29"/>
  <c r="BP172" i="29"/>
  <c r="BP112" i="29"/>
  <c r="BP96" i="29"/>
  <c r="BG96" i="29"/>
  <c r="BP59" i="29"/>
  <c r="BP58" i="29"/>
  <c r="BG58" i="29"/>
  <c r="CC58" i="29"/>
  <c r="AD76" i="30"/>
  <c r="CC53" i="29"/>
  <c r="BG53" i="29"/>
  <c r="X40" i="50"/>
  <c r="AD51" i="30"/>
  <c r="BP94" i="29"/>
  <c r="BP108" i="29"/>
  <c r="BG108" i="29"/>
  <c r="BP50" i="29"/>
  <c r="BG50" i="29"/>
  <c r="AD39" i="30"/>
  <c r="BG113" i="29"/>
  <c r="CI105" i="29"/>
  <c r="CI56" i="29"/>
  <c r="A22" i="50"/>
  <c r="O21" i="50"/>
  <c r="G122" i="48"/>
  <c r="L102" i="48"/>
  <c r="G102" i="48"/>
  <c r="G99" i="48"/>
  <c r="G60" i="48"/>
  <c r="L60" i="48"/>
  <c r="G35" i="48"/>
  <c r="G20" i="48"/>
  <c r="L20" i="48"/>
  <c r="L116" i="48"/>
  <c r="G116" i="48"/>
  <c r="L111" i="48"/>
  <c r="G111" i="48"/>
  <c r="L108" i="48"/>
  <c r="G108" i="48"/>
  <c r="L106" i="48"/>
  <c r="G106" i="48"/>
  <c r="G104" i="48"/>
  <c r="G68" i="48"/>
  <c r="L68" i="48"/>
  <c r="L122" i="48"/>
  <c r="L99" i="48"/>
  <c r="L88" i="48"/>
  <c r="G88" i="48"/>
  <c r="G79" i="48"/>
  <c r="L79" i="48"/>
  <c r="L77" i="48"/>
  <c r="G77" i="48"/>
  <c r="G63" i="48"/>
  <c r="L63" i="48"/>
  <c r="G49" i="48"/>
  <c r="L49" i="48"/>
  <c r="G40" i="48"/>
  <c r="L40" i="48"/>
  <c r="G36" i="48"/>
  <c r="L36" i="48"/>
  <c r="L35" i="48"/>
  <c r="G31" i="48"/>
  <c r="L31" i="48"/>
  <c r="F127" i="48"/>
  <c r="F177" i="48" s="1"/>
  <c r="L104" i="48"/>
  <c r="G28" i="48"/>
  <c r="L28" i="48"/>
  <c r="G13" i="48"/>
  <c r="L13" i="48"/>
  <c r="G27" i="48"/>
  <c r="L27" i="48"/>
  <c r="G10" i="48"/>
  <c r="L10" i="48"/>
  <c r="D127" i="48"/>
  <c r="L107" i="48"/>
  <c r="G90" i="48"/>
  <c r="L90" i="48"/>
  <c r="G85" i="48"/>
  <c r="L78" i="48"/>
  <c r="L66" i="48"/>
  <c r="L58" i="48"/>
  <c r="G50" i="48"/>
  <c r="L50" i="48"/>
  <c r="L41" i="48"/>
  <c r="G37" i="48"/>
  <c r="L33" i="48"/>
  <c r="L23" i="48"/>
  <c r="D177" i="48"/>
  <c r="G123" i="48"/>
  <c r="L123" i="48"/>
  <c r="G119" i="48"/>
  <c r="L119" i="48"/>
  <c r="G117" i="48"/>
  <c r="G114" i="48"/>
  <c r="G112" i="48"/>
  <c r="G100" i="48"/>
  <c r="G83" i="48"/>
  <c r="G69" i="48"/>
  <c r="L64" i="48"/>
  <c r="L51" i="48"/>
  <c r="G51" i="48"/>
  <c r="L44" i="48"/>
  <c r="L38" i="48"/>
  <c r="G25" i="48"/>
  <c r="L25" i="48"/>
  <c r="G7" i="48"/>
  <c r="L7" i="48"/>
  <c r="L11" i="48"/>
  <c r="G11" i="48"/>
  <c r="G30" i="48"/>
  <c r="L30" i="48"/>
  <c r="G29" i="48"/>
  <c r="L29" i="48"/>
  <c r="G22" i="48"/>
  <c r="K5" i="30"/>
  <c r="AT6" i="29" s="1"/>
  <c r="CI120" i="29"/>
  <c r="CI53" i="29"/>
  <c r="CI71" i="29"/>
  <c r="CI167" i="29"/>
  <c r="CI84" i="29"/>
  <c r="CI113" i="29"/>
  <c r="CI10" i="29"/>
  <c r="CI98" i="29"/>
  <c r="CI118" i="29"/>
  <c r="CI93" i="29"/>
  <c r="CI75" i="29"/>
  <c r="CI96" i="29"/>
  <c r="CI81" i="29"/>
  <c r="CM6" i="29"/>
  <c r="BG75" i="29"/>
  <c r="BP164" i="29"/>
  <c r="AF6" i="29"/>
  <c r="AF24" i="29"/>
  <c r="AF26" i="29"/>
  <c r="AF33" i="29"/>
  <c r="AF44" i="29"/>
  <c r="AF49" i="29"/>
  <c r="AF52" i="29"/>
  <c r="AF56" i="29"/>
  <c r="AF57" i="29"/>
  <c r="CC27" i="29"/>
  <c r="BP188" i="29"/>
  <c r="BP92" i="29"/>
  <c r="BP47" i="29"/>
  <c r="AD83" i="30"/>
  <c r="BG65" i="29"/>
  <c r="BP115" i="29"/>
  <c r="CC47" i="29"/>
  <c r="CC41" i="29"/>
  <c r="BP147" i="29"/>
  <c r="BG88" i="29"/>
  <c r="BP41" i="29"/>
  <c r="BG35" i="29"/>
  <c r="BP116" i="29"/>
  <c r="BG102" i="29"/>
  <c r="X63" i="50"/>
  <c r="BG161" i="29"/>
  <c r="CC34" i="29"/>
  <c r="BG107" i="29"/>
  <c r="F156" i="29"/>
  <c r="X59" i="50"/>
  <c r="BG132" i="29"/>
  <c r="F160" i="29"/>
  <c r="BP34" i="29"/>
  <c r="BP7" i="29"/>
  <c r="X169" i="50"/>
  <c r="M59" i="30"/>
  <c r="AD37" i="30"/>
  <c r="AD77" i="30"/>
  <c r="AD33" i="30"/>
  <c r="AD42" i="30"/>
  <c r="X34" i="50"/>
  <c r="L77" i="50"/>
  <c r="F145" i="29"/>
  <c r="AX137" i="29"/>
  <c r="AX124" i="29"/>
  <c r="AX39" i="29"/>
  <c r="L176" i="50"/>
  <c r="M61" i="30"/>
  <c r="AF148" i="29"/>
  <c r="X130" i="50"/>
  <c r="BG186" i="29"/>
  <c r="X152" i="50"/>
  <c r="BP128" i="29"/>
  <c r="F131" i="29"/>
  <c r="BP162" i="29"/>
  <c r="F143" i="29"/>
  <c r="BP166" i="29"/>
  <c r="X140" i="50"/>
  <c r="BP178" i="29"/>
  <c r="BP6" i="29"/>
  <c r="BG143" i="29"/>
  <c r="F174" i="29"/>
  <c r="BP175" i="29"/>
  <c r="X194" i="50"/>
  <c r="X54" i="50"/>
  <c r="X178" i="50"/>
  <c r="BG27" i="29"/>
  <c r="BG17" i="29"/>
  <c r="BP105" i="29"/>
  <c r="BP10" i="29"/>
  <c r="AD28" i="30"/>
  <c r="F141" i="29"/>
  <c r="BP63" i="29"/>
  <c r="CC51" i="29"/>
  <c r="BP29" i="29"/>
  <c r="BG23" i="29"/>
  <c r="CC17" i="29"/>
  <c r="BP104" i="29"/>
  <c r="AD56" i="30"/>
  <c r="BP23" i="29"/>
  <c r="CC11" i="29"/>
  <c r="CC28" i="29"/>
  <c r="X183" i="50"/>
  <c r="CC31" i="29"/>
  <c r="BG73" i="29"/>
  <c r="X177" i="50"/>
  <c r="AD36" i="30"/>
  <c r="BG84" i="29"/>
  <c r="BG29" i="29"/>
  <c r="BG106" i="29"/>
  <c r="BG12" i="29"/>
  <c r="BG31" i="29"/>
  <c r="F170" i="29"/>
  <c r="F123" i="29"/>
  <c r="BP130" i="29"/>
  <c r="BP125" i="29"/>
  <c r="F158" i="29"/>
  <c r="BG179" i="29"/>
  <c r="F184" i="29"/>
  <c r="BP138" i="29"/>
  <c r="X167" i="50"/>
  <c r="L174" i="50"/>
  <c r="AX165" i="29"/>
  <c r="BG72" i="29"/>
  <c r="BP72" i="29"/>
  <c r="BG71" i="29"/>
  <c r="BP71" i="29"/>
  <c r="BP54" i="29"/>
  <c r="CC54" i="29"/>
  <c r="BG54" i="29"/>
  <c r="AD73" i="30"/>
  <c r="X62" i="50"/>
  <c r="BP174" i="29"/>
  <c r="BG174" i="29"/>
  <c r="X144" i="50"/>
  <c r="BP66" i="29"/>
  <c r="BG66" i="29"/>
  <c r="F135" i="29"/>
  <c r="X132" i="50"/>
  <c r="F136" i="29"/>
  <c r="X158" i="50"/>
  <c r="BG144" i="29"/>
  <c r="BP144" i="29"/>
  <c r="BG142" i="29"/>
  <c r="BP142" i="29"/>
  <c r="BG139" i="29"/>
  <c r="X146" i="50"/>
  <c r="X134" i="50"/>
  <c r="BP91" i="29"/>
  <c r="BG91" i="29"/>
  <c r="BP68" i="29"/>
  <c r="BG68" i="29"/>
  <c r="BP61" i="29"/>
  <c r="BG90" i="29"/>
  <c r="BP90" i="29"/>
  <c r="BP78" i="29"/>
  <c r="BG78" i="29"/>
  <c r="CC56" i="29"/>
  <c r="X180" i="50"/>
  <c r="F171" i="29"/>
  <c r="BG165" i="29"/>
  <c r="BP165" i="29"/>
  <c r="X170" i="50"/>
  <c r="F161" i="29"/>
  <c r="BG152" i="29"/>
  <c r="BP152" i="29"/>
  <c r="BG151" i="29"/>
  <c r="BP151" i="29"/>
  <c r="BP70" i="29"/>
  <c r="BG70" i="29"/>
  <c r="BP69" i="29"/>
  <c r="X49" i="50"/>
  <c r="AD60" i="30"/>
  <c r="X101" i="50"/>
  <c r="X97" i="50"/>
  <c r="X96" i="50"/>
  <c r="X71" i="50"/>
  <c r="X69" i="50"/>
  <c r="AD80" i="30"/>
  <c r="AD41" i="30"/>
  <c r="X30" i="50"/>
  <c r="X182" i="50"/>
  <c r="F165" i="29"/>
  <c r="X174" i="50"/>
  <c r="X173" i="50"/>
  <c r="F164" i="29"/>
  <c r="X172" i="50"/>
  <c r="F163" i="29"/>
  <c r="F151" i="29"/>
  <c r="X160" i="50"/>
  <c r="X127" i="50"/>
  <c r="X126" i="50"/>
  <c r="L146" i="50"/>
  <c r="X120" i="50"/>
  <c r="X108" i="50"/>
  <c r="X102" i="50"/>
  <c r="X84" i="50"/>
  <c r="AD79" i="30"/>
  <c r="AD30" i="30"/>
  <c r="X19" i="50"/>
  <c r="AD29" i="30"/>
  <c r="X18" i="50"/>
  <c r="L108" i="50"/>
  <c r="AX99" i="29"/>
  <c r="F188" i="29"/>
  <c r="X186" i="50"/>
  <c r="F177" i="29"/>
  <c r="X166" i="50"/>
  <c r="F157" i="29"/>
  <c r="X136" i="50"/>
  <c r="F127" i="29"/>
  <c r="X82" i="50"/>
  <c r="X76" i="50"/>
  <c r="L183" i="50"/>
  <c r="AX79" i="29"/>
  <c r="L141" i="50"/>
  <c r="AX109" i="29"/>
  <c r="L103" i="50"/>
  <c r="F186" i="29"/>
  <c r="X147" i="50"/>
  <c r="F138" i="29"/>
  <c r="X83" i="50"/>
  <c r="X60" i="50"/>
  <c r="BG168" i="29"/>
  <c r="BP168" i="29"/>
  <c r="BP167" i="29"/>
  <c r="BG167" i="29"/>
  <c r="BG158" i="29"/>
  <c r="BP158" i="29"/>
  <c r="BG156" i="29"/>
  <c r="BP156" i="29"/>
  <c r="BG155" i="29"/>
  <c r="F153" i="29"/>
  <c r="X162" i="50"/>
  <c r="F133" i="29"/>
  <c r="X142" i="50"/>
  <c r="F128" i="29"/>
  <c r="X137" i="50"/>
  <c r="BP100" i="29"/>
  <c r="BG100" i="29"/>
  <c r="BP79" i="29"/>
  <c r="BG79" i="29"/>
  <c r="F178" i="29"/>
  <c r="X187" i="50"/>
  <c r="BG171" i="29"/>
  <c r="BP171" i="29"/>
  <c r="BG170" i="29"/>
  <c r="BP170" i="29"/>
  <c r="X175" i="50"/>
  <c r="F166" i="29"/>
  <c r="BP157" i="29"/>
  <c r="BG157" i="29"/>
  <c r="BG154" i="29"/>
  <c r="BP154" i="29"/>
  <c r="X143" i="50"/>
  <c r="F134" i="29"/>
  <c r="F132" i="29"/>
  <c r="X141" i="50"/>
  <c r="F129" i="29"/>
  <c r="X138" i="50"/>
  <c r="F126" i="29"/>
  <c r="X135" i="50"/>
  <c r="X118" i="50"/>
  <c r="X61" i="50"/>
  <c r="AD72" i="30"/>
  <c r="X48" i="50"/>
  <c r="AD59" i="30"/>
  <c r="F130" i="29"/>
  <c r="X139" i="50"/>
  <c r="X44" i="50"/>
  <c r="AD55" i="30"/>
  <c r="BG169" i="29"/>
  <c r="AX182" i="29"/>
  <c r="L191" i="50"/>
  <c r="BG149" i="29"/>
  <c r="BP149" i="29"/>
  <c r="F146" i="29"/>
  <c r="X133" i="50"/>
  <c r="X122" i="50"/>
  <c r="X58" i="50"/>
  <c r="AD69" i="30"/>
  <c r="AD68" i="30"/>
  <c r="X190" i="50"/>
  <c r="F181" i="29"/>
  <c r="F137" i="29"/>
  <c r="X145" i="50"/>
  <c r="BP120" i="29"/>
  <c r="BG120" i="29"/>
  <c r="X92" i="50"/>
  <c r="X91" i="50"/>
  <c r="X148" i="50"/>
  <c r="X121" i="50"/>
  <c r="BG67" i="29"/>
  <c r="BP67" i="29"/>
  <c r="L157" i="50"/>
  <c r="AX148" i="29"/>
  <c r="X184" i="50"/>
  <c r="BG146" i="29"/>
  <c r="BP146" i="29"/>
  <c r="F142" i="29"/>
  <c r="X151" i="50"/>
  <c r="BP136" i="29"/>
  <c r="BG136" i="29"/>
  <c r="BP127" i="29"/>
  <c r="X123" i="50"/>
  <c r="X106" i="50"/>
  <c r="X105" i="50"/>
  <c r="CC57" i="29"/>
  <c r="BG57" i="29"/>
  <c r="BP57" i="29"/>
  <c r="BP45" i="29"/>
  <c r="BG45" i="29"/>
  <c r="CC45" i="29"/>
  <c r="CC43" i="29"/>
  <c r="BG43" i="29"/>
  <c r="BP43" i="29"/>
  <c r="BG40" i="29"/>
  <c r="BP39" i="29"/>
  <c r="CC39" i="29"/>
  <c r="BG39" i="29"/>
  <c r="BP37" i="29"/>
  <c r="BG37" i="29"/>
  <c r="CC37" i="29"/>
  <c r="BG33" i="29"/>
  <c r="AD43" i="30"/>
  <c r="X32" i="50"/>
  <c r="F183" i="29"/>
  <c r="X192" i="50"/>
  <c r="F182" i="29"/>
  <c r="X191" i="50"/>
  <c r="F152" i="29"/>
  <c r="BG148" i="29"/>
  <c r="F140" i="29"/>
  <c r="X149" i="50"/>
  <c r="F122" i="29"/>
  <c r="X131" i="50"/>
  <c r="BG119" i="29"/>
  <c r="BP118" i="29"/>
  <c r="BG118" i="29"/>
  <c r="X116" i="50"/>
  <c r="X113" i="50"/>
  <c r="X112" i="50"/>
  <c r="BG98" i="29"/>
  <c r="BP98" i="29"/>
  <c r="X79" i="50"/>
  <c r="BG64" i="29"/>
  <c r="BP60" i="29"/>
  <c r="BG60" i="29"/>
  <c r="AD78" i="30"/>
  <c r="X67" i="50"/>
  <c r="BG55" i="29"/>
  <c r="AD66" i="30"/>
  <c r="X55" i="50"/>
  <c r="X53" i="50"/>
  <c r="AD64" i="30"/>
  <c r="X52" i="50"/>
  <c r="AD63" i="30"/>
  <c r="AD61" i="30"/>
  <c r="AD58" i="30"/>
  <c r="X47" i="50"/>
  <c r="AD54" i="30"/>
  <c r="X43" i="50"/>
  <c r="BP13" i="29"/>
  <c r="CC13" i="29"/>
  <c r="BG13" i="29"/>
  <c r="O26" i="30"/>
  <c r="E15" i="50"/>
  <c r="F26" i="30"/>
  <c r="X176" i="50"/>
  <c r="E186" i="50"/>
  <c r="AQ178" i="29"/>
  <c r="BG182" i="29"/>
  <c r="BP182" i="29"/>
  <c r="X188" i="50"/>
  <c r="F179" i="29"/>
  <c r="X185" i="50"/>
  <c r="F172" i="29"/>
  <c r="X196" i="50"/>
  <c r="X195" i="50"/>
  <c r="F155" i="29"/>
  <c r="X164" i="50"/>
  <c r="X163" i="50"/>
  <c r="F150" i="29"/>
  <c r="X159" i="50"/>
  <c r="AX41" i="29"/>
  <c r="F162" i="29"/>
  <c r="X168" i="50"/>
  <c r="BG153" i="29"/>
  <c r="AD85" i="30"/>
  <c r="AD82" i="30"/>
  <c r="BG21" i="29"/>
  <c r="AX94" i="29"/>
  <c r="A23" i="50"/>
  <c r="O22" i="50"/>
  <c r="L88" i="50"/>
  <c r="E189" i="50"/>
  <c r="Q181" i="29"/>
  <c r="L133" i="50"/>
  <c r="AX167" i="29"/>
  <c r="M86" i="30"/>
  <c r="AX46" i="29"/>
  <c r="L55" i="50"/>
  <c r="M66" i="30"/>
  <c r="L98" i="50"/>
  <c r="AX89" i="29"/>
  <c r="AX180" i="29"/>
  <c r="AQ181" i="29"/>
  <c r="Q149" i="29"/>
  <c r="AQ149" i="29"/>
  <c r="E157" i="50"/>
  <c r="AH148" i="29"/>
  <c r="AI148" i="29" s="1"/>
  <c r="L82" i="50"/>
  <c r="Q182" i="29"/>
  <c r="AX174" i="29"/>
  <c r="AH181" i="29"/>
  <c r="AI181" i="29" s="1"/>
  <c r="AQ182" i="29"/>
  <c r="L193" i="50"/>
  <c r="AX184" i="29"/>
  <c r="L158" i="50"/>
  <c r="AX149" i="29"/>
  <c r="L140" i="50"/>
  <c r="AX156" i="29"/>
  <c r="L165" i="50"/>
  <c r="L118" i="50"/>
  <c r="E182" i="50"/>
  <c r="Q174" i="29"/>
  <c r="L120" i="50"/>
  <c r="AX111" i="29"/>
  <c r="L139" i="50"/>
  <c r="AX130" i="29"/>
  <c r="AH163" i="29"/>
  <c r="AI163" i="29" s="1"/>
  <c r="AQ187" i="29"/>
  <c r="AX151" i="29"/>
  <c r="L160" i="50"/>
  <c r="AX153" i="29"/>
  <c r="L162" i="50"/>
  <c r="AH188" i="29"/>
  <c r="AI188" i="29" s="1"/>
  <c r="E197" i="50"/>
  <c r="AF188" i="29"/>
  <c r="L80" i="50"/>
  <c r="AX54" i="29"/>
  <c r="M74" i="30"/>
  <c r="L63" i="50"/>
  <c r="AQ135" i="29"/>
  <c r="E143" i="50"/>
  <c r="AH134" i="29"/>
  <c r="AI134" i="29" s="1"/>
  <c r="Q135" i="29"/>
  <c r="AQ163" i="29"/>
  <c r="AH162" i="29"/>
  <c r="AI162" i="29" s="1"/>
  <c r="Q163" i="29"/>
  <c r="E171" i="50"/>
  <c r="E188" i="50"/>
  <c r="E181" i="50"/>
  <c r="AQ173" i="29"/>
  <c r="Q173" i="29"/>
  <c r="AH172" i="29"/>
  <c r="AI172" i="29" s="1"/>
  <c r="Q177" i="29"/>
  <c r="E185" i="50"/>
  <c r="AQ177" i="29"/>
  <c r="AH176" i="29"/>
  <c r="AI176" i="29" s="1"/>
  <c r="AH183" i="29"/>
  <c r="AI183" i="29" s="1"/>
  <c r="E192" i="50"/>
  <c r="Q184" i="29"/>
  <c r="AQ184" i="29"/>
  <c r="E191" i="50"/>
  <c r="AQ156" i="29"/>
  <c r="Q156" i="29"/>
  <c r="E164" i="50"/>
  <c r="AH155" i="29"/>
  <c r="AI155" i="29" s="1"/>
  <c r="O23" i="50"/>
  <c r="A24" i="50"/>
  <c r="A25" i="50"/>
  <c r="O24" i="50"/>
  <c r="A26" i="50"/>
  <c r="O26" i="50" s="1"/>
  <c r="O25" i="50"/>
  <c r="A27" i="50"/>
  <c r="O27" i="50"/>
  <c r="A28" i="50"/>
  <c r="A29" i="50" s="1"/>
  <c r="F19" i="29"/>
  <c r="F20" i="29"/>
  <c r="F21" i="29"/>
  <c r="F22" i="29"/>
  <c r="F23" i="29"/>
  <c r="F40" i="30"/>
  <c r="E29" i="50"/>
  <c r="F24" i="29"/>
  <c r="F25" i="29"/>
  <c r="Q21" i="29"/>
  <c r="R41" i="30" s="1"/>
  <c r="F26" i="29"/>
  <c r="F27" i="29"/>
  <c r="F44" i="30"/>
  <c r="AQ25" i="29"/>
  <c r="E33" i="50"/>
  <c r="F28" i="29"/>
  <c r="H33" i="50"/>
  <c r="F29" i="29"/>
  <c r="E35" i="50"/>
  <c r="F46" i="30"/>
  <c r="AQ27" i="29"/>
  <c r="F30" i="29"/>
  <c r="F31" i="29"/>
  <c r="AQ29" i="29"/>
  <c r="F48" i="30"/>
  <c r="E37" i="50"/>
  <c r="F32" i="29"/>
  <c r="F33" i="29"/>
  <c r="Q25" i="29"/>
  <c r="R45" i="30" s="1"/>
  <c r="AH19" i="29"/>
  <c r="AI19" i="29" s="1"/>
  <c r="F34" i="29"/>
  <c r="F35" i="29"/>
  <c r="AH20" i="29"/>
  <c r="AI20" i="29" s="1"/>
  <c r="F36" i="29"/>
  <c r="Q27" i="29"/>
  <c r="R47" i="30" s="1"/>
  <c r="E42" i="50"/>
  <c r="F53" i="30"/>
  <c r="AQ34" i="29"/>
  <c r="F38" i="29"/>
  <c r="I53" i="30"/>
  <c r="H42" i="50"/>
  <c r="F39" i="29"/>
  <c r="Q29" i="29"/>
  <c r="R49" i="30" s="1"/>
  <c r="F40" i="29"/>
  <c r="F41" i="29"/>
  <c r="AH24" i="29"/>
  <c r="AI24" i="29" s="1"/>
  <c r="F42" i="29"/>
  <c r="F43" i="29"/>
  <c r="F44" i="29"/>
  <c r="AH26" i="29"/>
  <c r="AI26" i="29" s="1"/>
  <c r="F45" i="29"/>
  <c r="F46" i="29"/>
  <c r="F47" i="29"/>
  <c r="AH28" i="29"/>
  <c r="AI28" i="29" s="1"/>
  <c r="Q34" i="29"/>
  <c r="R54" i="30" s="1"/>
  <c r="F48" i="29"/>
  <c r="AQ45" i="29"/>
  <c r="E53" i="50"/>
  <c r="F64" i="30"/>
  <c r="F49" i="29"/>
  <c r="I64" i="30"/>
  <c r="H53" i="50"/>
  <c r="F50" i="29"/>
  <c r="F51" i="29"/>
  <c r="F52" i="29"/>
  <c r="F68" i="30"/>
  <c r="E57" i="50"/>
  <c r="AQ49" i="29"/>
  <c r="F53" i="29"/>
  <c r="AQ50" i="29"/>
  <c r="F69" i="30"/>
  <c r="E58" i="50"/>
  <c r="F54" i="29"/>
  <c r="I69" i="30"/>
  <c r="H58" i="50"/>
  <c r="F55" i="29"/>
  <c r="AH33" i="29"/>
  <c r="AI33" i="29" s="1"/>
  <c r="F56" i="29"/>
  <c r="E61" i="50"/>
  <c r="AQ53" i="29"/>
  <c r="F72" i="30"/>
  <c r="F57" i="29"/>
  <c r="H61" i="50"/>
  <c r="I72" i="30"/>
  <c r="F58" i="29"/>
  <c r="F59" i="29"/>
  <c r="F60" i="29"/>
  <c r="AQ57" i="29"/>
  <c r="F76" i="30"/>
  <c r="E65" i="50"/>
  <c r="F61" i="29"/>
  <c r="H65" i="50"/>
  <c r="I76" i="30"/>
  <c r="F77" i="30"/>
  <c r="E66" i="50"/>
  <c r="AQ58" i="29"/>
  <c r="F62" i="29"/>
  <c r="F63" i="29"/>
  <c r="Q45" i="29"/>
  <c r="R65" i="30" s="1"/>
  <c r="F64" i="29"/>
  <c r="F65" i="29"/>
  <c r="F66" i="29"/>
  <c r="F67" i="29"/>
  <c r="F68" i="29"/>
  <c r="F69" i="29"/>
  <c r="E74" i="50"/>
  <c r="F70" i="29"/>
  <c r="F86" i="30"/>
  <c r="AQ67" i="29"/>
  <c r="E75" i="50"/>
  <c r="F71" i="29"/>
  <c r="AH44" i="29"/>
  <c r="AI44" i="29" s="1"/>
  <c r="Q49" i="29"/>
  <c r="R69" i="30" s="1"/>
  <c r="F72" i="29"/>
  <c r="E77" i="50"/>
  <c r="AQ69" i="29"/>
  <c r="F73" i="29"/>
  <c r="Q50" i="29"/>
  <c r="R70" i="30" s="1"/>
  <c r="E78" i="50"/>
  <c r="F74" i="29"/>
  <c r="E79" i="50"/>
  <c r="AQ71" i="29"/>
  <c r="F75" i="29"/>
  <c r="F76" i="29"/>
  <c r="F77" i="29"/>
  <c r="AH48" i="29"/>
  <c r="AI48" i="29" s="1"/>
  <c r="F78" i="29"/>
  <c r="Q53" i="29"/>
  <c r="R73" i="30" s="1"/>
  <c r="F79" i="29"/>
  <c r="AH49" i="29"/>
  <c r="AI49" i="29" s="1"/>
  <c r="F80" i="29"/>
  <c r="F81" i="29"/>
  <c r="F82" i="29"/>
  <c r="F83" i="29"/>
  <c r="AH52" i="29"/>
  <c r="AI52" i="29" s="1"/>
  <c r="F84" i="29"/>
  <c r="Q57" i="29"/>
  <c r="R77" i="30" s="1"/>
  <c r="F85" i="29"/>
  <c r="Q58" i="29"/>
  <c r="R78" i="30" s="1"/>
  <c r="F86" i="29"/>
  <c r="F87" i="29"/>
  <c r="F88" i="29"/>
  <c r="F89" i="29"/>
  <c r="F90" i="29"/>
  <c r="AH56" i="29"/>
  <c r="AI56" i="29" s="1"/>
  <c r="F91" i="29"/>
  <c r="F92" i="29"/>
  <c r="AH57" i="29"/>
  <c r="AI57" i="29" s="1"/>
  <c r="F93" i="29"/>
  <c r="F94" i="29"/>
  <c r="F95" i="29"/>
  <c r="F96" i="29"/>
  <c r="F97" i="29"/>
  <c r="F98" i="29"/>
  <c r="E103" i="50"/>
  <c r="AQ95" i="29"/>
  <c r="F99" i="29"/>
  <c r="F100" i="29"/>
  <c r="F101" i="29"/>
  <c r="Q67" i="29"/>
  <c r="R87" i="30" s="1"/>
  <c r="R25" i="30" s="1"/>
  <c r="F102" i="29"/>
  <c r="E107" i="50"/>
  <c r="F103" i="29"/>
  <c r="F104" i="29"/>
  <c r="Q69" i="29"/>
  <c r="F105" i="29"/>
  <c r="Q70" i="29"/>
  <c r="F106" i="29"/>
  <c r="Q71" i="29"/>
  <c r="F107" i="29"/>
  <c r="AH66" i="29"/>
  <c r="AI66" i="29" s="1"/>
  <c r="F108" i="29"/>
  <c r="E113" i="50"/>
  <c r="F109" i="29"/>
  <c r="F110" i="29"/>
  <c r="AH68" i="29"/>
  <c r="AI68" i="29" s="1"/>
  <c r="F111" i="29"/>
  <c r="AH69" i="29"/>
  <c r="AI69" i="29" s="1"/>
  <c r="F112" i="29"/>
  <c r="F113" i="29"/>
  <c r="AH70" i="29"/>
  <c r="AI70" i="29" s="1"/>
  <c r="F114" i="29"/>
  <c r="F115" i="29"/>
  <c r="F116" i="29"/>
  <c r="F117" i="29"/>
  <c r="F118" i="29"/>
  <c r="E125" i="50"/>
  <c r="AQ117" i="29"/>
  <c r="E126" i="50"/>
  <c r="AQ118" i="29"/>
  <c r="Q95" i="29"/>
  <c r="AH94" i="29"/>
  <c r="AI94" i="29" s="1"/>
  <c r="AH104" i="29"/>
  <c r="AI104" i="29" s="1"/>
  <c r="Q117" i="29"/>
  <c r="AH116" i="29"/>
  <c r="AI116" i="29" s="1"/>
  <c r="AH117" i="29"/>
  <c r="AI117" i="29" s="1"/>
  <c r="Q118" i="29"/>
  <c r="L127" i="50"/>
  <c r="AX118" i="29"/>
  <c r="U4" i="30" l="1"/>
  <c r="K149" i="29"/>
  <c r="F158" i="50" s="1"/>
  <c r="M47" i="30"/>
  <c r="L36" i="50"/>
  <c r="AX27" i="29"/>
  <c r="M185" i="29"/>
  <c r="J143" i="29"/>
  <c r="M135" i="29"/>
  <c r="C198" i="50"/>
  <c r="J132" i="29"/>
  <c r="J130" i="29"/>
  <c r="J165" i="29"/>
  <c r="M149" i="29"/>
  <c r="J142" i="29"/>
  <c r="J139" i="29"/>
  <c r="J131" i="29"/>
  <c r="M70" i="29"/>
  <c r="J53" i="29"/>
  <c r="J32" i="29"/>
  <c r="J27" i="29"/>
  <c r="H66" i="50"/>
  <c r="I68" i="30"/>
  <c r="AH182" i="29"/>
  <c r="AI182" i="29" s="1"/>
  <c r="AH179" i="29"/>
  <c r="AI179" i="29" s="1"/>
  <c r="AQ134" i="29"/>
  <c r="Q187" i="29"/>
  <c r="AF48" i="29"/>
  <c r="AQ183" i="29"/>
  <c r="AQ180" i="29"/>
  <c r="AH186" i="29"/>
  <c r="AI186" i="29" s="1"/>
  <c r="E195" i="50"/>
  <c r="AF94" i="29"/>
  <c r="AX169" i="29"/>
  <c r="M41" i="30"/>
  <c r="L105" i="50"/>
  <c r="M53" i="30"/>
  <c r="L69" i="50"/>
  <c r="L75" i="50"/>
  <c r="L96" i="50"/>
  <c r="AX126" i="29"/>
  <c r="CI66" i="29"/>
  <c r="CI51" i="29"/>
  <c r="CI152" i="29"/>
  <c r="CI165" i="29"/>
  <c r="CI99" i="29"/>
  <c r="CI7" i="29"/>
  <c r="AX33" i="29"/>
  <c r="AX101" i="29"/>
  <c r="M80" i="30"/>
  <c r="AX81" i="29"/>
  <c r="AX21" i="29"/>
  <c r="L152" i="50"/>
  <c r="BG140" i="29"/>
  <c r="BP140" i="29"/>
  <c r="BP40" i="29"/>
  <c r="CC40" i="29"/>
  <c r="BG36" i="29"/>
  <c r="CC36" i="29"/>
  <c r="CC26" i="29"/>
  <c r="BG26" i="29"/>
  <c r="F24" i="30"/>
  <c r="C5" i="48"/>
  <c r="J64" i="29"/>
  <c r="AD84" i="30"/>
  <c r="X73" i="50"/>
  <c r="M37" i="29"/>
  <c r="X46" i="50"/>
  <c r="F37" i="29"/>
  <c r="BP36" i="29"/>
  <c r="CI13" i="29"/>
  <c r="CI47" i="29"/>
  <c r="CI117" i="29"/>
  <c r="CI60" i="29"/>
  <c r="CI57" i="29"/>
  <c r="CI77" i="29"/>
  <c r="CI86" i="29"/>
  <c r="CI91" i="29"/>
  <c r="CI39" i="29"/>
  <c r="CI49" i="29"/>
  <c r="CI179" i="29"/>
  <c r="AD57" i="30"/>
  <c r="BP44" i="29"/>
  <c r="AA258" i="29"/>
  <c r="N206" i="29"/>
  <c r="K205" i="29"/>
  <c r="U206" i="29"/>
  <c r="K204" i="29"/>
  <c r="S258" i="29"/>
  <c r="U204" i="29"/>
  <c r="V258" i="29"/>
  <c r="AA206" i="29"/>
  <c r="BP176" i="29"/>
  <c r="BG176" i="29"/>
  <c r="BG163" i="29"/>
  <c r="BP163" i="29"/>
  <c r="BP160" i="29"/>
  <c r="BG160" i="29"/>
  <c r="BP131" i="29"/>
  <c r="BG131" i="29"/>
  <c r="BG129" i="29"/>
  <c r="BP129" i="29"/>
  <c r="BG85" i="29"/>
  <c r="BP85" i="29"/>
  <c r="BP76" i="29"/>
  <c r="BG76" i="29"/>
  <c r="BG51" i="29"/>
  <c r="BP51" i="29"/>
  <c r="BG48" i="29"/>
  <c r="BP48" i="29"/>
  <c r="BP42" i="29"/>
  <c r="BG42" i="29"/>
  <c r="CC42" i="29"/>
  <c r="CC12" i="29"/>
  <c r="BP12" i="29"/>
  <c r="BP8" i="29"/>
  <c r="BG8" i="29"/>
  <c r="BP124" i="29"/>
  <c r="BG124" i="29"/>
  <c r="BP38" i="29"/>
  <c r="BG38" i="29"/>
  <c r="CC38" i="29"/>
  <c r="BP28" i="29"/>
  <c r="BG28" i="29"/>
  <c r="CI135" i="29"/>
  <c r="CI17" i="29"/>
  <c r="CI82" i="29"/>
  <c r="CI168" i="29"/>
  <c r="CI6" i="29"/>
  <c r="CI143" i="29"/>
  <c r="CI141" i="29"/>
  <c r="CI20" i="29"/>
  <c r="CI157" i="29"/>
  <c r="CI178" i="29"/>
  <c r="CI158" i="29"/>
  <c r="CI111" i="29"/>
  <c r="CI163" i="29"/>
  <c r="CI83" i="29"/>
  <c r="CI180" i="29"/>
  <c r="CI72" i="29"/>
  <c r="CI106" i="29"/>
  <c r="CI34" i="29"/>
  <c r="CI102" i="29"/>
  <c r="CI154" i="29"/>
  <c r="CI182" i="29"/>
  <c r="CI176" i="29"/>
  <c r="CI101" i="29"/>
  <c r="CI90" i="29"/>
  <c r="CI73" i="29"/>
  <c r="CI103" i="29"/>
  <c r="CI147" i="29"/>
  <c r="CI33" i="29"/>
  <c r="CI184" i="29"/>
  <c r="CI62" i="29"/>
  <c r="CI107" i="29"/>
  <c r="CI59" i="29"/>
  <c r="CI95" i="29"/>
  <c r="CI74" i="29"/>
  <c r="CI23" i="29"/>
  <c r="CI8" i="29"/>
  <c r="CI12" i="29"/>
  <c r="CI110" i="29"/>
  <c r="CI114" i="29"/>
  <c r="CI25" i="29"/>
  <c r="CI126" i="29"/>
  <c r="CI133" i="29"/>
  <c r="CI26" i="29"/>
  <c r="CI43" i="29"/>
  <c r="CI44" i="29"/>
  <c r="CI41" i="29"/>
  <c r="CI85" i="29"/>
  <c r="CI52" i="29"/>
  <c r="J175" i="29"/>
  <c r="F175" i="29"/>
  <c r="M147" i="29"/>
  <c r="J147" i="29"/>
  <c r="F147" i="29"/>
  <c r="R129" i="29"/>
  <c r="H138" i="50" s="1"/>
  <c r="E138" i="50"/>
  <c r="AH129" i="29"/>
  <c r="AI129" i="29" s="1"/>
  <c r="R104" i="29"/>
  <c r="H113" i="50" s="1"/>
  <c r="AF104" i="29"/>
  <c r="M70" i="30"/>
  <c r="L59" i="50"/>
  <c r="AQ130" i="29"/>
  <c r="AX172" i="29"/>
  <c r="Q105" i="29"/>
  <c r="AQ105" i="29"/>
  <c r="Q130" i="29"/>
  <c r="BP117" i="29"/>
  <c r="BP137" i="29"/>
  <c r="BP26" i="29"/>
  <c r="AX50" i="29"/>
  <c r="AF129" i="29"/>
  <c r="CI156" i="29"/>
  <c r="CI123" i="29"/>
  <c r="CI139" i="29"/>
  <c r="CI112" i="29"/>
  <c r="CI162" i="29"/>
  <c r="CI108" i="29"/>
  <c r="CI67" i="29"/>
  <c r="CI76" i="29"/>
  <c r="CI174" i="29"/>
  <c r="CI27" i="29"/>
  <c r="CI55" i="29"/>
  <c r="CI92" i="29"/>
  <c r="CC35" i="29"/>
  <c r="CK7" i="29"/>
  <c r="CK8" i="29" s="1"/>
  <c r="CK9" i="29" s="1"/>
  <c r="BP181" i="29"/>
  <c r="BG181" i="29"/>
  <c r="BP177" i="29"/>
  <c r="BG177" i="29"/>
  <c r="X156" i="50"/>
  <c r="BG134" i="29"/>
  <c r="BP134" i="29"/>
  <c r="BP99" i="29"/>
  <c r="BG99" i="29"/>
  <c r="BG97" i="29"/>
  <c r="BP97" i="29"/>
  <c r="BP95" i="29"/>
  <c r="BG95" i="29"/>
  <c r="BP80" i="29"/>
  <c r="BG80" i="29"/>
  <c r="BP77" i="29"/>
  <c r="BG77" i="29"/>
  <c r="BP46" i="29"/>
  <c r="BG46" i="29"/>
  <c r="CC19" i="29"/>
  <c r="BP19" i="29"/>
  <c r="BG19" i="29"/>
  <c r="CC44" i="29"/>
  <c r="BG185" i="29"/>
  <c r="BP185" i="29"/>
  <c r="BG135" i="29"/>
  <c r="BG123" i="29"/>
  <c r="BP123" i="29"/>
  <c r="BG111" i="29"/>
  <c r="BP111" i="29"/>
  <c r="BG56" i="29"/>
  <c r="BP56" i="29"/>
  <c r="CC55" i="29"/>
  <c r="BP55" i="29"/>
  <c r="BG52" i="29"/>
  <c r="BP52" i="29"/>
  <c r="CC33" i="29"/>
  <c r="BP33" i="29"/>
  <c r="CC30" i="29"/>
  <c r="BP30" i="29"/>
  <c r="CC25" i="29"/>
  <c r="BG25" i="29"/>
  <c r="BP25" i="29"/>
  <c r="CC22" i="29"/>
  <c r="BP22" i="29"/>
  <c r="BG22" i="29"/>
  <c r="AC5" i="29"/>
  <c r="P5" i="48" s="1"/>
  <c r="N12" i="46"/>
  <c r="J164" i="29"/>
  <c r="M164" i="29"/>
  <c r="M119" i="29"/>
  <c r="J119" i="29"/>
  <c r="R119" i="29" s="1"/>
  <c r="H128" i="50" s="1"/>
  <c r="F119" i="29"/>
  <c r="J74" i="29"/>
  <c r="M74" i="29"/>
  <c r="X5" i="29"/>
  <c r="M154" i="29"/>
  <c r="J154" i="29"/>
  <c r="M170" i="29"/>
  <c r="J170" i="29"/>
  <c r="M61" i="29"/>
  <c r="J61" i="29"/>
  <c r="X70" i="50"/>
  <c r="M29" i="29"/>
  <c r="J29" i="29"/>
  <c r="AH29" i="29" s="1"/>
  <c r="AI29" i="29" s="1"/>
  <c r="Z26" i="29"/>
  <c r="L35" i="50" s="1"/>
  <c r="Z32" i="29"/>
  <c r="L41" i="50" s="1"/>
  <c r="Z48" i="29"/>
  <c r="M68" i="30" s="1"/>
  <c r="Z52" i="29"/>
  <c r="L61" i="50" s="1"/>
  <c r="Z56" i="29"/>
  <c r="L65" i="50" s="1"/>
  <c r="Z70" i="29"/>
  <c r="L79" i="50" s="1"/>
  <c r="Z72" i="29"/>
  <c r="L81" i="50" s="1"/>
  <c r="Z104" i="29"/>
  <c r="AX104" i="29" s="1"/>
  <c r="Z106" i="29"/>
  <c r="Z108" i="29"/>
  <c r="AX108" i="29" s="1"/>
  <c r="Z110" i="29"/>
  <c r="AX110" i="29" s="1"/>
  <c r="Z112" i="29"/>
  <c r="L121" i="50" s="1"/>
  <c r="Z114" i="29"/>
  <c r="L123" i="50" s="1"/>
  <c r="Z116" i="29"/>
  <c r="L125" i="50" s="1"/>
  <c r="Z129" i="29"/>
  <c r="AX129" i="29" s="1"/>
  <c r="Z136" i="29"/>
  <c r="AX136" i="29" s="1"/>
  <c r="Z139" i="29"/>
  <c r="L148" i="50" s="1"/>
  <c r="Z142" i="29"/>
  <c r="AX142" i="29" s="1"/>
  <c r="Z147" i="29"/>
  <c r="AX147" i="29" s="1"/>
  <c r="Z158" i="29"/>
  <c r="Z164" i="29"/>
  <c r="L173" i="50" s="1"/>
  <c r="Z171" i="29"/>
  <c r="AX171" i="29" s="1"/>
  <c r="Z173" i="29"/>
  <c r="L182" i="50" s="1"/>
  <c r="Z175" i="29"/>
  <c r="AX175" i="29" s="1"/>
  <c r="Z177" i="29"/>
  <c r="AX177" i="29" s="1"/>
  <c r="Z179" i="29"/>
  <c r="L188" i="50" s="1"/>
  <c r="Z181" i="29"/>
  <c r="AX181" i="29" s="1"/>
  <c r="Z183" i="29"/>
  <c r="AX183" i="29" s="1"/>
  <c r="Z186" i="29"/>
  <c r="AX186" i="29" s="1"/>
  <c r="Z188" i="29"/>
  <c r="AX188" i="29" s="1"/>
  <c r="Z15" i="29"/>
  <c r="Z17" i="29"/>
  <c r="Z22" i="29"/>
  <c r="Z25" i="29"/>
  <c r="Z29" i="29"/>
  <c r="Z31" i="29"/>
  <c r="Z34" i="29"/>
  <c r="Z36" i="29"/>
  <c r="Z38" i="29"/>
  <c r="Z40" i="29"/>
  <c r="Z42" i="29"/>
  <c r="Z45" i="29"/>
  <c r="Z47" i="29"/>
  <c r="Z51" i="29"/>
  <c r="Z55" i="29"/>
  <c r="Z58" i="29"/>
  <c r="Z61" i="29"/>
  <c r="Z63" i="29"/>
  <c r="Z65" i="29"/>
  <c r="Z67" i="29"/>
  <c r="Z69" i="29"/>
  <c r="Z74" i="29"/>
  <c r="Z76" i="29"/>
  <c r="Z78" i="29"/>
  <c r="Z80" i="29"/>
  <c r="Z82" i="29"/>
  <c r="Z84" i="29"/>
  <c r="Z86" i="29"/>
  <c r="Z88" i="29"/>
  <c r="Z90" i="29"/>
  <c r="Z92" i="29"/>
  <c r="Z95" i="29"/>
  <c r="Z97" i="29"/>
  <c r="Z98" i="29"/>
  <c r="Z100" i="29"/>
  <c r="Z103" i="29"/>
  <c r="Z119" i="29"/>
  <c r="Z121" i="29"/>
  <c r="Z123" i="29"/>
  <c r="Z125" i="29"/>
  <c r="Z128" i="29"/>
  <c r="Z133" i="29"/>
  <c r="Z138" i="29"/>
  <c r="Z141" i="29"/>
  <c r="Z144" i="29"/>
  <c r="Z146" i="29"/>
  <c r="Z150" i="29"/>
  <c r="Z154" i="29"/>
  <c r="Z157" i="29"/>
  <c r="Z160" i="29"/>
  <c r="Z161" i="29"/>
  <c r="Z163" i="29"/>
  <c r="Z166" i="29"/>
  <c r="Z185" i="29"/>
  <c r="Z176" i="29"/>
  <c r="M169" i="29"/>
  <c r="J169" i="29"/>
  <c r="Z162" i="29"/>
  <c r="M160" i="29"/>
  <c r="J160" i="29"/>
  <c r="AH160" i="29" s="1"/>
  <c r="AI160" i="29" s="1"/>
  <c r="Z155" i="29"/>
  <c r="J153" i="29"/>
  <c r="AQ154" i="29" s="1"/>
  <c r="M153" i="29"/>
  <c r="Z145" i="29"/>
  <c r="J141" i="29"/>
  <c r="E150" i="50" s="1"/>
  <c r="M141" i="29"/>
  <c r="Z134" i="29"/>
  <c r="J128" i="29"/>
  <c r="K129" i="29" s="1"/>
  <c r="F138" i="50" s="1"/>
  <c r="M128" i="29"/>
  <c r="Z120" i="29"/>
  <c r="Z113" i="29"/>
  <c r="Z105" i="29"/>
  <c r="Z91" i="29"/>
  <c r="Z83" i="29"/>
  <c r="Z75" i="29"/>
  <c r="Z62" i="29"/>
  <c r="Z57" i="29"/>
  <c r="Z53" i="29"/>
  <c r="Z49" i="29"/>
  <c r="M45" i="29"/>
  <c r="J45" i="29"/>
  <c r="F65" i="30" s="1"/>
  <c r="Z43" i="29"/>
  <c r="Z35" i="29"/>
  <c r="Z28" i="29"/>
  <c r="M25" i="29"/>
  <c r="J25" i="29"/>
  <c r="AQ26" i="29" s="1"/>
  <c r="Z23" i="29"/>
  <c r="G20" i="41"/>
  <c r="AB5" i="29"/>
  <c r="Z187" i="29"/>
  <c r="Z178" i="29"/>
  <c r="Z170" i="29"/>
  <c r="Z168" i="29"/>
  <c r="Z159" i="29"/>
  <c r="J157" i="29"/>
  <c r="M157" i="29"/>
  <c r="Z152" i="29"/>
  <c r="Z140" i="29"/>
  <c r="M138" i="29"/>
  <c r="J138" i="29"/>
  <c r="AH138" i="29" s="1"/>
  <c r="AI138" i="29" s="1"/>
  <c r="Z135" i="29"/>
  <c r="Z127" i="29"/>
  <c r="Z122" i="29"/>
  <c r="Z117" i="29"/>
  <c r="Z115" i="29"/>
  <c r="Z107" i="29"/>
  <c r="Z102" i="29"/>
  <c r="Z93" i="29"/>
  <c r="Z85" i="29"/>
  <c r="Z77" i="29"/>
  <c r="Z64" i="29"/>
  <c r="Z59" i="29"/>
  <c r="M55" i="29"/>
  <c r="J55" i="29"/>
  <c r="AQ56" i="29" s="1"/>
  <c r="M51" i="29"/>
  <c r="J51" i="29"/>
  <c r="F71" i="30" s="1"/>
  <c r="Z44" i="29"/>
  <c r="Z37" i="29"/>
  <c r="Z30" i="29"/>
  <c r="Z24" i="29"/>
  <c r="Z16" i="29"/>
  <c r="Z9" i="29"/>
  <c r="Z7" i="29"/>
  <c r="J168" i="29"/>
  <c r="K169" i="29" s="1"/>
  <c r="M156" i="29"/>
  <c r="J152" i="29"/>
  <c r="J127" i="29"/>
  <c r="J118" i="29"/>
  <c r="K119" i="29" s="1"/>
  <c r="F128" i="50" s="1"/>
  <c r="J102" i="29"/>
  <c r="J60" i="29"/>
  <c r="J54" i="29"/>
  <c r="J50" i="29"/>
  <c r="K51" i="29" s="1"/>
  <c r="AG227" i="29"/>
  <c r="G5" i="29"/>
  <c r="D24" i="30" s="1"/>
  <c r="F12" i="46"/>
  <c r="J24" i="30"/>
  <c r="H5" i="48"/>
  <c r="M6" i="29"/>
  <c r="R6" i="29"/>
  <c r="N6" i="29"/>
  <c r="AZ6" i="29" s="1"/>
  <c r="BT6" i="29"/>
  <c r="CC6" i="29"/>
  <c r="BG6" i="29"/>
  <c r="BK6" i="29" s="1"/>
  <c r="P26" i="30" s="1"/>
  <c r="CI181" i="29"/>
  <c r="CI70" i="29"/>
  <c r="CI185" i="29"/>
  <c r="CI69" i="29"/>
  <c r="CI164" i="29"/>
  <c r="CI183" i="29"/>
  <c r="CI104" i="29"/>
  <c r="CI36" i="29"/>
  <c r="CI61" i="29"/>
  <c r="CI35" i="29"/>
  <c r="CI142" i="29"/>
  <c r="CI16" i="29"/>
  <c r="CI128" i="29"/>
  <c r="CI159" i="29"/>
  <c r="CI172" i="29"/>
  <c r="CI146" i="29"/>
  <c r="CI87" i="29"/>
  <c r="CI42" i="29"/>
  <c r="CI31" i="29"/>
  <c r="CI125" i="29"/>
  <c r="CI131" i="29"/>
  <c r="CI130" i="29"/>
  <c r="CI109" i="29"/>
  <c r="CI15" i="29"/>
  <c r="CI45" i="29"/>
  <c r="CI132" i="29"/>
  <c r="CI188" i="29"/>
  <c r="CI80" i="29"/>
  <c r="CI150" i="29"/>
  <c r="CI186" i="29"/>
  <c r="CI115" i="29"/>
  <c r="CI161" i="29"/>
  <c r="CI144" i="29"/>
  <c r="CI122" i="29"/>
  <c r="CI18" i="29"/>
  <c r="CI37" i="29"/>
  <c r="CI134" i="29"/>
  <c r="CI153" i="29"/>
  <c r="CI64" i="29"/>
  <c r="CI124" i="29"/>
  <c r="CI63" i="29"/>
  <c r="CI116" i="29"/>
  <c r="CI145" i="29"/>
  <c r="CI48" i="29"/>
  <c r="CI89" i="29"/>
  <c r="CI11" i="29"/>
  <c r="E5" i="48"/>
  <c r="L24" i="30"/>
  <c r="G212" i="29"/>
  <c r="CI129" i="29"/>
  <c r="CI177" i="29"/>
  <c r="CI149" i="29"/>
  <c r="CI9" i="29"/>
  <c r="CI65" i="29"/>
  <c r="CI19" i="29"/>
  <c r="CI171" i="29"/>
  <c r="CI30" i="29"/>
  <c r="CI32" i="29"/>
  <c r="CI100" i="29"/>
  <c r="CI78" i="29"/>
  <c r="CI88" i="29"/>
  <c r="CI46" i="29"/>
  <c r="CI29" i="29"/>
  <c r="CI38" i="29"/>
  <c r="CI148" i="29"/>
  <c r="CI68" i="29"/>
  <c r="CI58" i="29"/>
  <c r="CI173" i="29"/>
  <c r="CI170" i="29"/>
  <c r="CI28" i="29"/>
  <c r="CI50" i="29"/>
  <c r="CI166" i="29"/>
  <c r="CI40" i="29"/>
  <c r="CI14" i="29"/>
  <c r="CI160" i="29"/>
  <c r="CI97" i="29"/>
  <c r="CI121" i="29"/>
  <c r="CI175" i="29"/>
  <c r="CI137" i="29"/>
  <c r="CI151" i="29"/>
  <c r="CI21" i="29"/>
  <c r="CI94" i="29"/>
  <c r="CI169" i="29"/>
  <c r="CI119" i="29"/>
  <c r="CI127" i="29"/>
  <c r="CI136" i="29"/>
  <c r="CI138" i="29"/>
  <c r="CI22" i="29"/>
  <c r="CI79" i="29"/>
  <c r="CI24" i="29"/>
  <c r="CI155" i="29"/>
  <c r="CI187" i="29"/>
  <c r="CI54" i="29"/>
  <c r="A215" i="43"/>
  <c r="B204" i="29" s="1"/>
  <c r="I12" i="46"/>
  <c r="N5" i="29"/>
  <c r="A217" i="43"/>
  <c r="B206" i="29" s="1"/>
  <c r="B7" i="30"/>
  <c r="G15" i="41"/>
  <c r="G18" i="41"/>
  <c r="G19" i="41"/>
  <c r="G14" i="41"/>
  <c r="E170" i="50"/>
  <c r="AF161" i="29"/>
  <c r="AF61" i="29"/>
  <c r="AF45" i="29"/>
  <c r="AF29" i="29"/>
  <c r="AH98" i="29"/>
  <c r="AI98" i="29" s="1"/>
  <c r="Q68" i="29"/>
  <c r="AH61" i="29"/>
  <c r="AI61" i="29" s="1"/>
  <c r="E76" i="50"/>
  <c r="AQ66" i="29"/>
  <c r="E70" i="50"/>
  <c r="F39" i="30"/>
  <c r="AH133" i="29"/>
  <c r="AI133" i="29" s="1"/>
  <c r="Q164" i="29"/>
  <c r="Q162" i="29"/>
  <c r="AQ162" i="29"/>
  <c r="Q99" i="29"/>
  <c r="AQ99" i="29"/>
  <c r="AQ68" i="29"/>
  <c r="F85" i="30"/>
  <c r="F81" i="30"/>
  <c r="F49" i="30"/>
  <c r="E28" i="50"/>
  <c r="E142" i="50"/>
  <c r="E172" i="50"/>
  <c r="AQ161" i="29"/>
  <c r="AH154" i="29"/>
  <c r="AI154" i="29" s="1"/>
  <c r="AH161" i="29"/>
  <c r="AI161" i="29" s="1"/>
  <c r="AF154" i="29"/>
  <c r="AF98" i="29"/>
  <c r="AF19" i="29"/>
  <c r="AH67" i="29"/>
  <c r="AI67" i="29" s="1"/>
  <c r="AH65" i="29"/>
  <c r="AI65" i="29" s="1"/>
  <c r="Q66" i="29"/>
  <c r="R86" i="30" s="1"/>
  <c r="AH55" i="29"/>
  <c r="AI55" i="29" s="1"/>
  <c r="E34" i="50"/>
  <c r="Q20" i="29"/>
  <c r="R40" i="30" s="1"/>
  <c r="E163" i="50"/>
  <c r="E147" i="50"/>
  <c r="Q120" i="29"/>
  <c r="BL6" i="29"/>
  <c r="Q26" i="30" s="1"/>
  <c r="AX164" i="29"/>
  <c r="L156" i="50"/>
  <c r="K105" i="29"/>
  <c r="F114" i="50" s="1"/>
  <c r="K99" i="29"/>
  <c r="F108" i="50" s="1"/>
  <c r="K95" i="29"/>
  <c r="F104" i="50" s="1"/>
  <c r="R181" i="29"/>
  <c r="H190" i="50" s="1"/>
  <c r="E190" i="50"/>
  <c r="AF181" i="29"/>
  <c r="K180" i="29"/>
  <c r="F189" i="50" s="1"/>
  <c r="AF179" i="29"/>
  <c r="R177" i="29"/>
  <c r="H186" i="50" s="1"/>
  <c r="K178" i="29"/>
  <c r="F187" i="50" s="1"/>
  <c r="AH177" i="29"/>
  <c r="AI177" i="29" s="1"/>
  <c r="Q178" i="29"/>
  <c r="AF177" i="29"/>
  <c r="AF175" i="29"/>
  <c r="R74" i="29"/>
  <c r="H83" i="50" s="1"/>
  <c r="AF74" i="29"/>
  <c r="K75" i="29"/>
  <c r="F84" i="50" s="1"/>
  <c r="R182" i="29"/>
  <c r="H191" i="50" s="1"/>
  <c r="AF182" i="29"/>
  <c r="R180" i="29"/>
  <c r="H189" i="50" s="1"/>
  <c r="AH180" i="29"/>
  <c r="AI180" i="29" s="1"/>
  <c r="AF180" i="29"/>
  <c r="R176" i="29"/>
  <c r="H185" i="50" s="1"/>
  <c r="AF176" i="29"/>
  <c r="AQ21" i="29"/>
  <c r="AF20" i="29"/>
  <c r="M183" i="29"/>
  <c r="M182" i="29"/>
  <c r="M181" i="29"/>
  <c r="M180" i="29"/>
  <c r="M179" i="29"/>
  <c r="J178" i="29"/>
  <c r="K179" i="29" s="1"/>
  <c r="M177" i="29"/>
  <c r="M176" i="29"/>
  <c r="M175" i="29"/>
  <c r="J166" i="29"/>
  <c r="K167" i="29" s="1"/>
  <c r="J150" i="29"/>
  <c r="K151" i="29" s="1"/>
  <c r="F160" i="50" s="1"/>
  <c r="J144" i="29"/>
  <c r="M133" i="29"/>
  <c r="J124" i="29"/>
  <c r="J123" i="29"/>
  <c r="K124" i="29" s="1"/>
  <c r="J122" i="29"/>
  <c r="J121" i="29"/>
  <c r="K122" i="29" s="1"/>
  <c r="J120" i="29"/>
  <c r="K121" i="29" s="1"/>
  <c r="F130" i="50" s="1"/>
  <c r="J72" i="29"/>
  <c r="J62" i="29"/>
  <c r="K63" i="29" s="1"/>
  <c r="J58" i="29"/>
  <c r="K59" i="29" s="1"/>
  <c r="J46" i="29"/>
  <c r="K47" i="29" s="1"/>
  <c r="J34" i="29"/>
  <c r="R34" i="29" s="1"/>
  <c r="J30" i="29"/>
  <c r="R30" i="29" s="1"/>
  <c r="M186" i="29"/>
  <c r="K170" i="29"/>
  <c r="F179" i="50" s="1"/>
  <c r="J167" i="29"/>
  <c r="K168" i="29" s="1"/>
  <c r="F177" i="50" s="1"/>
  <c r="R161" i="29"/>
  <c r="H170" i="50" s="1"/>
  <c r="J159" i="29"/>
  <c r="K160" i="29" s="1"/>
  <c r="F169" i="50" s="1"/>
  <c r="J151" i="29"/>
  <c r="R151" i="29" s="1"/>
  <c r="H160" i="50" s="1"/>
  <c r="J146" i="29"/>
  <c r="K147" i="29" s="1"/>
  <c r="F156" i="50" s="1"/>
  <c r="M145" i="29"/>
  <c r="J140" i="29"/>
  <c r="M134" i="29"/>
  <c r="J126" i="29"/>
  <c r="J125" i="29"/>
  <c r="K126" i="29" s="1"/>
  <c r="M116" i="29"/>
  <c r="J63" i="29"/>
  <c r="R63" i="29" s="1"/>
  <c r="J59" i="29"/>
  <c r="K60" i="29" s="1"/>
  <c r="J47" i="29"/>
  <c r="K48" i="29" s="1"/>
  <c r="J35" i="29"/>
  <c r="R35" i="29" s="1"/>
  <c r="J31" i="29"/>
  <c r="K32" i="29" s="1"/>
  <c r="R145" i="29"/>
  <c r="H154" i="50" s="1"/>
  <c r="AH145" i="29"/>
  <c r="AI145" i="29" s="1"/>
  <c r="Q146" i="29"/>
  <c r="AQ146" i="29"/>
  <c r="E154" i="50"/>
  <c r="AF145" i="29"/>
  <c r="R134" i="29"/>
  <c r="H143" i="50" s="1"/>
  <c r="AF134" i="29"/>
  <c r="K135" i="29"/>
  <c r="F144" i="50" s="1"/>
  <c r="R116" i="29"/>
  <c r="H125" i="50" s="1"/>
  <c r="K117" i="29"/>
  <c r="F126" i="50" s="1"/>
  <c r="AF116" i="29"/>
  <c r="K188" i="29"/>
  <c r="F197" i="50" s="1"/>
  <c r="AQ188" i="29"/>
  <c r="E196" i="50"/>
  <c r="AF187" i="29"/>
  <c r="AH187" i="29"/>
  <c r="AI187" i="29" s="1"/>
  <c r="Q188" i="29"/>
  <c r="K184" i="29"/>
  <c r="F193" i="50" s="1"/>
  <c r="AF183" i="29"/>
  <c r="R173" i="29"/>
  <c r="H182" i="50" s="1"/>
  <c r="AH173" i="29"/>
  <c r="AI173" i="29" s="1"/>
  <c r="K174" i="29"/>
  <c r="F183" i="50" s="1"/>
  <c r="AF173" i="29"/>
  <c r="AQ174" i="29"/>
  <c r="K172" i="29"/>
  <c r="F181" i="50" s="1"/>
  <c r="AF171" i="29"/>
  <c r="AQ172" i="29"/>
  <c r="Q172" i="29"/>
  <c r="E180" i="50"/>
  <c r="AH171" i="29"/>
  <c r="AI171" i="29" s="1"/>
  <c r="R164" i="29"/>
  <c r="H173" i="50" s="1"/>
  <c r="R162" i="29"/>
  <c r="H171" i="50" s="1"/>
  <c r="AF162" i="29"/>
  <c r="R156" i="29"/>
  <c r="H165" i="50" s="1"/>
  <c r="AQ157" i="29"/>
  <c r="AF156" i="29"/>
  <c r="AH156" i="29"/>
  <c r="AI156" i="29" s="1"/>
  <c r="E165" i="50"/>
  <c r="Q157" i="29"/>
  <c r="R141" i="29"/>
  <c r="H150" i="50" s="1"/>
  <c r="Q142" i="29"/>
  <c r="AQ142" i="29"/>
  <c r="AF141" i="29"/>
  <c r="AH141" i="29"/>
  <c r="AI141" i="29" s="1"/>
  <c r="R135" i="29"/>
  <c r="H144" i="50" s="1"/>
  <c r="E144" i="50"/>
  <c r="AF135" i="29"/>
  <c r="AQ136" i="29"/>
  <c r="AH135" i="29"/>
  <c r="AI135" i="29" s="1"/>
  <c r="Q136" i="29"/>
  <c r="R117" i="29"/>
  <c r="H126" i="50" s="1"/>
  <c r="AF117" i="29"/>
  <c r="R70" i="29"/>
  <c r="H79" i="50" s="1"/>
  <c r="AF70" i="29"/>
  <c r="R66" i="29"/>
  <c r="AF66" i="29"/>
  <c r="R64" i="29"/>
  <c r="R184" i="29"/>
  <c r="H193" i="50" s="1"/>
  <c r="AQ185" i="29"/>
  <c r="E193" i="50"/>
  <c r="AH184" i="29"/>
  <c r="AI184" i="29" s="1"/>
  <c r="AF184" i="29"/>
  <c r="Q185" i="29"/>
  <c r="R157" i="29"/>
  <c r="H166" i="50" s="1"/>
  <c r="K158" i="29"/>
  <c r="F167" i="50" s="1"/>
  <c r="AF157" i="29"/>
  <c r="E162" i="50"/>
  <c r="R185" i="29"/>
  <c r="H194" i="50" s="1"/>
  <c r="K186" i="29"/>
  <c r="F195" i="50" s="1"/>
  <c r="E194" i="50"/>
  <c r="AH185" i="29"/>
  <c r="AI185" i="29" s="1"/>
  <c r="AF185" i="29"/>
  <c r="Q186" i="29"/>
  <c r="AQ186" i="29"/>
  <c r="R174" i="29"/>
  <c r="H183" i="50" s="1"/>
  <c r="Q175" i="29"/>
  <c r="E183" i="50"/>
  <c r="AH174" i="29"/>
  <c r="AI174" i="29" s="1"/>
  <c r="AF174" i="29"/>
  <c r="AQ175" i="29"/>
  <c r="R172" i="29"/>
  <c r="H181" i="50" s="1"/>
  <c r="AF172" i="29"/>
  <c r="R163" i="29"/>
  <c r="H172" i="50" s="1"/>
  <c r="K164" i="29"/>
  <c r="F173" i="50" s="1"/>
  <c r="AF163" i="29"/>
  <c r="R158" i="29"/>
  <c r="H167" i="50" s="1"/>
  <c r="AF158" i="29"/>
  <c r="E167" i="50"/>
  <c r="Q159" i="29"/>
  <c r="AQ159" i="29"/>
  <c r="AH158" i="29"/>
  <c r="AI158" i="29" s="1"/>
  <c r="R155" i="29"/>
  <c r="H164" i="50" s="1"/>
  <c r="AF155" i="29"/>
  <c r="E158" i="50"/>
  <c r="AQ150" i="29"/>
  <c r="AH149" i="29"/>
  <c r="AI149" i="29" s="1"/>
  <c r="AF149" i="29"/>
  <c r="Q150" i="29"/>
  <c r="R133" i="29"/>
  <c r="H142" i="50" s="1"/>
  <c r="AF133" i="29"/>
  <c r="K70" i="29"/>
  <c r="F79" i="50" s="1"/>
  <c r="R69" i="29"/>
  <c r="H78" i="50" s="1"/>
  <c r="AF69" i="29"/>
  <c r="M188" i="29"/>
  <c r="M187" i="29"/>
  <c r="K182" i="29"/>
  <c r="F191" i="50" s="1"/>
  <c r="M174" i="29"/>
  <c r="M173" i="29"/>
  <c r="M172" i="29"/>
  <c r="M171" i="29"/>
  <c r="M163" i="29"/>
  <c r="M162" i="29"/>
  <c r="M69" i="29"/>
  <c r="M68" i="29"/>
  <c r="M67" i="29"/>
  <c r="M66" i="29"/>
  <c r="M65" i="29"/>
  <c r="M64" i="29"/>
  <c r="BP3" i="29"/>
  <c r="J92" i="29"/>
  <c r="J43" i="29"/>
  <c r="K44" i="29" s="1"/>
  <c r="J42" i="29"/>
  <c r="J41" i="29"/>
  <c r="K42" i="29" s="1"/>
  <c r="J40" i="29"/>
  <c r="K41" i="29" s="1"/>
  <c r="J39" i="29"/>
  <c r="K40" i="29" s="1"/>
  <c r="J38" i="29"/>
  <c r="R38" i="29" s="1"/>
  <c r="J37" i="29"/>
  <c r="K38" i="29" s="1"/>
  <c r="J36" i="29"/>
  <c r="R36" i="29" s="1"/>
  <c r="G227" i="29"/>
  <c r="H194" i="29" s="1"/>
  <c r="J137" i="29"/>
  <c r="K138" i="29" s="1"/>
  <c r="J136" i="29"/>
  <c r="J115" i="29"/>
  <c r="K116" i="29" s="1"/>
  <c r="J23" i="29"/>
  <c r="R132" i="29"/>
  <c r="H141" i="50" s="1"/>
  <c r="J90" i="29"/>
  <c r="K49" i="29"/>
  <c r="CL8" i="29"/>
  <c r="R187" i="29"/>
  <c r="H196" i="50" s="1"/>
  <c r="R183" i="29"/>
  <c r="H192" i="50" s="1"/>
  <c r="R179" i="29"/>
  <c r="H188" i="50" s="1"/>
  <c r="R171" i="29"/>
  <c r="H180" i="50" s="1"/>
  <c r="R165" i="29"/>
  <c r="H174" i="50" s="1"/>
  <c r="K143" i="29"/>
  <c r="F152" i="50" s="1"/>
  <c r="K155" i="29"/>
  <c r="F164" i="50" s="1"/>
  <c r="K71" i="29"/>
  <c r="F80" i="50" s="1"/>
  <c r="K45" i="29"/>
  <c r="A30" i="50"/>
  <c r="O29" i="50"/>
  <c r="O28" i="50"/>
  <c r="CJ6" i="29"/>
  <c r="S20" i="31"/>
  <c r="S40" i="31" s="1"/>
  <c r="S33" i="31" s="1"/>
  <c r="S35" i="31"/>
  <c r="Q6" i="36" s="1"/>
  <c r="S28" i="31"/>
  <c r="S29" i="31"/>
  <c r="S16" i="31"/>
  <c r="S39" i="31" s="1"/>
  <c r="S42" i="31" s="1"/>
  <c r="Q8" i="36" s="1"/>
  <c r="Q16" i="31"/>
  <c r="Q39" i="31" s="1"/>
  <c r="Q42" i="31" s="1"/>
  <c r="O8" i="36" s="1"/>
  <c r="Q20" i="31"/>
  <c r="Q40" i="31" s="1"/>
  <c r="Q28" i="31"/>
  <c r="Q29" i="31"/>
  <c r="O20" i="31"/>
  <c r="O40" i="31" s="1"/>
  <c r="O28" i="31"/>
  <c r="O29" i="31"/>
  <c r="O16" i="31"/>
  <c r="O39" i="31" s="1"/>
  <c r="M16" i="31"/>
  <c r="M39" i="31" s="1"/>
  <c r="M20" i="31"/>
  <c r="M40" i="31" s="1"/>
  <c r="M33" i="31" s="1"/>
  <c r="M28" i="31"/>
  <c r="M29" i="31"/>
  <c r="K20" i="31"/>
  <c r="K40" i="31" s="1"/>
  <c r="K35" i="31"/>
  <c r="I6" i="36" s="1"/>
  <c r="K28" i="31"/>
  <c r="K29" i="31"/>
  <c r="K16" i="31"/>
  <c r="K39" i="31" s="1"/>
  <c r="K42" i="31" s="1"/>
  <c r="I8" i="36" s="1"/>
  <c r="I16" i="31"/>
  <c r="I39" i="31" s="1"/>
  <c r="I42" i="31" s="1"/>
  <c r="G8" i="36" s="1"/>
  <c r="I20" i="31"/>
  <c r="I40" i="31" s="1"/>
  <c r="I28" i="31"/>
  <c r="I29" i="31"/>
  <c r="G20" i="31"/>
  <c r="G40" i="31" s="1"/>
  <c r="G28" i="31"/>
  <c r="G29" i="31"/>
  <c r="G16" i="31"/>
  <c r="G39" i="31" s="1"/>
  <c r="E16" i="31"/>
  <c r="E39" i="31" s="1"/>
  <c r="E20" i="31"/>
  <c r="E40" i="31" s="1"/>
  <c r="E33" i="31" s="1"/>
  <c r="E28" i="31"/>
  <c r="E29" i="31"/>
  <c r="L126" i="48"/>
  <c r="L124" i="48"/>
  <c r="L120" i="48"/>
  <c r="L113" i="48"/>
  <c r="L105" i="48"/>
  <c r="L101" i="48"/>
  <c r="L76" i="48"/>
  <c r="L74" i="48"/>
  <c r="L72" i="48"/>
  <c r="L70" i="48"/>
  <c r="L57" i="48"/>
  <c r="G56" i="48"/>
  <c r="L55" i="48"/>
  <c r="G53" i="48"/>
  <c r="L48" i="48"/>
  <c r="L46" i="48"/>
  <c r="L45" i="48"/>
  <c r="L39" i="48"/>
  <c r="G34" i="48"/>
  <c r="L18" i="48"/>
  <c r="L16" i="48"/>
  <c r="L15" i="48"/>
  <c r="L14" i="48"/>
  <c r="L9" i="48"/>
  <c r="Q34" i="31"/>
  <c r="I34" i="31"/>
  <c r="K33" i="31"/>
  <c r="M32" i="31"/>
  <c r="P29" i="31"/>
  <c r="H29" i="31"/>
  <c r="Q7" i="36"/>
  <c r="Q9" i="36" s="1"/>
  <c r="M7" i="36"/>
  <c r="I7" i="36"/>
  <c r="I9" i="36" s="1"/>
  <c r="E7" i="36"/>
  <c r="M15" i="46"/>
  <c r="M16" i="46" s="1"/>
  <c r="M17" i="46" s="1"/>
  <c r="M18" i="46" s="1"/>
  <c r="M19" i="46" s="1"/>
  <c r="M20" i="46" s="1"/>
  <c r="M21" i="46" s="1"/>
  <c r="M22" i="46" s="1"/>
  <c r="M23" i="46" s="1"/>
  <c r="M24" i="46" s="1"/>
  <c r="M25" i="46" s="1"/>
  <c r="M26" i="46" s="1"/>
  <c r="M27" i="46" s="1"/>
  <c r="M28" i="46" s="1"/>
  <c r="M29" i="46" s="1"/>
  <c r="M30" i="46" s="1"/>
  <c r="M31" i="46" s="1"/>
  <c r="M32" i="46" s="1"/>
  <c r="M33" i="46" s="1"/>
  <c r="M34" i="46" s="1"/>
  <c r="M35" i="46" s="1"/>
  <c r="M36" i="46" s="1"/>
  <c r="M37" i="46" s="1"/>
  <c r="M38" i="46" s="1"/>
  <c r="M39" i="46" s="1"/>
  <c r="M40" i="46" s="1"/>
  <c r="M41" i="46" s="1"/>
  <c r="M42" i="46" s="1"/>
  <c r="M43" i="46" s="1"/>
  <c r="M44" i="46" s="1"/>
  <c r="M45" i="46" s="1"/>
  <c r="M46" i="46" s="1"/>
  <c r="M47" i="46" s="1"/>
  <c r="M48" i="46" s="1"/>
  <c r="M49" i="46" s="1"/>
  <c r="M50" i="46" s="1"/>
  <c r="M51" i="46" s="1"/>
  <c r="M52" i="46" s="1"/>
  <c r="M53" i="46" s="1"/>
  <c r="M54" i="46" s="1"/>
  <c r="M55" i="46" s="1"/>
  <c r="M56" i="46" s="1"/>
  <c r="M57" i="46" s="1"/>
  <c r="M58" i="46" s="1"/>
  <c r="M59" i="46" s="1"/>
  <c r="M60" i="46" s="1"/>
  <c r="M61" i="46" s="1"/>
  <c r="M62" i="46" s="1"/>
  <c r="M63" i="46" s="1"/>
  <c r="M64" i="46" s="1"/>
  <c r="M65" i="46" s="1"/>
  <c r="M66" i="46" s="1"/>
  <c r="M67" i="46" s="1"/>
  <c r="M68" i="46" s="1"/>
  <c r="M69" i="46" s="1"/>
  <c r="M70" i="46" s="1"/>
  <c r="M71" i="46" s="1"/>
  <c r="M72" i="46" s="1"/>
  <c r="M73" i="46" s="1"/>
  <c r="M74" i="46" s="1"/>
  <c r="M75" i="46" s="1"/>
  <c r="M76" i="46" s="1"/>
  <c r="M77" i="46" s="1"/>
  <c r="M78" i="46" s="1"/>
  <c r="M79" i="46" s="1"/>
  <c r="M80" i="46" s="1"/>
  <c r="M81" i="46" s="1"/>
  <c r="M82" i="46" s="1"/>
  <c r="M83" i="46" s="1"/>
  <c r="M84" i="46" s="1"/>
  <c r="M85" i="46" s="1"/>
  <c r="M86" i="46" s="1"/>
  <c r="M87" i="46" s="1"/>
  <c r="M88" i="46" s="1"/>
  <c r="M89" i="46" s="1"/>
  <c r="M90" i="46" s="1"/>
  <c r="M91" i="46" s="1"/>
  <c r="M92" i="46" s="1"/>
  <c r="M93" i="46" s="1"/>
  <c r="M94" i="46" s="1"/>
  <c r="M95" i="46" s="1"/>
  <c r="M96" i="46" s="1"/>
  <c r="M97" i="46" s="1"/>
  <c r="M98" i="46" s="1"/>
  <c r="M99" i="46" s="1"/>
  <c r="M100" i="46" s="1"/>
  <c r="M101" i="46" s="1"/>
  <c r="M102" i="46" s="1"/>
  <c r="M103" i="46" s="1"/>
  <c r="M104" i="46" s="1"/>
  <c r="M105" i="46" s="1"/>
  <c r="M106" i="46" s="1"/>
  <c r="M107" i="46" s="1"/>
  <c r="M108" i="46" s="1"/>
  <c r="M109" i="46" s="1"/>
  <c r="M110" i="46" s="1"/>
  <c r="M111" i="46" s="1"/>
  <c r="M112" i="46" s="1"/>
  <c r="M113" i="46" s="1"/>
  <c r="M114" i="46" s="1"/>
  <c r="M115" i="46" s="1"/>
  <c r="M116" i="46" s="1"/>
  <c r="M117" i="46" s="1"/>
  <c r="M118" i="46" s="1"/>
  <c r="M119" i="46" s="1"/>
  <c r="M120" i="46" s="1"/>
  <c r="M121" i="46" s="1"/>
  <c r="M122" i="46" s="1"/>
  <c r="M123" i="46" s="1"/>
  <c r="M124" i="46" s="1"/>
  <c r="M125" i="46" s="1"/>
  <c r="M126" i="46" s="1"/>
  <c r="M127" i="46" s="1"/>
  <c r="M128" i="46" s="1"/>
  <c r="M129" i="46" s="1"/>
  <c r="M130" i="46" s="1"/>
  <c r="M131" i="46" s="1"/>
  <c r="M132" i="46" s="1"/>
  <c r="M133" i="46" s="1"/>
  <c r="M134" i="46" s="1"/>
  <c r="C14" i="49"/>
  <c r="B175" i="49"/>
  <c r="A177" i="49"/>
  <c r="L115" i="48"/>
  <c r="O18" i="50"/>
  <c r="O34" i="31"/>
  <c r="G34" i="31"/>
  <c r="Q33" i="31"/>
  <c r="I33" i="31"/>
  <c r="K32" i="31"/>
  <c r="N29" i="31"/>
  <c r="F29" i="31"/>
  <c r="R32" i="31"/>
  <c r="R42" i="31"/>
  <c r="P42" i="31"/>
  <c r="P32" i="31"/>
  <c r="N32" i="31"/>
  <c r="N42" i="31"/>
  <c r="L41" i="31"/>
  <c r="L34" i="31" s="1"/>
  <c r="L42" i="31"/>
  <c r="L32" i="31"/>
  <c r="J32" i="31"/>
  <c r="J42" i="31"/>
  <c r="H42" i="31"/>
  <c r="H32" i="31"/>
  <c r="F32" i="31"/>
  <c r="F42" i="31"/>
  <c r="M34" i="31"/>
  <c r="E34" i="31"/>
  <c r="O33" i="31"/>
  <c r="G33" i="31"/>
  <c r="Q32" i="31"/>
  <c r="O7" i="36"/>
  <c r="O9" i="36" s="1"/>
  <c r="K7" i="36"/>
  <c r="G7" i="36"/>
  <c r="G9" i="36" s="1"/>
  <c r="C7" i="36"/>
  <c r="G6" i="48"/>
  <c r="B172" i="49"/>
  <c r="F75" i="49"/>
  <c r="F77" i="49" s="1"/>
  <c r="C6" i="48"/>
  <c r="D15" i="46"/>
  <c r="C16" i="46"/>
  <c r="C17" i="46" s="1"/>
  <c r="C18" i="46" s="1"/>
  <c r="C19" i="46" s="1"/>
  <c r="C20" i="46" s="1"/>
  <c r="C21" i="46" s="1"/>
  <c r="C22" i="46" s="1"/>
  <c r="C23" i="46" s="1"/>
  <c r="C24" i="46" s="1"/>
  <c r="C25" i="46" s="1"/>
  <c r="C26" i="46" s="1"/>
  <c r="C27" i="46" s="1"/>
  <c r="C28" i="46" s="1"/>
  <c r="C29" i="46" s="1"/>
  <c r="C30" i="46" s="1"/>
  <c r="C31" i="46" s="1"/>
  <c r="C32" i="46" s="1"/>
  <c r="C33" i="46" s="1"/>
  <c r="C34" i="46" s="1"/>
  <c r="C35" i="46" s="1"/>
  <c r="C36" i="46" s="1"/>
  <c r="C37" i="46" s="1"/>
  <c r="C38" i="46" s="1"/>
  <c r="C39" i="46" s="1"/>
  <c r="C40" i="46" s="1"/>
  <c r="C41" i="46" s="1"/>
  <c r="C42" i="46" s="1"/>
  <c r="C43" i="46" s="1"/>
  <c r="C44" i="46" s="1"/>
  <c r="C45" i="46" s="1"/>
  <c r="C46" i="46" s="1"/>
  <c r="C47" i="46" s="1"/>
  <c r="C48" i="46" s="1"/>
  <c r="C49" i="46" s="1"/>
  <c r="C50" i="46" s="1"/>
  <c r="C51" i="46" s="1"/>
  <c r="C52" i="46" s="1"/>
  <c r="C53" i="46" s="1"/>
  <c r="C54" i="46" s="1"/>
  <c r="C55" i="46" s="1"/>
  <c r="C56" i="46" s="1"/>
  <c r="C57" i="46" s="1"/>
  <c r="C58" i="46" s="1"/>
  <c r="C59" i="46" s="1"/>
  <c r="C60" i="46" s="1"/>
  <c r="C61" i="46" s="1"/>
  <c r="C62" i="46" s="1"/>
  <c r="C63" i="46" s="1"/>
  <c r="C64" i="46" s="1"/>
  <c r="C65" i="46" s="1"/>
  <c r="C66" i="46" s="1"/>
  <c r="C67" i="46" s="1"/>
  <c r="C68" i="46" s="1"/>
  <c r="C69" i="46" s="1"/>
  <c r="C70" i="46" s="1"/>
  <c r="C71" i="46" s="1"/>
  <c r="C72" i="46" s="1"/>
  <c r="C73" i="46" s="1"/>
  <c r="C74" i="46" s="1"/>
  <c r="C75" i="46" s="1"/>
  <c r="C76" i="46" s="1"/>
  <c r="C77" i="46" s="1"/>
  <c r="C78" i="46" s="1"/>
  <c r="C79" i="46" s="1"/>
  <c r="C80" i="46" s="1"/>
  <c r="C81" i="46" s="1"/>
  <c r="C82" i="46" s="1"/>
  <c r="C83" i="46" s="1"/>
  <c r="C84" i="46" s="1"/>
  <c r="C85" i="46" s="1"/>
  <c r="C86" i="46" s="1"/>
  <c r="C87" i="46" s="1"/>
  <c r="C88" i="46" s="1"/>
  <c r="C89" i="46" s="1"/>
  <c r="C90" i="46" s="1"/>
  <c r="C91" i="46" s="1"/>
  <c r="C92" i="46" s="1"/>
  <c r="C93" i="46" s="1"/>
  <c r="C94" i="46" s="1"/>
  <c r="C95" i="46" s="1"/>
  <c r="C96" i="46" s="1"/>
  <c r="C97" i="46" s="1"/>
  <c r="C98" i="46" s="1"/>
  <c r="C99" i="46" s="1"/>
  <c r="C100" i="46" s="1"/>
  <c r="C101" i="46" s="1"/>
  <c r="C102" i="46" s="1"/>
  <c r="C103" i="46" s="1"/>
  <c r="C104" i="46" s="1"/>
  <c r="C105" i="46" s="1"/>
  <c r="C106" i="46" s="1"/>
  <c r="C107" i="46" s="1"/>
  <c r="C108" i="46" s="1"/>
  <c r="C109" i="46" s="1"/>
  <c r="C110" i="46" s="1"/>
  <c r="C111" i="46" s="1"/>
  <c r="C112" i="46" s="1"/>
  <c r="C113" i="46" s="1"/>
  <c r="C114" i="46" s="1"/>
  <c r="C115" i="46" s="1"/>
  <c r="C116" i="46" s="1"/>
  <c r="C117" i="46" s="1"/>
  <c r="C118" i="46" s="1"/>
  <c r="C119" i="46" s="1"/>
  <c r="C120" i="46" s="1"/>
  <c r="C121" i="46" s="1"/>
  <c r="C122" i="46" s="1"/>
  <c r="C123" i="46" s="1"/>
  <c r="C124" i="46" s="1"/>
  <c r="C125" i="46" s="1"/>
  <c r="C126" i="46" s="1"/>
  <c r="C127" i="46" s="1"/>
  <c r="C128" i="46" s="1"/>
  <c r="C129" i="46" s="1"/>
  <c r="C130" i="46" s="1"/>
  <c r="C131" i="46" s="1"/>
  <c r="C132" i="46" s="1"/>
  <c r="C133" i="46" s="1"/>
  <c r="C134" i="46" s="1"/>
  <c r="W199" i="29"/>
  <c r="T199" i="29"/>
  <c r="AC199" i="29"/>
  <c r="P199" i="29"/>
  <c r="M199" i="29"/>
  <c r="R186" i="29"/>
  <c r="H195" i="50" s="1"/>
  <c r="K187" i="29"/>
  <c r="R188" i="29"/>
  <c r="H197" i="50" s="1"/>
  <c r="K156" i="29"/>
  <c r="R147" i="29"/>
  <c r="H156" i="50" s="1"/>
  <c r="K148" i="29"/>
  <c r="K185" i="29"/>
  <c r="K183" i="29"/>
  <c r="K181" i="29"/>
  <c r="K177" i="29"/>
  <c r="K175" i="29"/>
  <c r="K173" i="29"/>
  <c r="K171" i="29"/>
  <c r="K163" i="29"/>
  <c r="K159" i="29"/>
  <c r="K157" i="29"/>
  <c r="M155" i="29"/>
  <c r="R149" i="29"/>
  <c r="H158" i="50" s="1"/>
  <c r="K150" i="29"/>
  <c r="M113" i="29"/>
  <c r="J113" i="29"/>
  <c r="M105" i="29"/>
  <c r="J105" i="29"/>
  <c r="M111" i="29"/>
  <c r="J111" i="29"/>
  <c r="K146" i="29"/>
  <c r="K144" i="29"/>
  <c r="K142" i="29"/>
  <c r="K140" i="29"/>
  <c r="K136" i="29"/>
  <c r="K134" i="29"/>
  <c r="K132" i="29"/>
  <c r="K130" i="29"/>
  <c r="K128" i="29"/>
  <c r="K120" i="29"/>
  <c r="K118" i="29"/>
  <c r="M109" i="29"/>
  <c r="J109" i="29"/>
  <c r="M103" i="29"/>
  <c r="J103" i="29"/>
  <c r="M107" i="29"/>
  <c r="J107" i="29"/>
  <c r="R65" i="29"/>
  <c r="K66" i="29"/>
  <c r="J114" i="29"/>
  <c r="J112" i="29"/>
  <c r="J110" i="29"/>
  <c r="J108" i="29"/>
  <c r="J106" i="29"/>
  <c r="J100" i="29"/>
  <c r="J96" i="29"/>
  <c r="J88" i="29"/>
  <c r="J86" i="29"/>
  <c r="J84" i="29"/>
  <c r="J82" i="29"/>
  <c r="J80" i="29"/>
  <c r="J78" i="29"/>
  <c r="M78" i="29"/>
  <c r="J76" i="29"/>
  <c r="M76" i="29"/>
  <c r="J101" i="29"/>
  <c r="J99" i="29"/>
  <c r="J97" i="29"/>
  <c r="J95" i="29"/>
  <c r="J93" i="29"/>
  <c r="J91" i="29"/>
  <c r="J89" i="29"/>
  <c r="J87" i="29"/>
  <c r="J85" i="29"/>
  <c r="J83" i="29"/>
  <c r="J81" i="29"/>
  <c r="J79" i="29"/>
  <c r="J77" i="29"/>
  <c r="J75" i="29"/>
  <c r="J73" i="29"/>
  <c r="J71" i="29"/>
  <c r="R68" i="29"/>
  <c r="H77" i="50" s="1"/>
  <c r="K69" i="29"/>
  <c r="R67" i="29"/>
  <c r="H76" i="50" s="1"/>
  <c r="K68" i="29"/>
  <c r="R32" i="29"/>
  <c r="K33" i="29"/>
  <c r="K67" i="29"/>
  <c r="K57" i="29"/>
  <c r="K55" i="29"/>
  <c r="K53" i="29"/>
  <c r="K31" i="29"/>
  <c r="R28" i="29"/>
  <c r="K29" i="29"/>
  <c r="K62" i="29"/>
  <c r="K58" i="29"/>
  <c r="K54" i="29"/>
  <c r="K52" i="29"/>
  <c r="K50" i="29"/>
  <c r="K46" i="29"/>
  <c r="K37" i="29"/>
  <c r="K35" i="29"/>
  <c r="R26" i="29"/>
  <c r="K27" i="29"/>
  <c r="AQ7" i="29"/>
  <c r="AR7" i="29" s="1"/>
  <c r="K7" i="29" s="1"/>
  <c r="X6" i="29"/>
  <c r="K34" i="29"/>
  <c r="K28" i="29"/>
  <c r="K26" i="29"/>
  <c r="M21" i="29"/>
  <c r="M20" i="29"/>
  <c r="M19" i="29"/>
  <c r="AG228" i="29"/>
  <c r="Z8" i="29"/>
  <c r="Z10" i="29"/>
  <c r="Z11" i="29"/>
  <c r="Z12" i="29"/>
  <c r="Z13" i="29"/>
  <c r="Z14" i="29"/>
  <c r="Z19" i="29"/>
  <c r="Z20" i="29"/>
  <c r="K21" i="29"/>
  <c r="K20" i="29"/>
  <c r="K25" i="29"/>
  <c r="J22" i="29"/>
  <c r="J21" i="29"/>
  <c r="R20" i="29"/>
  <c r="R19" i="29"/>
  <c r="AS7" i="29"/>
  <c r="E7" i="29" s="1"/>
  <c r="E54" i="50" l="1"/>
  <c r="L190" i="50"/>
  <c r="F75" i="30"/>
  <c r="Q56" i="29"/>
  <c r="R76" i="30" s="1"/>
  <c r="AH119" i="29"/>
  <c r="AI119" i="29" s="1"/>
  <c r="R53" i="29"/>
  <c r="F73" i="30"/>
  <c r="AH53" i="29"/>
  <c r="AI53" i="29" s="1"/>
  <c r="AQ54" i="29"/>
  <c r="AF53" i="29"/>
  <c r="E62" i="50"/>
  <c r="Q54" i="29"/>
  <c r="R74" i="30" s="1"/>
  <c r="R142" i="29"/>
  <c r="H151" i="50" s="1"/>
  <c r="AQ143" i="29"/>
  <c r="AF142" i="29"/>
  <c r="E151" i="50"/>
  <c r="AH142" i="29"/>
  <c r="AI142" i="29" s="1"/>
  <c r="Q143" i="29"/>
  <c r="K133" i="29"/>
  <c r="F142" i="50" s="1"/>
  <c r="AQ133" i="29"/>
  <c r="E141" i="50"/>
  <c r="Q133" i="29"/>
  <c r="AF132" i="29"/>
  <c r="AH132" i="29"/>
  <c r="AI132" i="29" s="1"/>
  <c r="BG3" i="29"/>
  <c r="R27" i="29"/>
  <c r="AF27" i="29"/>
  <c r="E36" i="50"/>
  <c r="AH27" i="29"/>
  <c r="AI27" i="29" s="1"/>
  <c r="F47" i="30"/>
  <c r="Q28" i="29"/>
  <c r="R48" i="30" s="1"/>
  <c r="AQ28" i="29"/>
  <c r="R131" i="29"/>
  <c r="H140" i="50" s="1"/>
  <c r="Q132" i="29"/>
  <c r="AH131" i="29"/>
  <c r="AI131" i="29" s="1"/>
  <c r="AQ132" i="29"/>
  <c r="E140" i="50"/>
  <c r="AF131" i="29"/>
  <c r="K166" i="29"/>
  <c r="F175" i="50" s="1"/>
  <c r="AQ166" i="29"/>
  <c r="E174" i="50"/>
  <c r="AH165" i="29"/>
  <c r="AI165" i="29" s="1"/>
  <c r="AF165" i="29"/>
  <c r="Q166" i="29"/>
  <c r="AQ33" i="29"/>
  <c r="Q33" i="29"/>
  <c r="R53" i="30" s="1"/>
  <c r="AF32" i="29"/>
  <c r="E41" i="50"/>
  <c r="AH32" i="29"/>
  <c r="AI32" i="29" s="1"/>
  <c r="F52" i="30"/>
  <c r="R139" i="29"/>
  <c r="H148" i="50" s="1"/>
  <c r="AF139" i="29"/>
  <c r="E148" i="50"/>
  <c r="Q140" i="29"/>
  <c r="AQ140" i="29"/>
  <c r="AH139" i="29"/>
  <c r="AI139" i="29" s="1"/>
  <c r="R130" i="29"/>
  <c r="H139" i="50" s="1"/>
  <c r="AQ131" i="29"/>
  <c r="K131" i="29"/>
  <c r="F140" i="50" s="1"/>
  <c r="AF130" i="29"/>
  <c r="E139" i="50"/>
  <c r="AH130" i="29"/>
  <c r="AI130" i="29" s="1"/>
  <c r="Q131" i="29"/>
  <c r="R143" i="29"/>
  <c r="H152" i="50" s="1"/>
  <c r="AQ144" i="29"/>
  <c r="Q144" i="29"/>
  <c r="AF143" i="29"/>
  <c r="AH143" i="29"/>
  <c r="AI143" i="29" s="1"/>
  <c r="E152" i="50"/>
  <c r="BQ6" i="29"/>
  <c r="BA6" i="29"/>
  <c r="K139" i="29"/>
  <c r="F148" i="50" s="1"/>
  <c r="AF128" i="29"/>
  <c r="AQ52" i="29"/>
  <c r="K161" i="29"/>
  <c r="R39" i="29"/>
  <c r="R128" i="29"/>
  <c r="H137" i="50" s="1"/>
  <c r="Q52" i="29"/>
  <c r="R72" i="30" s="1"/>
  <c r="E60" i="50"/>
  <c r="AF51" i="29"/>
  <c r="P6" i="29"/>
  <c r="T6" i="29" s="1"/>
  <c r="Q161" i="29"/>
  <c r="AF160" i="29"/>
  <c r="L184" i="50"/>
  <c r="CL7" i="29"/>
  <c r="L119" i="50"/>
  <c r="AX72" i="29"/>
  <c r="AX173" i="29"/>
  <c r="AX114" i="29"/>
  <c r="M46" i="30"/>
  <c r="AX179" i="29"/>
  <c r="L151" i="50"/>
  <c r="AX32" i="29"/>
  <c r="L180" i="50"/>
  <c r="AX26" i="29"/>
  <c r="L197" i="50"/>
  <c r="M52" i="30"/>
  <c r="L117" i="50"/>
  <c r="AX70" i="29"/>
  <c r="AX116" i="29"/>
  <c r="AX139" i="29"/>
  <c r="L195" i="50"/>
  <c r="L186" i="50"/>
  <c r="L145" i="50"/>
  <c r="R60" i="29"/>
  <c r="E69" i="50"/>
  <c r="AF60" i="29"/>
  <c r="F80" i="30"/>
  <c r="AH60" i="29"/>
  <c r="AI60" i="29" s="1"/>
  <c r="Q61" i="29"/>
  <c r="R81" i="30" s="1"/>
  <c r="AQ61" i="29"/>
  <c r="R152" i="29"/>
  <c r="H161" i="50" s="1"/>
  <c r="K153" i="29"/>
  <c r="F162" i="50" s="1"/>
  <c r="AF152" i="29"/>
  <c r="AH152" i="29"/>
  <c r="AI152" i="29" s="1"/>
  <c r="AQ153" i="29"/>
  <c r="E161" i="50"/>
  <c r="Q153" i="29"/>
  <c r="AX37" i="29"/>
  <c r="L46" i="50"/>
  <c r="M57" i="30"/>
  <c r="AX77" i="29"/>
  <c r="L86" i="50"/>
  <c r="L136" i="50"/>
  <c r="AX127" i="29"/>
  <c r="L168" i="50"/>
  <c r="AX159" i="29"/>
  <c r="R25" i="29"/>
  <c r="F45" i="30"/>
  <c r="M63" i="30"/>
  <c r="L52" i="50"/>
  <c r="AX43" i="29"/>
  <c r="AX83" i="29"/>
  <c r="L92" i="50"/>
  <c r="AX120" i="29"/>
  <c r="L129" i="50"/>
  <c r="L171" i="50"/>
  <c r="AX162" i="29"/>
  <c r="AX160" i="29"/>
  <c r="L169" i="50"/>
  <c r="AX133" i="29"/>
  <c r="L142" i="50"/>
  <c r="L130" i="50"/>
  <c r="AX121" i="29"/>
  <c r="L99" i="50"/>
  <c r="AX90" i="29"/>
  <c r="AX74" i="29"/>
  <c r="L83" i="50"/>
  <c r="L60" i="50"/>
  <c r="AX51" i="29"/>
  <c r="M71" i="30"/>
  <c r="AX31" i="29"/>
  <c r="M51" i="30"/>
  <c r="L40" i="50"/>
  <c r="AX158" i="29"/>
  <c r="L167" i="50"/>
  <c r="R29" i="29"/>
  <c r="Q30" i="29"/>
  <c r="R50" i="30" s="1"/>
  <c r="E173" i="50"/>
  <c r="Q165" i="29"/>
  <c r="AH164" i="29"/>
  <c r="AI164" i="29" s="1"/>
  <c r="AQ176" i="29"/>
  <c r="Q176" i="29"/>
  <c r="AH175" i="29"/>
  <c r="AI175" i="29" s="1"/>
  <c r="E184" i="50"/>
  <c r="K61" i="29"/>
  <c r="R175" i="29"/>
  <c r="H184" i="50" s="1"/>
  <c r="Q154" i="29"/>
  <c r="K176" i="29"/>
  <c r="F185" i="50" s="1"/>
  <c r="M72" i="30"/>
  <c r="L192" i="50"/>
  <c r="E38" i="50"/>
  <c r="AQ30" i="29"/>
  <c r="R102" i="29"/>
  <c r="H111" i="50" s="1"/>
  <c r="K103" i="29"/>
  <c r="F112" i="50" s="1"/>
  <c r="AH102" i="29"/>
  <c r="AI102" i="29" s="1"/>
  <c r="AF102" i="29"/>
  <c r="E111" i="50"/>
  <c r="AQ103" i="29"/>
  <c r="Q103" i="29"/>
  <c r="X4" i="45"/>
  <c r="L25" i="50"/>
  <c r="M36" i="30"/>
  <c r="AX16" i="29"/>
  <c r="AX44" i="29"/>
  <c r="M64" i="30"/>
  <c r="L53" i="50"/>
  <c r="AX85" i="29"/>
  <c r="L94" i="50"/>
  <c r="AX115" i="29"/>
  <c r="L124" i="50"/>
  <c r="L144" i="50"/>
  <c r="AX135" i="29"/>
  <c r="AX152" i="29"/>
  <c r="L161" i="50"/>
  <c r="AX168" i="29"/>
  <c r="L177" i="50"/>
  <c r="N24" i="30"/>
  <c r="O5" i="48"/>
  <c r="R45" i="29"/>
  <c r="AQ46" i="29"/>
  <c r="L66" i="50"/>
  <c r="M77" i="30"/>
  <c r="AX57" i="29"/>
  <c r="L100" i="50"/>
  <c r="AX91" i="29"/>
  <c r="L164" i="50"/>
  <c r="AX155" i="29"/>
  <c r="R169" i="29"/>
  <c r="H178" i="50" s="1"/>
  <c r="AQ170" i="29"/>
  <c r="E178" i="50"/>
  <c r="Q170" i="29"/>
  <c r="AH169" i="29"/>
  <c r="AI169" i="29" s="1"/>
  <c r="AF169" i="29"/>
  <c r="AX166" i="29"/>
  <c r="L175" i="50"/>
  <c r="L166" i="50"/>
  <c r="AX157" i="29"/>
  <c r="AX144" i="29"/>
  <c r="L153" i="50"/>
  <c r="AX128" i="29"/>
  <c r="L137" i="50"/>
  <c r="AX119" i="29"/>
  <c r="L128" i="50"/>
  <c r="AX97" i="29"/>
  <c r="L106" i="50"/>
  <c r="L97" i="50"/>
  <c r="AX88" i="29"/>
  <c r="L89" i="50"/>
  <c r="AX80" i="29"/>
  <c r="AX69" i="29"/>
  <c r="L78" i="50"/>
  <c r="AX61" i="29"/>
  <c r="M81" i="30"/>
  <c r="L70" i="50"/>
  <c r="AX47" i="29"/>
  <c r="L56" i="50"/>
  <c r="M67" i="30"/>
  <c r="L47" i="50"/>
  <c r="M58" i="30"/>
  <c r="AX38" i="29"/>
  <c r="L38" i="50"/>
  <c r="M49" i="30"/>
  <c r="AX29" i="29"/>
  <c r="V4" i="45"/>
  <c r="AX15" i="29"/>
  <c r="M35" i="30"/>
  <c r="L24" i="50"/>
  <c r="R170" i="29"/>
  <c r="H179" i="50" s="1"/>
  <c r="AF170" i="29"/>
  <c r="AH170" i="29"/>
  <c r="AI170" i="29" s="1"/>
  <c r="AQ171" i="29"/>
  <c r="Q171" i="29"/>
  <c r="E179" i="50"/>
  <c r="L5" i="48"/>
  <c r="K24" i="30"/>
  <c r="AQ148" i="29"/>
  <c r="Q148" i="29"/>
  <c r="E156" i="50"/>
  <c r="AH147" i="29"/>
  <c r="AI147" i="29" s="1"/>
  <c r="AF147" i="29"/>
  <c r="E73" i="50"/>
  <c r="F84" i="30"/>
  <c r="AQ65" i="29"/>
  <c r="Q65" i="29"/>
  <c r="R85" i="30" s="1"/>
  <c r="AH64" i="29"/>
  <c r="AI64" i="29" s="1"/>
  <c r="K30" i="29"/>
  <c r="R40" i="29"/>
  <c r="I60" i="30" s="1"/>
  <c r="K65" i="29"/>
  <c r="F74" i="50" s="1"/>
  <c r="K154" i="29"/>
  <c r="AH153" i="29"/>
  <c r="AI153" i="29" s="1"/>
  <c r="AF64" i="29"/>
  <c r="AF164" i="29"/>
  <c r="L57" i="50"/>
  <c r="AX48" i="29"/>
  <c r="Q26" i="29"/>
  <c r="R46" i="30" s="1"/>
  <c r="Q46" i="29"/>
  <c r="R66" i="30" s="1"/>
  <c r="AF119" i="29"/>
  <c r="AQ120" i="29"/>
  <c r="E128" i="50"/>
  <c r="R50" i="29"/>
  <c r="AQ51" i="29"/>
  <c r="AF50" i="29"/>
  <c r="E59" i="50"/>
  <c r="AH50" i="29"/>
  <c r="AI50" i="29" s="1"/>
  <c r="Q51" i="29"/>
  <c r="R71" i="30" s="1"/>
  <c r="F70" i="30"/>
  <c r="R118" i="29"/>
  <c r="H127" i="50" s="1"/>
  <c r="AF118" i="29"/>
  <c r="AQ119" i="29"/>
  <c r="E127" i="50"/>
  <c r="Q119" i="29"/>
  <c r="AH118" i="29"/>
  <c r="AI118" i="29" s="1"/>
  <c r="R168" i="29"/>
  <c r="H177" i="50" s="1"/>
  <c r="Q169" i="29"/>
  <c r="E177" i="50"/>
  <c r="AQ169" i="29"/>
  <c r="AF168" i="29"/>
  <c r="AH168" i="29"/>
  <c r="AI168" i="29" s="1"/>
  <c r="M44" i="30"/>
  <c r="L33" i="50"/>
  <c r="AX24" i="29"/>
  <c r="R51" i="29"/>
  <c r="AH51" i="29"/>
  <c r="AI51" i="29" s="1"/>
  <c r="AX59" i="29"/>
  <c r="L68" i="50"/>
  <c r="M79" i="30"/>
  <c r="AX93" i="29"/>
  <c r="L102" i="50"/>
  <c r="L126" i="50"/>
  <c r="AX117" i="29"/>
  <c r="R138" i="29"/>
  <c r="H147" i="50" s="1"/>
  <c r="AQ139" i="29"/>
  <c r="Q139" i="29"/>
  <c r="AF138" i="29"/>
  <c r="L179" i="50"/>
  <c r="AX170" i="29"/>
  <c r="M48" i="30"/>
  <c r="AX28" i="29"/>
  <c r="L37" i="50"/>
  <c r="M82" i="30"/>
  <c r="AX62" i="29"/>
  <c r="L71" i="50"/>
  <c r="AX105" i="29"/>
  <c r="L114" i="50"/>
  <c r="AQ129" i="29"/>
  <c r="E137" i="50"/>
  <c r="AH128" i="29"/>
  <c r="AI128" i="29" s="1"/>
  <c r="Q129" i="29"/>
  <c r="AX145" i="29"/>
  <c r="L154" i="50"/>
  <c r="R160" i="29"/>
  <c r="H169" i="50" s="1"/>
  <c r="E169" i="50"/>
  <c r="AX163" i="29"/>
  <c r="L172" i="50"/>
  <c r="AX154" i="29"/>
  <c r="L163" i="50"/>
  <c r="L150" i="50"/>
  <c r="AX141" i="29"/>
  <c r="L134" i="50"/>
  <c r="AX125" i="29"/>
  <c r="L112" i="50"/>
  <c r="AX103" i="29"/>
  <c r="L104" i="50"/>
  <c r="AX95" i="29"/>
  <c r="L95" i="50"/>
  <c r="AX86" i="29"/>
  <c r="AX78" i="29"/>
  <c r="L87" i="50"/>
  <c r="AX67" i="29"/>
  <c r="L76" i="50"/>
  <c r="M78" i="30"/>
  <c r="AX58" i="29"/>
  <c r="L67" i="50"/>
  <c r="AX45" i="29"/>
  <c r="M65" i="30"/>
  <c r="L54" i="50"/>
  <c r="M56" i="30"/>
  <c r="L45" i="50"/>
  <c r="AX36" i="29"/>
  <c r="AX25" i="29"/>
  <c r="L34" i="50"/>
  <c r="M45" i="30"/>
  <c r="J4" i="45"/>
  <c r="M29" i="30"/>
  <c r="L18" i="50"/>
  <c r="AX9" i="29"/>
  <c r="R55" i="29"/>
  <c r="E64" i="50"/>
  <c r="L116" i="50"/>
  <c r="AX107" i="29"/>
  <c r="AX140" i="29"/>
  <c r="L149" i="50"/>
  <c r="AX187" i="29"/>
  <c r="L196" i="50"/>
  <c r="M73" i="30"/>
  <c r="L62" i="50"/>
  <c r="AX53" i="29"/>
  <c r="AX185" i="29"/>
  <c r="L194" i="50"/>
  <c r="AX146" i="29"/>
  <c r="L155" i="50"/>
  <c r="L107" i="50"/>
  <c r="AX98" i="29"/>
  <c r="L91" i="50"/>
  <c r="AX82" i="29"/>
  <c r="AX63" i="29"/>
  <c r="L72" i="50"/>
  <c r="M83" i="30"/>
  <c r="L49" i="50"/>
  <c r="AX40" i="29"/>
  <c r="M60" i="30"/>
  <c r="L26" i="50"/>
  <c r="AX17" i="29"/>
  <c r="Z4" i="45"/>
  <c r="M37" i="30"/>
  <c r="K56" i="29"/>
  <c r="F65" i="50" s="1"/>
  <c r="K165" i="29"/>
  <c r="R153" i="29"/>
  <c r="H162" i="50" s="1"/>
  <c r="AF153" i="29"/>
  <c r="AQ165" i="29"/>
  <c r="AX52" i="29"/>
  <c r="AX112" i="29"/>
  <c r="L113" i="50"/>
  <c r="L138" i="50"/>
  <c r="AH25" i="29"/>
  <c r="AI25" i="29" s="1"/>
  <c r="AH45" i="29"/>
  <c r="AI45" i="29" s="1"/>
  <c r="AF25" i="29"/>
  <c r="AF55" i="29"/>
  <c r="R54" i="29"/>
  <c r="F74" i="30"/>
  <c r="AF54" i="29"/>
  <c r="AH54" i="29"/>
  <c r="AI54" i="29" s="1"/>
  <c r="Q55" i="29"/>
  <c r="R75" i="30" s="1"/>
  <c r="E63" i="50"/>
  <c r="AQ55" i="29"/>
  <c r="R127" i="29"/>
  <c r="H136" i="50" s="1"/>
  <c r="AH127" i="29"/>
  <c r="AI127" i="29" s="1"/>
  <c r="E136" i="50"/>
  <c r="AF127" i="29"/>
  <c r="AQ128" i="29"/>
  <c r="Q128" i="29"/>
  <c r="F4" i="45"/>
  <c r="M27" i="30"/>
  <c r="AX7" i="29"/>
  <c r="CM7" i="29" s="1"/>
  <c r="L16" i="50"/>
  <c r="M50" i="30"/>
  <c r="L39" i="50"/>
  <c r="AX30" i="29"/>
  <c r="L73" i="50"/>
  <c r="AX64" i="29"/>
  <c r="M84" i="30"/>
  <c r="AX102" i="29"/>
  <c r="L111" i="50"/>
  <c r="L131" i="50"/>
  <c r="AX122" i="29"/>
  <c r="Q158" i="29"/>
  <c r="AH157" i="29"/>
  <c r="AI157" i="29" s="1"/>
  <c r="AQ158" i="29"/>
  <c r="E166" i="50"/>
  <c r="AX178" i="29"/>
  <c r="L187" i="50"/>
  <c r="AX23" i="29"/>
  <c r="L32" i="50"/>
  <c r="M43" i="30"/>
  <c r="L44" i="50"/>
  <c r="M55" i="30"/>
  <c r="AX35" i="29"/>
  <c r="AX49" i="29"/>
  <c r="M69" i="30"/>
  <c r="L58" i="50"/>
  <c r="AX75" i="29"/>
  <c r="L84" i="50"/>
  <c r="AX113" i="29"/>
  <c r="L122" i="50"/>
  <c r="L143" i="50"/>
  <c r="AX134" i="29"/>
  <c r="L185" i="50"/>
  <c r="AX176" i="29"/>
  <c r="AX161" i="29"/>
  <c r="L170" i="50"/>
  <c r="AX150" i="29"/>
  <c r="L159" i="50"/>
  <c r="AX138" i="29"/>
  <c r="L147" i="50"/>
  <c r="L132" i="50"/>
  <c r="AX123" i="29"/>
  <c r="AX100" i="29"/>
  <c r="L109" i="50"/>
  <c r="AX92" i="29"/>
  <c r="L101" i="50"/>
  <c r="AX84" i="29"/>
  <c r="L93" i="50"/>
  <c r="L85" i="50"/>
  <c r="AX76" i="29"/>
  <c r="M85" i="30"/>
  <c r="AX65" i="29"/>
  <c r="L74" i="50"/>
  <c r="AX55" i="29"/>
  <c r="M75" i="30"/>
  <c r="L64" i="50"/>
  <c r="AX42" i="29"/>
  <c r="L51" i="50"/>
  <c r="M62" i="30"/>
  <c r="L43" i="50"/>
  <c r="M54" i="30"/>
  <c r="AX34" i="29"/>
  <c r="M42" i="30"/>
  <c r="L31" i="50"/>
  <c r="AX22" i="29"/>
  <c r="L115" i="50"/>
  <c r="AX106" i="29"/>
  <c r="M76" i="30"/>
  <c r="AX56" i="29"/>
  <c r="R61" i="29"/>
  <c r="Q62" i="29"/>
  <c r="R82" i="30" s="1"/>
  <c r="AQ62" i="29"/>
  <c r="R154" i="29"/>
  <c r="H163" i="50" s="1"/>
  <c r="AQ155" i="29"/>
  <c r="Q155" i="29"/>
  <c r="AQ75" i="29"/>
  <c r="Q75" i="29"/>
  <c r="AH74" i="29"/>
  <c r="AI74" i="29" s="1"/>
  <c r="E83" i="50"/>
  <c r="U6" i="29"/>
  <c r="BB6" i="29" s="1"/>
  <c r="G15" i="50"/>
  <c r="H26" i="30"/>
  <c r="H24" i="30"/>
  <c r="G5" i="48"/>
  <c r="H15" i="50"/>
  <c r="I26" i="30"/>
  <c r="BU6" i="29"/>
  <c r="K36" i="29"/>
  <c r="G56" i="30" s="1"/>
  <c r="K64" i="29"/>
  <c r="G84" i="30" s="1"/>
  <c r="K39" i="29"/>
  <c r="F48" i="50" s="1"/>
  <c r="R37" i="29"/>
  <c r="I57" i="30" s="1"/>
  <c r="K152" i="29"/>
  <c r="F161" i="50" s="1"/>
  <c r="R47" i="29"/>
  <c r="AF47" i="29"/>
  <c r="F67" i="30"/>
  <c r="E56" i="50"/>
  <c r="AH47" i="29"/>
  <c r="AI47" i="29" s="1"/>
  <c r="Q48" i="29"/>
  <c r="R68" i="30" s="1"/>
  <c r="AQ48" i="29"/>
  <c r="R125" i="29"/>
  <c r="H134" i="50" s="1"/>
  <c r="AF125" i="29"/>
  <c r="AH125" i="29"/>
  <c r="AI125" i="29" s="1"/>
  <c r="AQ126" i="29"/>
  <c r="E134" i="50"/>
  <c r="Q126" i="29"/>
  <c r="AF30" i="29"/>
  <c r="AQ31" i="29"/>
  <c r="Q31" i="29"/>
  <c r="R51" i="30" s="1"/>
  <c r="F50" i="30"/>
  <c r="E39" i="50"/>
  <c r="AH30" i="29"/>
  <c r="AI30" i="29" s="1"/>
  <c r="R62" i="29"/>
  <c r="AF62" i="29"/>
  <c r="AH62" i="29"/>
  <c r="AI62" i="29" s="1"/>
  <c r="E71" i="50"/>
  <c r="Q63" i="29"/>
  <c r="R83" i="30" s="1"/>
  <c r="AQ63" i="29"/>
  <c r="F82" i="30"/>
  <c r="R122" i="29"/>
  <c r="H131" i="50" s="1"/>
  <c r="AF122" i="29"/>
  <c r="K123" i="29"/>
  <c r="F132" i="50" s="1"/>
  <c r="Q123" i="29"/>
  <c r="E131" i="50"/>
  <c r="AQ123" i="29"/>
  <c r="AH122" i="29"/>
  <c r="AI122" i="29" s="1"/>
  <c r="R144" i="29"/>
  <c r="H153" i="50" s="1"/>
  <c r="AQ145" i="29"/>
  <c r="K145" i="29"/>
  <c r="F154" i="50" s="1"/>
  <c r="E153" i="50"/>
  <c r="AF144" i="29"/>
  <c r="Q145" i="29"/>
  <c r="AH144" i="29"/>
  <c r="AI144" i="29" s="1"/>
  <c r="R59" i="29"/>
  <c r="AF59" i="29"/>
  <c r="AQ60" i="29"/>
  <c r="Q60" i="29"/>
  <c r="R80" i="30" s="1"/>
  <c r="E68" i="50"/>
  <c r="F79" i="30"/>
  <c r="AH59" i="29"/>
  <c r="AI59" i="29" s="1"/>
  <c r="R126" i="29"/>
  <c r="H135" i="50" s="1"/>
  <c r="K127" i="29"/>
  <c r="F136" i="50" s="1"/>
  <c r="AF126" i="29"/>
  <c r="Q127" i="29"/>
  <c r="AQ127" i="29"/>
  <c r="AH126" i="29"/>
  <c r="AI126" i="29" s="1"/>
  <c r="E135" i="50"/>
  <c r="R146" i="29"/>
  <c r="H155" i="50" s="1"/>
  <c r="AF146" i="29"/>
  <c r="Q147" i="29"/>
  <c r="E155" i="50"/>
  <c r="AH146" i="29"/>
  <c r="AI146" i="29" s="1"/>
  <c r="AQ147" i="29"/>
  <c r="R167" i="29"/>
  <c r="H176" i="50" s="1"/>
  <c r="AF167" i="29"/>
  <c r="AQ168" i="29"/>
  <c r="AH167" i="29"/>
  <c r="AI167" i="29" s="1"/>
  <c r="Q168" i="29"/>
  <c r="E176" i="50"/>
  <c r="AF34" i="29"/>
  <c r="F54" i="30"/>
  <c r="Q35" i="29"/>
  <c r="R55" i="30" s="1"/>
  <c r="AQ35" i="29"/>
  <c r="AH34" i="29"/>
  <c r="AI34" i="29" s="1"/>
  <c r="E43" i="50"/>
  <c r="R72" i="29"/>
  <c r="H81" i="50" s="1"/>
  <c r="K73" i="29"/>
  <c r="F82" i="50" s="1"/>
  <c r="AF72" i="29"/>
  <c r="E81" i="50"/>
  <c r="AH72" i="29"/>
  <c r="AI72" i="29" s="1"/>
  <c r="AQ73" i="29"/>
  <c r="Q73" i="29"/>
  <c r="R123" i="29"/>
  <c r="H132" i="50" s="1"/>
  <c r="Q124" i="29"/>
  <c r="AF123" i="29"/>
  <c r="AH123" i="29"/>
  <c r="AI123" i="29" s="1"/>
  <c r="E132" i="50"/>
  <c r="AQ124" i="29"/>
  <c r="R150" i="29"/>
  <c r="H159" i="50" s="1"/>
  <c r="AF150" i="29"/>
  <c r="AQ151" i="29"/>
  <c r="E159" i="50"/>
  <c r="Q151" i="29"/>
  <c r="AH150" i="29"/>
  <c r="AI150" i="29" s="1"/>
  <c r="R31" i="29"/>
  <c r="AF31" i="29"/>
  <c r="E40" i="50"/>
  <c r="F51" i="30"/>
  <c r="AH31" i="29"/>
  <c r="AI31" i="29" s="1"/>
  <c r="AQ32" i="29"/>
  <c r="Q32" i="29"/>
  <c r="R52" i="30" s="1"/>
  <c r="AF63" i="29"/>
  <c r="AQ64" i="29"/>
  <c r="AH63" i="29"/>
  <c r="AI63" i="29" s="1"/>
  <c r="F83" i="30"/>
  <c r="Q64" i="29"/>
  <c r="R84" i="30" s="1"/>
  <c r="E72" i="50"/>
  <c r="AF151" i="29"/>
  <c r="Q152" i="29"/>
  <c r="AH151" i="29"/>
  <c r="AI151" i="29" s="1"/>
  <c r="E160" i="50"/>
  <c r="AQ152" i="29"/>
  <c r="R46" i="29"/>
  <c r="AF46" i="29"/>
  <c r="F66" i="30"/>
  <c r="AH46" i="29"/>
  <c r="AI46" i="29" s="1"/>
  <c r="E55" i="50"/>
  <c r="AQ47" i="29"/>
  <c r="Q47" i="29"/>
  <c r="R67" i="30" s="1"/>
  <c r="R120" i="29"/>
  <c r="H129" i="50" s="1"/>
  <c r="AQ121" i="29"/>
  <c r="Q121" i="29"/>
  <c r="AF120" i="29"/>
  <c r="AH120" i="29"/>
  <c r="AI120" i="29" s="1"/>
  <c r="E129" i="50"/>
  <c r="R124" i="29"/>
  <c r="H133" i="50" s="1"/>
  <c r="K125" i="29"/>
  <c r="F134" i="50" s="1"/>
  <c r="AF124" i="29"/>
  <c r="AQ125" i="29"/>
  <c r="E133" i="50"/>
  <c r="AH124" i="29"/>
  <c r="AI124" i="29" s="1"/>
  <c r="Q125" i="29"/>
  <c r="R166" i="29"/>
  <c r="H175" i="50" s="1"/>
  <c r="AF166" i="29"/>
  <c r="E175" i="50"/>
  <c r="AQ167" i="29"/>
  <c r="AH166" i="29"/>
  <c r="AI166" i="29" s="1"/>
  <c r="Q167" i="29"/>
  <c r="R178" i="29"/>
  <c r="H187" i="50" s="1"/>
  <c r="AF178" i="29"/>
  <c r="AH178" i="29"/>
  <c r="AI178" i="29" s="1"/>
  <c r="E187" i="50"/>
  <c r="Q179" i="29"/>
  <c r="AQ179" i="29"/>
  <c r="AF35" i="29"/>
  <c r="AQ36" i="29"/>
  <c r="Q36" i="29"/>
  <c r="R56" i="30" s="1"/>
  <c r="AH35" i="29"/>
  <c r="AI35" i="29" s="1"/>
  <c r="E44" i="50"/>
  <c r="F55" i="30"/>
  <c r="R140" i="29"/>
  <c r="H149" i="50" s="1"/>
  <c r="K141" i="29"/>
  <c r="F150" i="50" s="1"/>
  <c r="AF140" i="29"/>
  <c r="AQ141" i="29"/>
  <c r="Q141" i="29"/>
  <c r="E149" i="50"/>
  <c r="AH140" i="29"/>
  <c r="AI140" i="29" s="1"/>
  <c r="R159" i="29"/>
  <c r="H168" i="50" s="1"/>
  <c r="AF159" i="29"/>
  <c r="AQ160" i="29"/>
  <c r="AH159" i="29"/>
  <c r="AI159" i="29" s="1"/>
  <c r="Q160" i="29"/>
  <c r="E168" i="50"/>
  <c r="R58" i="29"/>
  <c r="AF58" i="29"/>
  <c r="F78" i="30"/>
  <c r="Q59" i="29"/>
  <c r="R79" i="30" s="1"/>
  <c r="E67" i="50"/>
  <c r="AH58" i="29"/>
  <c r="AI58" i="29" s="1"/>
  <c r="AQ59" i="29"/>
  <c r="R121" i="29"/>
  <c r="H130" i="50" s="1"/>
  <c r="AF121" i="29"/>
  <c r="Q122" i="29"/>
  <c r="E130" i="50"/>
  <c r="AQ122" i="29"/>
  <c r="AH121" i="29"/>
  <c r="AI121" i="29" s="1"/>
  <c r="AF23" i="29"/>
  <c r="R23" i="29"/>
  <c r="K24" i="29"/>
  <c r="F43" i="30"/>
  <c r="Q24" i="29"/>
  <c r="R44" i="30" s="1"/>
  <c r="AQ24" i="29"/>
  <c r="E32" i="50"/>
  <c r="AH23" i="29"/>
  <c r="AI23" i="29" s="1"/>
  <c r="AF39" i="29"/>
  <c r="F59" i="30"/>
  <c r="E48" i="50"/>
  <c r="AH39" i="29"/>
  <c r="AI39" i="29" s="1"/>
  <c r="AQ40" i="29"/>
  <c r="Q40" i="29"/>
  <c r="R60" i="30" s="1"/>
  <c r="R43" i="29"/>
  <c r="AF43" i="29"/>
  <c r="AQ44" i="29"/>
  <c r="AH43" i="29"/>
  <c r="AI43" i="29" s="1"/>
  <c r="E52" i="50"/>
  <c r="Q44" i="29"/>
  <c r="R64" i="30" s="1"/>
  <c r="F63" i="30"/>
  <c r="G69" i="30"/>
  <c r="F58" i="50"/>
  <c r="R115" i="29"/>
  <c r="H124" i="50" s="1"/>
  <c r="AF115" i="29"/>
  <c r="AH115" i="29"/>
  <c r="AI115" i="29" s="1"/>
  <c r="AQ116" i="29"/>
  <c r="E124" i="50"/>
  <c r="Q116" i="29"/>
  <c r="AF36" i="29"/>
  <c r="F56" i="30"/>
  <c r="Q37" i="29"/>
  <c r="R57" i="30" s="1"/>
  <c r="AH36" i="29"/>
  <c r="AI36" i="29" s="1"/>
  <c r="E45" i="50"/>
  <c r="AQ37" i="29"/>
  <c r="AF40" i="29"/>
  <c r="AQ41" i="29"/>
  <c r="E49" i="50"/>
  <c r="AH40" i="29"/>
  <c r="AI40" i="29" s="1"/>
  <c r="Q41" i="29"/>
  <c r="R61" i="30" s="1"/>
  <c r="F60" i="30"/>
  <c r="AF92" i="29"/>
  <c r="K93" i="29"/>
  <c r="F102" i="50" s="1"/>
  <c r="R92" i="29"/>
  <c r="H101" i="50" s="1"/>
  <c r="AQ93" i="29"/>
  <c r="Q93" i="29"/>
  <c r="AH92" i="29"/>
  <c r="AI92" i="29" s="1"/>
  <c r="E101" i="50"/>
  <c r="I86" i="30"/>
  <c r="H75" i="50"/>
  <c r="R90" i="29"/>
  <c r="H99" i="50" s="1"/>
  <c r="K91" i="29"/>
  <c r="F100" i="50" s="1"/>
  <c r="AF90" i="29"/>
  <c r="E99" i="50"/>
  <c r="AH90" i="29"/>
  <c r="AI90" i="29" s="1"/>
  <c r="Q91" i="29"/>
  <c r="AQ91" i="29"/>
  <c r="R136" i="29"/>
  <c r="H145" i="50" s="1"/>
  <c r="K137" i="29"/>
  <c r="F146" i="50" s="1"/>
  <c r="AF136" i="29"/>
  <c r="E145" i="50"/>
  <c r="Q137" i="29"/>
  <c r="AH136" i="29"/>
  <c r="AI136" i="29" s="1"/>
  <c r="AQ137" i="29"/>
  <c r="AF37" i="29"/>
  <c r="E46" i="50"/>
  <c r="F57" i="30"/>
  <c r="AH37" i="29"/>
  <c r="AI37" i="29" s="1"/>
  <c r="AQ38" i="29"/>
  <c r="Q38" i="29"/>
  <c r="R58" i="30" s="1"/>
  <c r="R41" i="29"/>
  <c r="AF41" i="29"/>
  <c r="F61" i="30"/>
  <c r="Q42" i="29"/>
  <c r="R62" i="30" s="1"/>
  <c r="AH41" i="29"/>
  <c r="AI41" i="29" s="1"/>
  <c r="AQ42" i="29"/>
  <c r="E50" i="50"/>
  <c r="R137" i="29"/>
  <c r="H146" i="50" s="1"/>
  <c r="E146" i="50"/>
  <c r="AF137" i="29"/>
  <c r="AH137" i="29"/>
  <c r="AI137" i="29" s="1"/>
  <c r="Q138" i="29"/>
  <c r="AQ138" i="29"/>
  <c r="AF38" i="29"/>
  <c r="E47" i="50"/>
  <c r="F58" i="30"/>
  <c r="AH38" i="29"/>
  <c r="AI38" i="29" s="1"/>
  <c r="AQ39" i="29"/>
  <c r="Q39" i="29"/>
  <c r="R59" i="30" s="1"/>
  <c r="R42" i="29"/>
  <c r="AF42" i="29"/>
  <c r="K43" i="29"/>
  <c r="E51" i="50"/>
  <c r="AQ43" i="29"/>
  <c r="AH42" i="29"/>
  <c r="AI42" i="29" s="1"/>
  <c r="F62" i="30"/>
  <c r="Q43" i="29"/>
  <c r="R63" i="30" s="1"/>
  <c r="H73" i="50"/>
  <c r="I84" i="30"/>
  <c r="F54" i="50"/>
  <c r="G65" i="30"/>
  <c r="F56" i="50"/>
  <c r="G67" i="30"/>
  <c r="CK10" i="29"/>
  <c r="CL9" i="29"/>
  <c r="C27" i="30"/>
  <c r="B16" i="50"/>
  <c r="AJ7" i="29"/>
  <c r="BF7" i="29"/>
  <c r="BO7" i="29" s="1"/>
  <c r="F7" i="29"/>
  <c r="H29" i="50"/>
  <c r="I40" i="30"/>
  <c r="G41" i="30"/>
  <c r="F30" i="50"/>
  <c r="M40" i="30"/>
  <c r="AX20" i="29"/>
  <c r="L29" i="50"/>
  <c r="R4" i="45"/>
  <c r="AX13" i="29"/>
  <c r="M33" i="30"/>
  <c r="L22" i="50"/>
  <c r="H4" i="45"/>
  <c r="L17" i="50"/>
  <c r="AX8" i="29"/>
  <c r="CM8" i="29" s="1"/>
  <c r="M28" i="30"/>
  <c r="G46" i="30"/>
  <c r="F35" i="50"/>
  <c r="F43" i="50"/>
  <c r="G54" i="30"/>
  <c r="H43" i="50"/>
  <c r="I54" i="30"/>
  <c r="G68" i="30"/>
  <c r="F57" i="50"/>
  <c r="I48" i="30"/>
  <c r="H37" i="50"/>
  <c r="F64" i="50"/>
  <c r="G75" i="30"/>
  <c r="G83" i="30"/>
  <c r="F72" i="50"/>
  <c r="F49" i="50"/>
  <c r="G60" i="30"/>
  <c r="H72" i="50"/>
  <c r="I83" i="30"/>
  <c r="R76" i="29"/>
  <c r="H85" i="50" s="1"/>
  <c r="K77" i="29"/>
  <c r="AF76" i="29"/>
  <c r="E85" i="50"/>
  <c r="AQ77" i="29"/>
  <c r="Q77" i="29"/>
  <c r="AH76" i="29"/>
  <c r="AI76" i="29" s="1"/>
  <c r="R108" i="29"/>
  <c r="H117" i="50" s="1"/>
  <c r="K109" i="29"/>
  <c r="AF108" i="29"/>
  <c r="E117" i="50"/>
  <c r="Q109" i="29"/>
  <c r="AQ109" i="29"/>
  <c r="AH108" i="29"/>
  <c r="AI108" i="29" s="1"/>
  <c r="F131" i="50"/>
  <c r="F139" i="50"/>
  <c r="F147" i="50"/>
  <c r="F155" i="50"/>
  <c r="R111" i="29"/>
  <c r="H120" i="50" s="1"/>
  <c r="K112" i="29"/>
  <c r="AF111" i="29"/>
  <c r="AQ112" i="29"/>
  <c r="E120" i="50"/>
  <c r="Q112" i="29"/>
  <c r="AH111" i="29"/>
  <c r="AI111" i="29" s="1"/>
  <c r="F166" i="50"/>
  <c r="F174" i="50"/>
  <c r="F182" i="50"/>
  <c r="F190" i="50"/>
  <c r="F157" i="50"/>
  <c r="F196" i="50"/>
  <c r="T15" i="46"/>
  <c r="F8" i="36"/>
  <c r="F9" i="36" s="1"/>
  <c r="H35" i="31"/>
  <c r="F6" i="36" s="1"/>
  <c r="J8" i="36"/>
  <c r="J9" i="36" s="1"/>
  <c r="L35" i="31"/>
  <c r="J6" i="36" s="1"/>
  <c r="C20" i="49"/>
  <c r="C21" i="49" s="1"/>
  <c r="C22" i="49" s="1"/>
  <c r="H50" i="49"/>
  <c r="R22" i="29"/>
  <c r="K23" i="29"/>
  <c r="AF22" i="29"/>
  <c r="F42" i="30"/>
  <c r="AQ23" i="29"/>
  <c r="Q23" i="29"/>
  <c r="R43" i="30" s="1"/>
  <c r="AH22" i="29"/>
  <c r="AI22" i="29" s="1"/>
  <c r="E31" i="50"/>
  <c r="AS8" i="29"/>
  <c r="E8" i="29" s="1"/>
  <c r="AQ22" i="29"/>
  <c r="R21" i="29"/>
  <c r="K22" i="29"/>
  <c r="AF21" i="29"/>
  <c r="F41" i="30"/>
  <c r="E30" i="50"/>
  <c r="Q22" i="29"/>
  <c r="R42" i="30" s="1"/>
  <c r="AH21" i="29"/>
  <c r="AI21" i="29" s="1"/>
  <c r="M39" i="30"/>
  <c r="AX19" i="29"/>
  <c r="L28" i="50"/>
  <c r="P4" i="45"/>
  <c r="AX12" i="29"/>
  <c r="L21" i="50"/>
  <c r="M32" i="30"/>
  <c r="H10" i="29"/>
  <c r="H16" i="29"/>
  <c r="H7" i="29"/>
  <c r="H9" i="29"/>
  <c r="H11" i="29"/>
  <c r="H12" i="29"/>
  <c r="H19" i="29"/>
  <c r="H20" i="29"/>
  <c r="H21" i="29"/>
  <c r="H24" i="29"/>
  <c r="H26" i="29"/>
  <c r="H28" i="29"/>
  <c r="H30" i="29"/>
  <c r="H32" i="29"/>
  <c r="H34" i="29"/>
  <c r="H36" i="29"/>
  <c r="H38" i="29"/>
  <c r="H40" i="29"/>
  <c r="H42" i="29"/>
  <c r="H8" i="29"/>
  <c r="H13" i="29"/>
  <c r="H14" i="29"/>
  <c r="H15" i="29"/>
  <c r="H23" i="29"/>
  <c r="H25" i="29"/>
  <c r="H27" i="29"/>
  <c r="H29" i="29"/>
  <c r="H31" i="29"/>
  <c r="H33" i="29"/>
  <c r="H35" i="29"/>
  <c r="H37" i="29"/>
  <c r="H39" i="29"/>
  <c r="H41" i="29"/>
  <c r="H22" i="29"/>
  <c r="X22" i="29" s="1"/>
  <c r="H43" i="29"/>
  <c r="H45" i="29"/>
  <c r="H47" i="29"/>
  <c r="H49" i="29"/>
  <c r="H51" i="29"/>
  <c r="H53" i="29"/>
  <c r="H55" i="29"/>
  <c r="H57" i="29"/>
  <c r="H59" i="29"/>
  <c r="H61" i="29"/>
  <c r="H63" i="29"/>
  <c r="H65" i="29"/>
  <c r="H67" i="29"/>
  <c r="H44" i="29"/>
  <c r="H46" i="29"/>
  <c r="H48" i="29"/>
  <c r="H50" i="29"/>
  <c r="H52" i="29"/>
  <c r="H54" i="29"/>
  <c r="H56" i="29"/>
  <c r="H58" i="29"/>
  <c r="H60" i="29"/>
  <c r="H62" i="29"/>
  <c r="H64" i="29"/>
  <c r="H66" i="29"/>
  <c r="H68" i="29"/>
  <c r="H70" i="29"/>
  <c r="H69" i="29"/>
  <c r="H71" i="29"/>
  <c r="H73" i="29"/>
  <c r="X73" i="29" s="1"/>
  <c r="J82" i="50" s="1"/>
  <c r="H75" i="29"/>
  <c r="X75" i="29" s="1"/>
  <c r="J84" i="50" s="1"/>
  <c r="H77" i="29"/>
  <c r="H79" i="29"/>
  <c r="X79" i="29" s="1"/>
  <c r="J88" i="50" s="1"/>
  <c r="H81" i="29"/>
  <c r="X81" i="29" s="1"/>
  <c r="J90" i="50" s="1"/>
  <c r="H83" i="29"/>
  <c r="X83" i="29" s="1"/>
  <c r="J92" i="50" s="1"/>
  <c r="H85" i="29"/>
  <c r="H87" i="29"/>
  <c r="X87" i="29" s="1"/>
  <c r="J96" i="50" s="1"/>
  <c r="H89" i="29"/>
  <c r="X89" i="29" s="1"/>
  <c r="J98" i="50" s="1"/>
  <c r="H91" i="29"/>
  <c r="X91" i="29" s="1"/>
  <c r="J100" i="50" s="1"/>
  <c r="H93" i="29"/>
  <c r="H95" i="29"/>
  <c r="X95" i="29" s="1"/>
  <c r="J104" i="50" s="1"/>
  <c r="H97" i="29"/>
  <c r="X97" i="29" s="1"/>
  <c r="J106" i="50" s="1"/>
  <c r="H99" i="29"/>
  <c r="X99" i="29" s="1"/>
  <c r="J108" i="50" s="1"/>
  <c r="H101" i="29"/>
  <c r="H103" i="29"/>
  <c r="X103" i="29" s="1"/>
  <c r="J112" i="50" s="1"/>
  <c r="H105" i="29"/>
  <c r="X105" i="29" s="1"/>
  <c r="J114" i="50" s="1"/>
  <c r="H107" i="29"/>
  <c r="X107" i="29" s="1"/>
  <c r="J116" i="50" s="1"/>
  <c r="H109" i="29"/>
  <c r="H111" i="29"/>
  <c r="X111" i="29" s="1"/>
  <c r="J120" i="50" s="1"/>
  <c r="H113" i="29"/>
  <c r="X113" i="29" s="1"/>
  <c r="J122" i="50" s="1"/>
  <c r="H72" i="29"/>
  <c r="H74" i="29"/>
  <c r="H76" i="29"/>
  <c r="X76" i="29" s="1"/>
  <c r="J85" i="50" s="1"/>
  <c r="H78" i="29"/>
  <c r="X78" i="29" s="1"/>
  <c r="J87" i="50" s="1"/>
  <c r="H80" i="29"/>
  <c r="H82" i="29"/>
  <c r="H84" i="29"/>
  <c r="X84" i="29" s="1"/>
  <c r="J93" i="50" s="1"/>
  <c r="H86" i="29"/>
  <c r="X86" i="29" s="1"/>
  <c r="J95" i="50" s="1"/>
  <c r="H88" i="29"/>
  <c r="X88" i="29" s="1"/>
  <c r="J97" i="50" s="1"/>
  <c r="H90" i="29"/>
  <c r="H92" i="29"/>
  <c r="H94" i="29"/>
  <c r="H96" i="29"/>
  <c r="X96" i="29" s="1"/>
  <c r="J105" i="50" s="1"/>
  <c r="H98" i="29"/>
  <c r="H100" i="29"/>
  <c r="X100" i="29" s="1"/>
  <c r="J109" i="50" s="1"/>
  <c r="H102" i="29"/>
  <c r="H106" i="29"/>
  <c r="X106" i="29" s="1"/>
  <c r="J115" i="50" s="1"/>
  <c r="H108" i="29"/>
  <c r="H114" i="29"/>
  <c r="X114" i="29" s="1"/>
  <c r="J123" i="50" s="1"/>
  <c r="H117" i="29"/>
  <c r="H119" i="29"/>
  <c r="H121" i="29"/>
  <c r="H123" i="29"/>
  <c r="H125" i="29"/>
  <c r="H127" i="29"/>
  <c r="H129" i="29"/>
  <c r="H131" i="29"/>
  <c r="H133" i="29"/>
  <c r="H135" i="29"/>
  <c r="H137" i="29"/>
  <c r="H139" i="29"/>
  <c r="H141" i="29"/>
  <c r="H143" i="29"/>
  <c r="H145" i="29"/>
  <c r="H147" i="29"/>
  <c r="H149" i="29"/>
  <c r="H151" i="29"/>
  <c r="H153" i="29"/>
  <c r="H155" i="29"/>
  <c r="H104" i="29"/>
  <c r="H110" i="29"/>
  <c r="X110" i="29" s="1"/>
  <c r="J119" i="50" s="1"/>
  <c r="H115" i="29"/>
  <c r="H112" i="29"/>
  <c r="X112" i="29" s="1"/>
  <c r="J121" i="50" s="1"/>
  <c r="H116" i="29"/>
  <c r="H118" i="29"/>
  <c r="H120" i="29"/>
  <c r="H122" i="29"/>
  <c r="H124" i="29"/>
  <c r="H126" i="29"/>
  <c r="H128" i="29"/>
  <c r="H130" i="29"/>
  <c r="H132" i="29"/>
  <c r="H134" i="29"/>
  <c r="H136" i="29"/>
  <c r="H138" i="29"/>
  <c r="H140" i="29"/>
  <c r="H142" i="29"/>
  <c r="H144" i="29"/>
  <c r="H146" i="29"/>
  <c r="H148" i="29"/>
  <c r="H150" i="29"/>
  <c r="H152" i="29"/>
  <c r="H154" i="29"/>
  <c r="H156" i="29"/>
  <c r="H158" i="29"/>
  <c r="H160" i="29"/>
  <c r="H162" i="29"/>
  <c r="H164" i="29"/>
  <c r="H166" i="29"/>
  <c r="H168" i="29"/>
  <c r="H170" i="29"/>
  <c r="H172" i="29"/>
  <c r="H174" i="29"/>
  <c r="H176" i="29"/>
  <c r="H178" i="29"/>
  <c r="H180" i="29"/>
  <c r="H182" i="29"/>
  <c r="H184" i="29"/>
  <c r="H186" i="29"/>
  <c r="H188" i="29"/>
  <c r="H157" i="29"/>
  <c r="H159" i="29"/>
  <c r="H161" i="29"/>
  <c r="H163" i="29"/>
  <c r="H165" i="29"/>
  <c r="H167" i="29"/>
  <c r="H169" i="29"/>
  <c r="H171" i="29"/>
  <c r="H173" i="29"/>
  <c r="H175" i="29"/>
  <c r="H177" i="29"/>
  <c r="H179" i="29"/>
  <c r="H181" i="29"/>
  <c r="H183" i="29"/>
  <c r="H185" i="29"/>
  <c r="H187" i="29"/>
  <c r="F16" i="50"/>
  <c r="G27" i="30"/>
  <c r="F37" i="50"/>
  <c r="G48" i="30"/>
  <c r="AB6" i="29"/>
  <c r="J15" i="50"/>
  <c r="K26" i="30"/>
  <c r="G57" i="30"/>
  <c r="F46" i="50"/>
  <c r="G61" i="30"/>
  <c r="F50" i="50"/>
  <c r="F51" i="50"/>
  <c r="G62" i="30"/>
  <c r="F59" i="50"/>
  <c r="G70" i="30"/>
  <c r="F67" i="50"/>
  <c r="G78" i="30"/>
  <c r="F40" i="50"/>
  <c r="G51" i="30"/>
  <c r="G77" i="30"/>
  <c r="F66" i="50"/>
  <c r="H48" i="50"/>
  <c r="I59" i="30"/>
  <c r="F77" i="50"/>
  <c r="R71" i="29"/>
  <c r="H80" i="50" s="1"/>
  <c r="K72" i="29"/>
  <c r="X71" i="29"/>
  <c r="J80" i="50" s="1"/>
  <c r="AF71" i="29"/>
  <c r="E80" i="50"/>
  <c r="AQ72" i="29"/>
  <c r="Q72" i="29"/>
  <c r="AH71" i="29"/>
  <c r="AI71" i="29" s="1"/>
  <c r="R75" i="29"/>
  <c r="H84" i="50" s="1"/>
  <c r="K76" i="29"/>
  <c r="AF75" i="29"/>
  <c r="E84" i="50"/>
  <c r="AQ76" i="29"/>
  <c r="Q76" i="29"/>
  <c r="AH75" i="29"/>
  <c r="AI75" i="29" s="1"/>
  <c r="R79" i="29"/>
  <c r="H88" i="50" s="1"/>
  <c r="K80" i="29"/>
  <c r="AF79" i="29"/>
  <c r="AQ80" i="29"/>
  <c r="E88" i="50"/>
  <c r="Q80" i="29"/>
  <c r="AH79" i="29"/>
  <c r="AI79" i="29" s="1"/>
  <c r="R83" i="29"/>
  <c r="H92" i="50" s="1"/>
  <c r="K84" i="29"/>
  <c r="AF83" i="29"/>
  <c r="E92" i="50"/>
  <c r="AQ84" i="29"/>
  <c r="Q84" i="29"/>
  <c r="AH83" i="29"/>
  <c r="AI83" i="29" s="1"/>
  <c r="R87" i="29"/>
  <c r="H96" i="50" s="1"/>
  <c r="K88" i="29"/>
  <c r="AF87" i="29"/>
  <c r="AQ88" i="29"/>
  <c r="AH87" i="29"/>
  <c r="AI87" i="29" s="1"/>
  <c r="E96" i="50"/>
  <c r="Q88" i="29"/>
  <c r="R91" i="29"/>
  <c r="H100" i="50" s="1"/>
  <c r="K92" i="29"/>
  <c r="AF91" i="29"/>
  <c r="AQ92" i="29"/>
  <c r="E100" i="50"/>
  <c r="AH91" i="29"/>
  <c r="AI91" i="29" s="1"/>
  <c r="Q92" i="29"/>
  <c r="R95" i="29"/>
  <c r="H104" i="50" s="1"/>
  <c r="K96" i="29"/>
  <c r="AF95" i="29"/>
  <c r="AQ96" i="29"/>
  <c r="E104" i="50"/>
  <c r="AH95" i="29"/>
  <c r="AI95" i="29" s="1"/>
  <c r="Q96" i="29"/>
  <c r="R99" i="29"/>
  <c r="H108" i="50" s="1"/>
  <c r="K100" i="29"/>
  <c r="AF99" i="29"/>
  <c r="E108" i="50"/>
  <c r="AH99" i="29"/>
  <c r="AI99" i="29" s="1"/>
  <c r="AQ100" i="29"/>
  <c r="Q100" i="29"/>
  <c r="X80" i="29"/>
  <c r="J89" i="50" s="1"/>
  <c r="R80" i="29"/>
  <c r="H89" i="50" s="1"/>
  <c r="K81" i="29"/>
  <c r="AF80" i="29"/>
  <c r="AQ81" i="29"/>
  <c r="E89" i="50"/>
  <c r="Q81" i="29"/>
  <c r="AH80" i="29"/>
  <c r="AI80" i="29" s="1"/>
  <c r="R84" i="29"/>
  <c r="H93" i="50" s="1"/>
  <c r="K85" i="29"/>
  <c r="AF84" i="29"/>
  <c r="E93" i="50"/>
  <c r="Q85" i="29"/>
  <c r="AH84" i="29"/>
  <c r="AI84" i="29" s="1"/>
  <c r="AQ85" i="29"/>
  <c r="R88" i="29"/>
  <c r="H97" i="50" s="1"/>
  <c r="K89" i="29"/>
  <c r="AF88" i="29"/>
  <c r="AQ89" i="29"/>
  <c r="E97" i="50"/>
  <c r="Q89" i="29"/>
  <c r="AH88" i="29"/>
  <c r="AI88" i="29" s="1"/>
  <c r="R100" i="29"/>
  <c r="H109" i="50" s="1"/>
  <c r="K101" i="29"/>
  <c r="AF100" i="29"/>
  <c r="E109" i="50"/>
  <c r="AQ101" i="29"/>
  <c r="AH100" i="29"/>
  <c r="AI100" i="29" s="1"/>
  <c r="Q101" i="29"/>
  <c r="K111" i="29"/>
  <c r="R110" i="29"/>
  <c r="H119" i="50" s="1"/>
  <c r="AF110" i="29"/>
  <c r="AQ111" i="29"/>
  <c r="E119" i="50"/>
  <c r="Q111" i="29"/>
  <c r="AH110" i="29"/>
  <c r="AI110" i="29" s="1"/>
  <c r="G86" i="30"/>
  <c r="F75" i="50"/>
  <c r="R107" i="29"/>
  <c r="H116" i="50" s="1"/>
  <c r="K108" i="29"/>
  <c r="AF107" i="29"/>
  <c r="E116" i="50"/>
  <c r="AQ108" i="29"/>
  <c r="Q108" i="29"/>
  <c r="AH107" i="29"/>
  <c r="AI107" i="29" s="1"/>
  <c r="R109" i="29"/>
  <c r="H118" i="50" s="1"/>
  <c r="K110" i="29"/>
  <c r="X109" i="29"/>
  <c r="J118" i="50" s="1"/>
  <c r="AF109" i="29"/>
  <c r="AQ110" i="29"/>
  <c r="E118" i="50"/>
  <c r="Q110" i="29"/>
  <c r="AH109" i="29"/>
  <c r="AI109" i="29" s="1"/>
  <c r="F125" i="50"/>
  <c r="F133" i="50"/>
  <c r="F141" i="50"/>
  <c r="F149" i="50"/>
  <c r="R105" i="29"/>
  <c r="H114" i="50" s="1"/>
  <c r="K106" i="29"/>
  <c r="AF105" i="29"/>
  <c r="E114" i="50"/>
  <c r="AH105" i="29"/>
  <c r="AI105" i="29" s="1"/>
  <c r="AQ106" i="29"/>
  <c r="Q106" i="29"/>
  <c r="F168" i="50"/>
  <c r="F176" i="50"/>
  <c r="F184" i="50"/>
  <c r="F192" i="50"/>
  <c r="AA7" i="48"/>
  <c r="AB7" i="48" s="1"/>
  <c r="I6" i="48"/>
  <c r="C7" i="48"/>
  <c r="E7" i="48"/>
  <c r="L6" i="48"/>
  <c r="Q6" i="48"/>
  <c r="J6" i="48"/>
  <c r="D8" i="36"/>
  <c r="D9" i="36" s="1"/>
  <c r="F35" i="31"/>
  <c r="D6" i="36" s="1"/>
  <c r="H8" i="36"/>
  <c r="H9" i="36" s="1"/>
  <c r="J35" i="31"/>
  <c r="H6" i="36" s="1"/>
  <c r="N8" i="36"/>
  <c r="N9" i="36" s="1"/>
  <c r="P35" i="31"/>
  <c r="N6" i="36" s="1"/>
  <c r="M178" i="46"/>
  <c r="F39" i="50"/>
  <c r="G50" i="30"/>
  <c r="F36" i="50"/>
  <c r="G47" i="30"/>
  <c r="G64" i="30"/>
  <c r="F53" i="50"/>
  <c r="G80" i="30"/>
  <c r="F69" i="50"/>
  <c r="I50" i="30"/>
  <c r="H39" i="50"/>
  <c r="G71" i="30"/>
  <c r="F60" i="50"/>
  <c r="F76" i="50"/>
  <c r="H44" i="50"/>
  <c r="I55" i="30"/>
  <c r="R96" i="29"/>
  <c r="H105" i="50" s="1"/>
  <c r="K97" i="29"/>
  <c r="AF96" i="29"/>
  <c r="AQ97" i="29"/>
  <c r="E105" i="50"/>
  <c r="Q97" i="29"/>
  <c r="AH96" i="29"/>
  <c r="AI96" i="29" s="1"/>
  <c r="R112" i="29"/>
  <c r="H121" i="50" s="1"/>
  <c r="K113" i="29"/>
  <c r="AF112" i="29"/>
  <c r="E121" i="50"/>
  <c r="AQ113" i="29"/>
  <c r="Q113" i="29"/>
  <c r="AH112" i="29"/>
  <c r="AI112" i="29" s="1"/>
  <c r="I85" i="30"/>
  <c r="H74" i="50"/>
  <c r="R103" i="29"/>
  <c r="H112" i="50" s="1"/>
  <c r="K104" i="29"/>
  <c r="AF103" i="29"/>
  <c r="E112" i="50"/>
  <c r="AQ104" i="29"/>
  <c r="Q104" i="29"/>
  <c r="AH103" i="29"/>
  <c r="AI103" i="29" s="1"/>
  <c r="F127" i="50"/>
  <c r="F135" i="50"/>
  <c r="F143" i="50"/>
  <c r="F151" i="50"/>
  <c r="R113" i="29"/>
  <c r="H122" i="50" s="1"/>
  <c r="K114" i="29"/>
  <c r="AF113" i="29"/>
  <c r="E122" i="50"/>
  <c r="AQ114" i="29"/>
  <c r="Q114" i="29"/>
  <c r="AH113" i="29"/>
  <c r="AI113" i="29" s="1"/>
  <c r="F159" i="50"/>
  <c r="F170" i="50"/>
  <c r="F178" i="50"/>
  <c r="F186" i="50"/>
  <c r="F194" i="50"/>
  <c r="F165" i="50"/>
  <c r="G127" i="48"/>
  <c r="H6" i="48"/>
  <c r="G177" i="48"/>
  <c r="L8" i="36"/>
  <c r="L9" i="36" s="1"/>
  <c r="N35" i="31"/>
  <c r="L6" i="36" s="1"/>
  <c r="P8" i="36"/>
  <c r="P9" i="36" s="1"/>
  <c r="R35" i="31"/>
  <c r="P6" i="36" s="1"/>
  <c r="E42" i="31"/>
  <c r="E32" i="31"/>
  <c r="I35" i="31"/>
  <c r="G6" i="36" s="1"/>
  <c r="M42" i="31"/>
  <c r="Q35" i="31"/>
  <c r="O6" i="36" s="1"/>
  <c r="G40" i="30"/>
  <c r="F29" i="50"/>
  <c r="N4" i="45"/>
  <c r="L20" i="50"/>
  <c r="M31" i="30"/>
  <c r="AX11" i="29"/>
  <c r="I56" i="30"/>
  <c r="H45" i="50"/>
  <c r="H49" i="50"/>
  <c r="G72" i="30"/>
  <c r="F61" i="50"/>
  <c r="G59" i="30"/>
  <c r="F68" i="50"/>
  <c r="G79" i="30"/>
  <c r="G53" i="30"/>
  <c r="F42" i="50"/>
  <c r="I39" i="30"/>
  <c r="H28" i="50"/>
  <c r="G45" i="30"/>
  <c r="F34" i="50"/>
  <c r="T4" i="45"/>
  <c r="L23" i="50"/>
  <c r="M34" i="30"/>
  <c r="AX14" i="29"/>
  <c r="L4" i="45"/>
  <c r="AX10" i="29"/>
  <c r="L19" i="50"/>
  <c r="M30" i="30"/>
  <c r="F41" i="50"/>
  <c r="G52" i="30"/>
  <c r="I46" i="30"/>
  <c r="H35" i="50"/>
  <c r="F44" i="50"/>
  <c r="G55" i="30"/>
  <c r="F55" i="50"/>
  <c r="G66" i="30"/>
  <c r="F63" i="50"/>
  <c r="G74" i="30"/>
  <c r="F71" i="50"/>
  <c r="G82" i="30"/>
  <c r="G49" i="30"/>
  <c r="F38" i="50"/>
  <c r="G58" i="30"/>
  <c r="F47" i="50"/>
  <c r="I58" i="30"/>
  <c r="H47" i="50"/>
  <c r="G73" i="30"/>
  <c r="F62" i="50"/>
  <c r="G81" i="30"/>
  <c r="F70" i="50"/>
  <c r="I52" i="30"/>
  <c r="H41" i="50"/>
  <c r="F78" i="50"/>
  <c r="R73" i="29"/>
  <c r="H82" i="50" s="1"/>
  <c r="K74" i="29"/>
  <c r="AF73" i="29"/>
  <c r="E82" i="50"/>
  <c r="AQ74" i="29"/>
  <c r="Q74" i="29"/>
  <c r="AH73" i="29"/>
  <c r="AI73" i="29" s="1"/>
  <c r="R77" i="29"/>
  <c r="H86" i="50" s="1"/>
  <c r="K78" i="29"/>
  <c r="X77" i="29"/>
  <c r="J86" i="50" s="1"/>
  <c r="AF77" i="29"/>
  <c r="E86" i="50"/>
  <c r="AQ78" i="29"/>
  <c r="Q78" i="29"/>
  <c r="AH77" i="29"/>
  <c r="AI77" i="29" s="1"/>
  <c r="R81" i="29"/>
  <c r="H90" i="50" s="1"/>
  <c r="K82" i="29"/>
  <c r="AF81" i="29"/>
  <c r="E90" i="50"/>
  <c r="AQ82" i="29"/>
  <c r="Q82" i="29"/>
  <c r="AH81" i="29"/>
  <c r="AI81" i="29" s="1"/>
  <c r="R85" i="29"/>
  <c r="H94" i="50" s="1"/>
  <c r="K86" i="29"/>
  <c r="X85" i="29"/>
  <c r="J94" i="50" s="1"/>
  <c r="AF85" i="29"/>
  <c r="E94" i="50"/>
  <c r="AQ86" i="29"/>
  <c r="Q86" i="29"/>
  <c r="AH85" i="29"/>
  <c r="AI85" i="29" s="1"/>
  <c r="R89" i="29"/>
  <c r="H98" i="50" s="1"/>
  <c r="K90" i="29"/>
  <c r="AF89" i="29"/>
  <c r="AQ90" i="29"/>
  <c r="E98" i="50"/>
  <c r="Q90" i="29"/>
  <c r="AH89" i="29"/>
  <c r="AI89" i="29" s="1"/>
  <c r="R93" i="29"/>
  <c r="H102" i="50" s="1"/>
  <c r="K94" i="29"/>
  <c r="X93" i="29"/>
  <c r="J102" i="50" s="1"/>
  <c r="AF93" i="29"/>
  <c r="E102" i="50"/>
  <c r="AQ94" i="29"/>
  <c r="Q94" i="29"/>
  <c r="AH93" i="29"/>
  <c r="AI93" i="29" s="1"/>
  <c r="R97" i="29"/>
  <c r="H106" i="50" s="1"/>
  <c r="K98" i="29"/>
  <c r="AF97" i="29"/>
  <c r="AQ98" i="29"/>
  <c r="AH97" i="29"/>
  <c r="AI97" i="29" s="1"/>
  <c r="E106" i="50"/>
  <c r="Q98" i="29"/>
  <c r="R101" i="29"/>
  <c r="H110" i="50" s="1"/>
  <c r="K102" i="29"/>
  <c r="X101" i="29"/>
  <c r="J110" i="50" s="1"/>
  <c r="AF101" i="29"/>
  <c r="AQ102" i="29"/>
  <c r="Q102" i="29"/>
  <c r="E110" i="50"/>
  <c r="AH101" i="29"/>
  <c r="AI101" i="29" s="1"/>
  <c r="R78" i="29"/>
  <c r="H87" i="50" s="1"/>
  <c r="K79" i="29"/>
  <c r="AF78" i="29"/>
  <c r="AQ79" i="29"/>
  <c r="E87" i="50"/>
  <c r="Q79" i="29"/>
  <c r="AH78" i="29"/>
  <c r="AI78" i="29" s="1"/>
  <c r="X82" i="29"/>
  <c r="J91" i="50" s="1"/>
  <c r="R82" i="29"/>
  <c r="H91" i="50" s="1"/>
  <c r="K83" i="29"/>
  <c r="AF82" i="29"/>
  <c r="AQ83" i="29"/>
  <c r="E91" i="50"/>
  <c r="AH82" i="29"/>
  <c r="AI82" i="29" s="1"/>
  <c r="Q83" i="29"/>
  <c r="R86" i="29"/>
  <c r="H95" i="50" s="1"/>
  <c r="K87" i="29"/>
  <c r="AF86" i="29"/>
  <c r="E95" i="50"/>
  <c r="AQ87" i="29"/>
  <c r="AH86" i="29"/>
  <c r="AI86" i="29" s="1"/>
  <c r="Q87" i="29"/>
  <c r="R106" i="29"/>
  <c r="H115" i="50" s="1"/>
  <c r="K107" i="29"/>
  <c r="AF106" i="29"/>
  <c r="E115" i="50"/>
  <c r="AQ107" i="29"/>
  <c r="AH106" i="29"/>
  <c r="AI106" i="29" s="1"/>
  <c r="Q107" i="29"/>
  <c r="R114" i="29"/>
  <c r="H123" i="50" s="1"/>
  <c r="K115" i="29"/>
  <c r="AF114" i="29"/>
  <c r="AQ115" i="29"/>
  <c r="E123" i="50"/>
  <c r="Q115" i="29"/>
  <c r="AH114" i="29"/>
  <c r="AI114" i="29" s="1"/>
  <c r="F129" i="50"/>
  <c r="F137" i="50"/>
  <c r="F145" i="50"/>
  <c r="F153" i="50"/>
  <c r="F172" i="50"/>
  <c r="F180" i="50"/>
  <c r="F188" i="50"/>
  <c r="F163" i="50"/>
  <c r="I32" i="31"/>
  <c r="S32" i="31"/>
  <c r="G42" i="31"/>
  <c r="G32" i="31"/>
  <c r="O42" i="31"/>
  <c r="O32" i="31"/>
  <c r="AT7" i="29"/>
  <c r="A31" i="50"/>
  <c r="O30" i="50"/>
  <c r="H36" i="50" l="1"/>
  <c r="I47" i="30"/>
  <c r="I73" i="30"/>
  <c r="H62" i="50"/>
  <c r="G76" i="30"/>
  <c r="F45" i="50"/>
  <c r="G85" i="30"/>
  <c r="BZ6" i="29"/>
  <c r="BZ3" i="29" s="1"/>
  <c r="CD6" i="29"/>
  <c r="I74" i="30"/>
  <c r="H63" i="50"/>
  <c r="I71" i="30"/>
  <c r="H60" i="50"/>
  <c r="H70" i="50"/>
  <c r="I81" i="30"/>
  <c r="F73" i="50"/>
  <c r="CM9" i="29"/>
  <c r="I75" i="30"/>
  <c r="H64" i="50"/>
  <c r="H54" i="50"/>
  <c r="I65" i="30"/>
  <c r="I45" i="30"/>
  <c r="H34" i="50"/>
  <c r="I70" i="30"/>
  <c r="H59" i="50"/>
  <c r="H38" i="50"/>
  <c r="I49" i="30"/>
  <c r="H69" i="50"/>
  <c r="I80" i="30"/>
  <c r="BC6" i="29"/>
  <c r="I15" i="50"/>
  <c r="T15" i="50" s="1"/>
  <c r="U15" i="50" s="1"/>
  <c r="J26" i="30"/>
  <c r="S26" i="30" s="1"/>
  <c r="W6" i="29"/>
  <c r="AC6" i="29" s="1"/>
  <c r="H46" i="50"/>
  <c r="I51" i="30"/>
  <c r="H40" i="50"/>
  <c r="H71" i="50"/>
  <c r="I82" i="30"/>
  <c r="I66" i="30"/>
  <c r="H55" i="50"/>
  <c r="I78" i="30"/>
  <c r="H67" i="50"/>
  <c r="I79" i="30"/>
  <c r="H68" i="50"/>
  <c r="I67" i="30"/>
  <c r="H56" i="50"/>
  <c r="G63" i="30"/>
  <c r="F52" i="50"/>
  <c r="H50" i="50"/>
  <c r="I61" i="30"/>
  <c r="I63" i="30"/>
  <c r="H52" i="50"/>
  <c r="G44" i="30"/>
  <c r="F33" i="50"/>
  <c r="I62" i="30"/>
  <c r="H51" i="50"/>
  <c r="H32" i="50"/>
  <c r="I43" i="30"/>
  <c r="CK11" i="29"/>
  <c r="CL10" i="29"/>
  <c r="CM10" i="29" s="1"/>
  <c r="F124" i="50"/>
  <c r="F116" i="50"/>
  <c r="F96" i="50"/>
  <c r="F92" i="50"/>
  <c r="AT8" i="29"/>
  <c r="CJ7" i="29"/>
  <c r="M8" i="36"/>
  <c r="M9" i="36" s="1"/>
  <c r="O35" i="31"/>
  <c r="M6" i="36" s="1"/>
  <c r="F111" i="50"/>
  <c r="F107" i="50"/>
  <c r="F103" i="50"/>
  <c r="F99" i="50"/>
  <c r="F95" i="50"/>
  <c r="F91" i="50"/>
  <c r="F87" i="50"/>
  <c r="F83" i="50"/>
  <c r="F122" i="50"/>
  <c r="F106" i="50"/>
  <c r="K6" i="48"/>
  <c r="F115" i="50"/>
  <c r="F119" i="50"/>
  <c r="F117" i="50"/>
  <c r="M15" i="50"/>
  <c r="AH6" i="29"/>
  <c r="AG6" i="29"/>
  <c r="N26" i="30"/>
  <c r="Y7" i="29"/>
  <c r="N183" i="29"/>
  <c r="X183" i="29"/>
  <c r="J192" i="50" s="1"/>
  <c r="AY183" i="29"/>
  <c r="D192" i="50"/>
  <c r="N175" i="29"/>
  <c r="X175" i="29"/>
  <c r="J184" i="50" s="1"/>
  <c r="D184" i="50"/>
  <c r="AY175" i="29"/>
  <c r="N167" i="29"/>
  <c r="X167" i="29"/>
  <c r="J176" i="50" s="1"/>
  <c r="D176" i="50"/>
  <c r="AY167" i="29"/>
  <c r="N159" i="29"/>
  <c r="X159" i="29"/>
  <c r="J168" i="50" s="1"/>
  <c r="AY159" i="29"/>
  <c r="D168" i="50"/>
  <c r="N184" i="29"/>
  <c r="AY184" i="29"/>
  <c r="D193" i="50"/>
  <c r="X184" i="29"/>
  <c r="J193" i="50" s="1"/>
  <c r="N176" i="29"/>
  <c r="D185" i="50"/>
  <c r="AY176" i="29"/>
  <c r="X176" i="29"/>
  <c r="J185" i="50" s="1"/>
  <c r="N168" i="29"/>
  <c r="D177" i="50"/>
  <c r="AY168" i="29"/>
  <c r="X168" i="29"/>
  <c r="J177" i="50" s="1"/>
  <c r="N160" i="29"/>
  <c r="D169" i="50"/>
  <c r="AY160" i="29"/>
  <c r="X160" i="29"/>
  <c r="J169" i="50" s="1"/>
  <c r="N152" i="29"/>
  <c r="X152" i="29"/>
  <c r="J161" i="50" s="1"/>
  <c r="AY152" i="29"/>
  <c r="D161" i="50"/>
  <c r="N144" i="29"/>
  <c r="X144" i="29"/>
  <c r="J153" i="50" s="1"/>
  <c r="AY144" i="29"/>
  <c r="D153" i="50"/>
  <c r="N136" i="29"/>
  <c r="X136" i="29"/>
  <c r="J145" i="50" s="1"/>
  <c r="AY136" i="29"/>
  <c r="D145" i="50"/>
  <c r="N128" i="29"/>
  <c r="X128" i="29"/>
  <c r="J137" i="50" s="1"/>
  <c r="D137" i="50"/>
  <c r="AY128" i="29"/>
  <c r="N120" i="29"/>
  <c r="X120" i="29"/>
  <c r="J129" i="50" s="1"/>
  <c r="AY120" i="29"/>
  <c r="D129" i="50"/>
  <c r="N115" i="29"/>
  <c r="D124" i="50"/>
  <c r="AY115" i="29"/>
  <c r="X115" i="29"/>
  <c r="J124" i="50" s="1"/>
  <c r="N153" i="29"/>
  <c r="D162" i="50"/>
  <c r="AY153" i="29"/>
  <c r="X153" i="29"/>
  <c r="J162" i="50" s="1"/>
  <c r="N145" i="29"/>
  <c r="D154" i="50"/>
  <c r="AY145" i="29"/>
  <c r="X145" i="29"/>
  <c r="J154" i="50" s="1"/>
  <c r="N137" i="29"/>
  <c r="AY137" i="29"/>
  <c r="D146" i="50"/>
  <c r="X137" i="29"/>
  <c r="J146" i="50" s="1"/>
  <c r="N129" i="29"/>
  <c r="AY129" i="29"/>
  <c r="D138" i="50"/>
  <c r="X129" i="29"/>
  <c r="J138" i="50" s="1"/>
  <c r="N121" i="29"/>
  <c r="AY121" i="29"/>
  <c r="D130" i="50"/>
  <c r="X121" i="29"/>
  <c r="J130" i="50" s="1"/>
  <c r="N108" i="29"/>
  <c r="U108" i="29" s="1"/>
  <c r="I117" i="50" s="1"/>
  <c r="D117" i="50"/>
  <c r="AY108" i="29"/>
  <c r="N98" i="29"/>
  <c r="U98" i="29" s="1"/>
  <c r="I107" i="50" s="1"/>
  <c r="X98" i="29"/>
  <c r="J107" i="50" s="1"/>
  <c r="D107" i="50"/>
  <c r="AY98" i="29"/>
  <c r="N90" i="29"/>
  <c r="U90" i="29" s="1"/>
  <c r="I99" i="50" s="1"/>
  <c r="X90" i="29"/>
  <c r="J99" i="50" s="1"/>
  <c r="D99" i="50"/>
  <c r="AY90" i="29"/>
  <c r="N82" i="29"/>
  <c r="U82" i="29" s="1"/>
  <c r="I91" i="50" s="1"/>
  <c r="D91" i="50"/>
  <c r="AY82" i="29"/>
  <c r="N74" i="29"/>
  <c r="D83" i="50"/>
  <c r="AY74" i="29"/>
  <c r="X74" i="29"/>
  <c r="J83" i="50" s="1"/>
  <c r="N109" i="29"/>
  <c r="U109" i="29" s="1"/>
  <c r="I118" i="50" s="1"/>
  <c r="D118" i="50"/>
  <c r="AY109" i="29"/>
  <c r="N101" i="29"/>
  <c r="U101" i="29" s="1"/>
  <c r="I110" i="50" s="1"/>
  <c r="D110" i="50"/>
  <c r="AY101" i="29"/>
  <c r="N93" i="29"/>
  <c r="D102" i="50"/>
  <c r="AY93" i="29"/>
  <c r="N85" i="29"/>
  <c r="U85" i="29" s="1"/>
  <c r="I94" i="50" s="1"/>
  <c r="D94" i="50"/>
  <c r="AY85" i="29"/>
  <c r="N77" i="29"/>
  <c r="U77" i="29" s="1"/>
  <c r="I86" i="50" s="1"/>
  <c r="D86" i="50"/>
  <c r="AY77" i="29"/>
  <c r="N69" i="29"/>
  <c r="X69" i="29"/>
  <c r="J78" i="50" s="1"/>
  <c r="D78" i="50"/>
  <c r="AY69" i="29"/>
  <c r="N64" i="29"/>
  <c r="X64" i="29"/>
  <c r="E84" i="30"/>
  <c r="D73" i="50"/>
  <c r="AY64" i="29"/>
  <c r="N56" i="29"/>
  <c r="X56" i="29"/>
  <c r="D65" i="50"/>
  <c r="E76" i="30"/>
  <c r="AY56" i="29"/>
  <c r="N48" i="29"/>
  <c r="X48" i="29"/>
  <c r="D57" i="50"/>
  <c r="E68" i="30"/>
  <c r="AY48" i="29"/>
  <c r="N65" i="29"/>
  <c r="D74" i="50"/>
  <c r="E85" i="30"/>
  <c r="AY65" i="29"/>
  <c r="X65" i="29"/>
  <c r="N57" i="29"/>
  <c r="E77" i="30"/>
  <c r="D66" i="50"/>
  <c r="AY57" i="29"/>
  <c r="X57" i="29"/>
  <c r="N49" i="29"/>
  <c r="D58" i="50"/>
  <c r="E69" i="30"/>
  <c r="AY49" i="29"/>
  <c r="X49" i="29"/>
  <c r="N22" i="29"/>
  <c r="U22" i="29" s="1"/>
  <c r="D31" i="50"/>
  <c r="E42" i="30"/>
  <c r="AY22" i="29"/>
  <c r="N35" i="29"/>
  <c r="E55" i="30"/>
  <c r="D44" i="50"/>
  <c r="AY35" i="29"/>
  <c r="X35" i="29"/>
  <c r="X27" i="29"/>
  <c r="N27" i="29"/>
  <c r="E47" i="30"/>
  <c r="D36" i="50"/>
  <c r="AY27" i="29"/>
  <c r="E34" i="30"/>
  <c r="D23" i="50"/>
  <c r="N40" i="29"/>
  <c r="X40" i="29"/>
  <c r="E60" i="30"/>
  <c r="D49" i="50"/>
  <c r="AY40" i="29"/>
  <c r="N32" i="29"/>
  <c r="D41" i="50"/>
  <c r="E52" i="30"/>
  <c r="AY32" i="29"/>
  <c r="X32" i="29"/>
  <c r="N24" i="29"/>
  <c r="E44" i="30"/>
  <c r="D33" i="50"/>
  <c r="AY24" i="29"/>
  <c r="X24" i="29"/>
  <c r="D21" i="50"/>
  <c r="E32" i="30"/>
  <c r="G42" i="30"/>
  <c r="F31" i="50"/>
  <c r="AS9" i="29"/>
  <c r="E9" i="29" s="1"/>
  <c r="F8" i="29"/>
  <c r="C28" i="30"/>
  <c r="BF8" i="29"/>
  <c r="BO8" i="29" s="1"/>
  <c r="B17" i="50"/>
  <c r="I42" i="30"/>
  <c r="H31" i="50"/>
  <c r="U15" i="46"/>
  <c r="G15" i="46"/>
  <c r="D80" i="45"/>
  <c r="X108" i="29"/>
  <c r="J117" i="50" s="1"/>
  <c r="O31" i="50"/>
  <c r="A32" i="50"/>
  <c r="F123" i="50"/>
  <c r="O6" i="48"/>
  <c r="L127" i="48"/>
  <c r="L177" i="48" s="1"/>
  <c r="N181" i="29"/>
  <c r="X181" i="29"/>
  <c r="J190" i="50" s="1"/>
  <c r="D190" i="50"/>
  <c r="AY181" i="29"/>
  <c r="N173" i="29"/>
  <c r="X173" i="29"/>
  <c r="J182" i="50" s="1"/>
  <c r="D182" i="50"/>
  <c r="AY173" i="29"/>
  <c r="N165" i="29"/>
  <c r="X165" i="29"/>
  <c r="J174" i="50" s="1"/>
  <c r="D174" i="50"/>
  <c r="AY165" i="29"/>
  <c r="N157" i="29"/>
  <c r="X157" i="29"/>
  <c r="J166" i="50" s="1"/>
  <c r="AY157" i="29"/>
  <c r="D166" i="50"/>
  <c r="N182" i="29"/>
  <c r="AY182" i="29"/>
  <c r="D191" i="50"/>
  <c r="X182" i="29"/>
  <c r="J191" i="50" s="1"/>
  <c r="N174" i="29"/>
  <c r="AY174" i="29"/>
  <c r="D183" i="50"/>
  <c r="X174" i="29"/>
  <c r="J183" i="50" s="1"/>
  <c r="N166" i="29"/>
  <c r="AY166" i="29"/>
  <c r="D175" i="50"/>
  <c r="X166" i="29"/>
  <c r="J175" i="50" s="1"/>
  <c r="N158" i="29"/>
  <c r="D167" i="50"/>
  <c r="AY158" i="29"/>
  <c r="X158" i="29"/>
  <c r="J167" i="50" s="1"/>
  <c r="N150" i="29"/>
  <c r="X150" i="29"/>
  <c r="J159" i="50" s="1"/>
  <c r="D159" i="50"/>
  <c r="AY150" i="29"/>
  <c r="N142" i="29"/>
  <c r="X142" i="29"/>
  <c r="J151" i="50" s="1"/>
  <c r="AY142" i="29"/>
  <c r="D151" i="50"/>
  <c r="N134" i="29"/>
  <c r="X134" i="29"/>
  <c r="J143" i="50" s="1"/>
  <c r="D143" i="50"/>
  <c r="AY134" i="29"/>
  <c r="N126" i="29"/>
  <c r="X126" i="29"/>
  <c r="J135" i="50" s="1"/>
  <c r="AY126" i="29"/>
  <c r="D135" i="50"/>
  <c r="N118" i="29"/>
  <c r="X118" i="29"/>
  <c r="J127" i="50" s="1"/>
  <c r="D127" i="50"/>
  <c r="AY118" i="29"/>
  <c r="N110" i="29"/>
  <c r="U110" i="29" s="1"/>
  <c r="I119" i="50" s="1"/>
  <c r="D119" i="50"/>
  <c r="AY110" i="29"/>
  <c r="N151" i="29"/>
  <c r="D160" i="50"/>
  <c r="AY151" i="29"/>
  <c r="X151" i="29"/>
  <c r="J160" i="50" s="1"/>
  <c r="N143" i="29"/>
  <c r="AY143" i="29"/>
  <c r="D152" i="50"/>
  <c r="X143" i="29"/>
  <c r="J152" i="50" s="1"/>
  <c r="N135" i="29"/>
  <c r="D144" i="50"/>
  <c r="AY135" i="29"/>
  <c r="X135" i="29"/>
  <c r="J144" i="50" s="1"/>
  <c r="N127" i="29"/>
  <c r="D136" i="50"/>
  <c r="AY127" i="29"/>
  <c r="X127" i="29"/>
  <c r="J136" i="50" s="1"/>
  <c r="N119" i="29"/>
  <c r="D128" i="50"/>
  <c r="AY119" i="29"/>
  <c r="X119" i="29"/>
  <c r="J128" i="50" s="1"/>
  <c r="N106" i="29"/>
  <c r="D115" i="50"/>
  <c r="AY106" i="29"/>
  <c r="N96" i="29"/>
  <c r="U96" i="29" s="1"/>
  <c r="I105" i="50" s="1"/>
  <c r="D105" i="50"/>
  <c r="AY96" i="29"/>
  <c r="N88" i="29"/>
  <c r="U88" i="29" s="1"/>
  <c r="I97" i="50" s="1"/>
  <c r="D97" i="50"/>
  <c r="AY88" i="29"/>
  <c r="N80" i="29"/>
  <c r="U80" i="29" s="1"/>
  <c r="I89" i="50" s="1"/>
  <c r="D89" i="50"/>
  <c r="AY80" i="29"/>
  <c r="N72" i="29"/>
  <c r="U72" i="29" s="1"/>
  <c r="I81" i="50" s="1"/>
  <c r="D81" i="50"/>
  <c r="AY72" i="29"/>
  <c r="X72" i="29"/>
  <c r="J81" i="50" s="1"/>
  <c r="N107" i="29"/>
  <c r="D116" i="50"/>
  <c r="AY107" i="29"/>
  <c r="N99" i="29"/>
  <c r="D108" i="50"/>
  <c r="AY99" i="29"/>
  <c r="N91" i="29"/>
  <c r="D100" i="50"/>
  <c r="AY91" i="29"/>
  <c r="N83" i="29"/>
  <c r="U83" i="29" s="1"/>
  <c r="I92" i="50" s="1"/>
  <c r="D92" i="50"/>
  <c r="AY83" i="29"/>
  <c r="N75" i="29"/>
  <c r="D84" i="50"/>
  <c r="AY75" i="29"/>
  <c r="N70" i="29"/>
  <c r="D79" i="50"/>
  <c r="AY70" i="29"/>
  <c r="X70" i="29"/>
  <c r="J79" i="50" s="1"/>
  <c r="X62" i="29"/>
  <c r="N62" i="29"/>
  <c r="D71" i="50"/>
  <c r="E82" i="30"/>
  <c r="AY62" i="29"/>
  <c r="N54" i="29"/>
  <c r="X54" i="29"/>
  <c r="D63" i="50"/>
  <c r="E74" i="30"/>
  <c r="AY54" i="29"/>
  <c r="N46" i="29"/>
  <c r="X46" i="29"/>
  <c r="E66" i="30"/>
  <c r="D55" i="50"/>
  <c r="AY46" i="29"/>
  <c r="N63" i="29"/>
  <c r="E83" i="30"/>
  <c r="D72" i="50"/>
  <c r="AY63" i="29"/>
  <c r="X63" i="29"/>
  <c r="N55" i="29"/>
  <c r="E75" i="30"/>
  <c r="D64" i="50"/>
  <c r="AY55" i="29"/>
  <c r="X55" i="29"/>
  <c r="N47" i="29"/>
  <c r="E67" i="30"/>
  <c r="D56" i="50"/>
  <c r="AY47" i="29"/>
  <c r="X47" i="29"/>
  <c r="N41" i="29"/>
  <c r="E61" i="30"/>
  <c r="D50" i="50"/>
  <c r="AY41" i="29"/>
  <c r="X41" i="29"/>
  <c r="X33" i="29"/>
  <c r="N33" i="29"/>
  <c r="E53" i="30"/>
  <c r="D42" i="50"/>
  <c r="AY33" i="29"/>
  <c r="N25" i="29"/>
  <c r="X25" i="29"/>
  <c r="D34" i="50"/>
  <c r="E45" i="30"/>
  <c r="AY25" i="29"/>
  <c r="D22" i="50"/>
  <c r="E33" i="30"/>
  <c r="N38" i="29"/>
  <c r="X38" i="29"/>
  <c r="E58" i="30"/>
  <c r="D47" i="50"/>
  <c r="AY38" i="29"/>
  <c r="N30" i="29"/>
  <c r="E50" i="30"/>
  <c r="D39" i="50"/>
  <c r="AY30" i="29"/>
  <c r="X30" i="29"/>
  <c r="N21" i="29"/>
  <c r="E41" i="30"/>
  <c r="D30" i="50"/>
  <c r="AY21" i="29"/>
  <c r="D20" i="50"/>
  <c r="E31" i="30"/>
  <c r="I41" i="30"/>
  <c r="H30" i="50"/>
  <c r="J31" i="50"/>
  <c r="K42" i="30"/>
  <c r="E8" i="36"/>
  <c r="E9" i="36" s="1"/>
  <c r="G35" i="31"/>
  <c r="E6" i="36" s="1"/>
  <c r="C8" i="36"/>
  <c r="C9" i="36" s="1"/>
  <c r="E35" i="31"/>
  <c r="C6" i="36" s="1"/>
  <c r="F113" i="50"/>
  <c r="H7" i="48"/>
  <c r="I7" i="48"/>
  <c r="J7" i="48"/>
  <c r="F26" i="49" s="1"/>
  <c r="F110" i="50"/>
  <c r="F98" i="50"/>
  <c r="F94" i="50"/>
  <c r="F90" i="50"/>
  <c r="N187" i="29"/>
  <c r="X187" i="29"/>
  <c r="J196" i="50" s="1"/>
  <c r="AY187" i="29"/>
  <c r="D196" i="50"/>
  <c r="N179" i="29"/>
  <c r="X179" i="29"/>
  <c r="J188" i="50" s="1"/>
  <c r="AY179" i="29"/>
  <c r="D188" i="50"/>
  <c r="N171" i="29"/>
  <c r="X171" i="29"/>
  <c r="J180" i="50" s="1"/>
  <c r="AY171" i="29"/>
  <c r="D180" i="50"/>
  <c r="N163" i="29"/>
  <c r="X163" i="29"/>
  <c r="J172" i="50" s="1"/>
  <c r="D172" i="50"/>
  <c r="AY163" i="29"/>
  <c r="N188" i="29"/>
  <c r="AY188" i="29"/>
  <c r="D197" i="50"/>
  <c r="X188" i="29"/>
  <c r="J197" i="50" s="1"/>
  <c r="N180" i="29"/>
  <c r="D189" i="50"/>
  <c r="AY180" i="29"/>
  <c r="X180" i="29"/>
  <c r="J189" i="50" s="1"/>
  <c r="N172" i="29"/>
  <c r="AY172" i="29"/>
  <c r="D181" i="50"/>
  <c r="X172" i="29"/>
  <c r="J181" i="50" s="1"/>
  <c r="N164" i="29"/>
  <c r="AY164" i="29"/>
  <c r="D173" i="50"/>
  <c r="X164" i="29"/>
  <c r="J173" i="50" s="1"/>
  <c r="N156" i="29"/>
  <c r="D165" i="50"/>
  <c r="AY156" i="29"/>
  <c r="X156" i="29"/>
  <c r="J165" i="50" s="1"/>
  <c r="N148" i="29"/>
  <c r="X148" i="29"/>
  <c r="J157" i="50" s="1"/>
  <c r="AY148" i="29"/>
  <c r="D157" i="50"/>
  <c r="N140" i="29"/>
  <c r="X140" i="29"/>
  <c r="J149" i="50" s="1"/>
  <c r="D149" i="50"/>
  <c r="AY140" i="29"/>
  <c r="N132" i="29"/>
  <c r="X132" i="29"/>
  <c r="J141" i="50" s="1"/>
  <c r="D141" i="50"/>
  <c r="AY132" i="29"/>
  <c r="N124" i="29"/>
  <c r="X124" i="29"/>
  <c r="J133" i="50" s="1"/>
  <c r="D133" i="50"/>
  <c r="AY124" i="29"/>
  <c r="N116" i="29"/>
  <c r="X116" i="29"/>
  <c r="J125" i="50" s="1"/>
  <c r="D125" i="50"/>
  <c r="AY116" i="29"/>
  <c r="N104" i="29"/>
  <c r="X104" i="29"/>
  <c r="J113" i="50" s="1"/>
  <c r="D113" i="50"/>
  <c r="AY104" i="29"/>
  <c r="N149" i="29"/>
  <c r="D158" i="50"/>
  <c r="AY149" i="29"/>
  <c r="X149" i="29"/>
  <c r="J158" i="50" s="1"/>
  <c r="N141" i="29"/>
  <c r="D150" i="50"/>
  <c r="AY141" i="29"/>
  <c r="X141" i="29"/>
  <c r="J150" i="50" s="1"/>
  <c r="N133" i="29"/>
  <c r="D142" i="50"/>
  <c r="AY133" i="29"/>
  <c r="X133" i="29"/>
  <c r="J142" i="50" s="1"/>
  <c r="N125" i="29"/>
  <c r="AY125" i="29"/>
  <c r="D134" i="50"/>
  <c r="X125" i="29"/>
  <c r="J134" i="50" s="1"/>
  <c r="N117" i="29"/>
  <c r="D126" i="50"/>
  <c r="AY117" i="29"/>
  <c r="X117" i="29"/>
  <c r="J126" i="50" s="1"/>
  <c r="N102" i="29"/>
  <c r="X102" i="29"/>
  <c r="J111" i="50" s="1"/>
  <c r="D111" i="50"/>
  <c r="AY102" i="29"/>
  <c r="N94" i="29"/>
  <c r="X94" i="29"/>
  <c r="J103" i="50" s="1"/>
  <c r="D103" i="50"/>
  <c r="AY94" i="29"/>
  <c r="N86" i="29"/>
  <c r="D95" i="50"/>
  <c r="AY86" i="29"/>
  <c r="N78" i="29"/>
  <c r="D87" i="50"/>
  <c r="AY78" i="29"/>
  <c r="N113" i="29"/>
  <c r="U113" i="29" s="1"/>
  <c r="I122" i="50" s="1"/>
  <c r="D122" i="50"/>
  <c r="AY113" i="29"/>
  <c r="N105" i="29"/>
  <c r="D114" i="50"/>
  <c r="AY105" i="29"/>
  <c r="N97" i="29"/>
  <c r="D106" i="50"/>
  <c r="AY97" i="29"/>
  <c r="N89" i="29"/>
  <c r="U89" i="29" s="1"/>
  <c r="I98" i="50" s="1"/>
  <c r="D98" i="50"/>
  <c r="AY89" i="29"/>
  <c r="N81" i="29"/>
  <c r="D90" i="50"/>
  <c r="AY81" i="29"/>
  <c r="N73" i="29"/>
  <c r="D82" i="50"/>
  <c r="AY73" i="29"/>
  <c r="N68" i="29"/>
  <c r="X68" i="29"/>
  <c r="J77" i="50" s="1"/>
  <c r="D77" i="50"/>
  <c r="AY68" i="29"/>
  <c r="N60" i="29"/>
  <c r="X60" i="29"/>
  <c r="E80" i="30"/>
  <c r="D69" i="50"/>
  <c r="AY60" i="29"/>
  <c r="N52" i="29"/>
  <c r="X52" i="29"/>
  <c r="E72" i="30"/>
  <c r="D61" i="50"/>
  <c r="AY52" i="29"/>
  <c r="N44" i="29"/>
  <c r="X44" i="29"/>
  <c r="D53" i="50"/>
  <c r="E64" i="30"/>
  <c r="AY44" i="29"/>
  <c r="N61" i="29"/>
  <c r="D70" i="50"/>
  <c r="E81" i="30"/>
  <c r="AY61" i="29"/>
  <c r="X61" i="29"/>
  <c r="N53" i="29"/>
  <c r="E73" i="30"/>
  <c r="D62" i="50"/>
  <c r="AY53" i="29"/>
  <c r="X53" i="29"/>
  <c r="N45" i="29"/>
  <c r="E65" i="30"/>
  <c r="D54" i="50"/>
  <c r="AY45" i="29"/>
  <c r="X45" i="29"/>
  <c r="N39" i="29"/>
  <c r="E59" i="30"/>
  <c r="D48" i="50"/>
  <c r="AY39" i="29"/>
  <c r="X39" i="29"/>
  <c r="N31" i="29"/>
  <c r="X31" i="29"/>
  <c r="E51" i="30"/>
  <c r="D40" i="50"/>
  <c r="AY31" i="29"/>
  <c r="N23" i="29"/>
  <c r="E43" i="30"/>
  <c r="D32" i="50"/>
  <c r="AY23" i="29"/>
  <c r="X23" i="29"/>
  <c r="D17" i="50"/>
  <c r="E28" i="30"/>
  <c r="N36" i="29"/>
  <c r="X36" i="29"/>
  <c r="E56" i="30"/>
  <c r="D45" i="50"/>
  <c r="AY36" i="29"/>
  <c r="N28" i="29"/>
  <c r="E48" i="30"/>
  <c r="D37" i="50"/>
  <c r="AY28" i="29"/>
  <c r="X28" i="29"/>
  <c r="N20" i="29"/>
  <c r="E40" i="30"/>
  <c r="D29" i="50"/>
  <c r="AY20" i="29"/>
  <c r="X20" i="29"/>
  <c r="E29" i="30"/>
  <c r="D18" i="50"/>
  <c r="E36" i="30"/>
  <c r="D25" i="50"/>
  <c r="F118" i="50"/>
  <c r="F86" i="50"/>
  <c r="D5" i="45"/>
  <c r="CN6" i="29"/>
  <c r="F88" i="50"/>
  <c r="K8" i="36"/>
  <c r="K9" i="36" s="1"/>
  <c r="M35" i="31"/>
  <c r="K6" i="36" s="1"/>
  <c r="AA8" i="48"/>
  <c r="AB8" i="48" s="1"/>
  <c r="S7" i="48"/>
  <c r="T7" i="48" s="1"/>
  <c r="C8" i="48"/>
  <c r="Q7" i="48"/>
  <c r="F120" i="50"/>
  <c r="F109" i="50"/>
  <c r="F105" i="50"/>
  <c r="F101" i="50"/>
  <c r="F97" i="50"/>
  <c r="F93" i="50"/>
  <c r="F89" i="50"/>
  <c r="F85" i="50"/>
  <c r="F81" i="50"/>
  <c r="N15" i="50"/>
  <c r="N185" i="29"/>
  <c r="X185" i="29"/>
  <c r="J194" i="50" s="1"/>
  <c r="D194" i="50"/>
  <c r="AY185" i="29"/>
  <c r="N177" i="29"/>
  <c r="X177" i="29"/>
  <c r="J186" i="50" s="1"/>
  <c r="D186" i="50"/>
  <c r="AY177" i="29"/>
  <c r="N169" i="29"/>
  <c r="X169" i="29"/>
  <c r="J178" i="50" s="1"/>
  <c r="D178" i="50"/>
  <c r="AY169" i="29"/>
  <c r="N161" i="29"/>
  <c r="X161" i="29"/>
  <c r="J170" i="50" s="1"/>
  <c r="AY161" i="29"/>
  <c r="D170" i="50"/>
  <c r="N186" i="29"/>
  <c r="D195" i="50"/>
  <c r="AY186" i="29"/>
  <c r="X186" i="29"/>
  <c r="J195" i="50" s="1"/>
  <c r="N178" i="29"/>
  <c r="AY178" i="29"/>
  <c r="D187" i="50"/>
  <c r="X178" i="29"/>
  <c r="J187" i="50" s="1"/>
  <c r="N170" i="29"/>
  <c r="AY170" i="29"/>
  <c r="D179" i="50"/>
  <c r="X170" i="29"/>
  <c r="J179" i="50" s="1"/>
  <c r="N162" i="29"/>
  <c r="AY162" i="29"/>
  <c r="D171" i="50"/>
  <c r="X162" i="29"/>
  <c r="J171" i="50" s="1"/>
  <c r="N154" i="29"/>
  <c r="X154" i="29"/>
  <c r="J163" i="50" s="1"/>
  <c r="AY154" i="29"/>
  <c r="D163" i="50"/>
  <c r="N146" i="29"/>
  <c r="X146" i="29"/>
  <c r="J155" i="50" s="1"/>
  <c r="AY146" i="29"/>
  <c r="D155" i="50"/>
  <c r="N138" i="29"/>
  <c r="X138" i="29"/>
  <c r="J147" i="50" s="1"/>
  <c r="D147" i="50"/>
  <c r="AY138" i="29"/>
  <c r="N130" i="29"/>
  <c r="X130" i="29"/>
  <c r="J139" i="50" s="1"/>
  <c r="AY130" i="29"/>
  <c r="D139" i="50"/>
  <c r="N122" i="29"/>
  <c r="X122" i="29"/>
  <c r="J131" i="50" s="1"/>
  <c r="D131" i="50"/>
  <c r="AY122" i="29"/>
  <c r="N112" i="29"/>
  <c r="D121" i="50"/>
  <c r="AY112" i="29"/>
  <c r="N155" i="29"/>
  <c r="X155" i="29"/>
  <c r="J164" i="50" s="1"/>
  <c r="D164" i="50"/>
  <c r="AY155" i="29"/>
  <c r="N147" i="29"/>
  <c r="D156" i="50"/>
  <c r="AY147" i="29"/>
  <c r="X147" i="29"/>
  <c r="J156" i="50" s="1"/>
  <c r="N139" i="29"/>
  <c r="AY139" i="29"/>
  <c r="D148" i="50"/>
  <c r="X139" i="29"/>
  <c r="J148" i="50" s="1"/>
  <c r="N131" i="29"/>
  <c r="AY131" i="29"/>
  <c r="D140" i="50"/>
  <c r="X131" i="29"/>
  <c r="J140" i="50" s="1"/>
  <c r="N123" i="29"/>
  <c r="D132" i="50"/>
  <c r="AY123" i="29"/>
  <c r="X123" i="29"/>
  <c r="J132" i="50" s="1"/>
  <c r="N114" i="29"/>
  <c r="D123" i="50"/>
  <c r="AY114" i="29"/>
  <c r="N100" i="29"/>
  <c r="U100" i="29" s="1"/>
  <c r="I109" i="50" s="1"/>
  <c r="D109" i="50"/>
  <c r="AY100" i="29"/>
  <c r="N92" i="29"/>
  <c r="X92" i="29"/>
  <c r="J101" i="50" s="1"/>
  <c r="D101" i="50"/>
  <c r="AY92" i="29"/>
  <c r="N84" i="29"/>
  <c r="D93" i="50"/>
  <c r="AY84" i="29"/>
  <c r="N76" i="29"/>
  <c r="D85" i="50"/>
  <c r="AY76" i="29"/>
  <c r="N111" i="29"/>
  <c r="D120" i="50"/>
  <c r="AY111" i="29"/>
  <c r="N103" i="29"/>
  <c r="D112" i="50"/>
  <c r="AY103" i="29"/>
  <c r="N95" i="29"/>
  <c r="D104" i="50"/>
  <c r="AY95" i="29"/>
  <c r="N87" i="29"/>
  <c r="U87" i="29" s="1"/>
  <c r="I96" i="50" s="1"/>
  <c r="D96" i="50"/>
  <c r="AY87" i="29"/>
  <c r="N79" i="29"/>
  <c r="D88" i="50"/>
  <c r="AY79" i="29"/>
  <c r="N71" i="29"/>
  <c r="D80" i="50"/>
  <c r="AY71" i="29"/>
  <c r="X66" i="29"/>
  <c r="N66" i="29"/>
  <c r="D75" i="50"/>
  <c r="E86" i="30"/>
  <c r="AY66" i="29"/>
  <c r="N58" i="29"/>
  <c r="X58" i="29"/>
  <c r="E78" i="30"/>
  <c r="D67" i="50"/>
  <c r="AY58" i="29"/>
  <c r="N50" i="29"/>
  <c r="X50" i="29"/>
  <c r="D59" i="50"/>
  <c r="E70" i="30"/>
  <c r="AY50" i="29"/>
  <c r="N67" i="29"/>
  <c r="X67" i="29"/>
  <c r="J76" i="50" s="1"/>
  <c r="D76" i="50"/>
  <c r="AY67" i="29"/>
  <c r="N59" i="29"/>
  <c r="D68" i="50"/>
  <c r="E79" i="30"/>
  <c r="AY59" i="29"/>
  <c r="X59" i="29"/>
  <c r="N51" i="29"/>
  <c r="E71" i="30"/>
  <c r="D60" i="50"/>
  <c r="AY51" i="29"/>
  <c r="X51" i="29"/>
  <c r="N43" i="29"/>
  <c r="X43" i="29"/>
  <c r="D52" i="50"/>
  <c r="E63" i="30"/>
  <c r="AY43" i="29"/>
  <c r="N37" i="29"/>
  <c r="E57" i="30"/>
  <c r="D46" i="50"/>
  <c r="AY37" i="29"/>
  <c r="X37" i="29"/>
  <c r="X29" i="29"/>
  <c r="N29" i="29"/>
  <c r="D38" i="50"/>
  <c r="E49" i="30"/>
  <c r="AY29" i="29"/>
  <c r="D24" i="50"/>
  <c r="E35" i="30"/>
  <c r="N42" i="29"/>
  <c r="X42" i="29"/>
  <c r="E62" i="30"/>
  <c r="D51" i="50"/>
  <c r="AY42" i="29"/>
  <c r="N34" i="29"/>
  <c r="D43" i="50"/>
  <c r="E54" i="30"/>
  <c r="AY34" i="29"/>
  <c r="X34" i="29"/>
  <c r="N26" i="29"/>
  <c r="E46" i="30"/>
  <c r="D35" i="50"/>
  <c r="AY26" i="29"/>
  <c r="X26" i="29"/>
  <c r="D28" i="50"/>
  <c r="E39" i="30"/>
  <c r="X19" i="29"/>
  <c r="M7" i="29"/>
  <c r="N7" i="29"/>
  <c r="AY7" i="29"/>
  <c r="E27" i="30"/>
  <c r="D16" i="50"/>
  <c r="J7" i="29"/>
  <c r="E30" i="30"/>
  <c r="D19" i="50"/>
  <c r="X21" i="29"/>
  <c r="G43" i="30"/>
  <c r="F32" i="50"/>
  <c r="U112" i="29"/>
  <c r="I121" i="50" s="1"/>
  <c r="F121" i="50"/>
  <c r="R16" i="50"/>
  <c r="CK12" i="29" l="1"/>
  <c r="CL11" i="29"/>
  <c r="CM11" i="29" s="1"/>
  <c r="E8" i="48"/>
  <c r="H54" i="30"/>
  <c r="G43" i="50"/>
  <c r="P34" i="29"/>
  <c r="T34" i="29" s="1"/>
  <c r="U34" i="29"/>
  <c r="K57" i="30"/>
  <c r="J46" i="50"/>
  <c r="J52" i="50"/>
  <c r="K63" i="30"/>
  <c r="G59" i="50"/>
  <c r="H70" i="30"/>
  <c r="P50" i="29"/>
  <c r="T50" i="29" s="1"/>
  <c r="U50" i="29"/>
  <c r="G120" i="50"/>
  <c r="P111" i="29"/>
  <c r="T111" i="29" s="1"/>
  <c r="G123" i="50"/>
  <c r="P114" i="29"/>
  <c r="T114" i="29" s="1"/>
  <c r="U131" i="29"/>
  <c r="I140" i="50" s="1"/>
  <c r="N140" i="50" s="1"/>
  <c r="G140" i="50"/>
  <c r="P131" i="29"/>
  <c r="T131" i="29" s="1"/>
  <c r="U147" i="29"/>
  <c r="I156" i="50" s="1"/>
  <c r="G156" i="50"/>
  <c r="P147" i="29"/>
  <c r="T147" i="29" s="1"/>
  <c r="BH138" i="29"/>
  <c r="AZ138" i="29"/>
  <c r="AZ177" i="29"/>
  <c r="BH177" i="29"/>
  <c r="J29" i="50"/>
  <c r="K40" i="30"/>
  <c r="P23" i="29"/>
  <c r="T23" i="29" s="1"/>
  <c r="G32" i="50"/>
  <c r="H43" i="30"/>
  <c r="AZ45" i="29"/>
  <c r="BH45" i="29"/>
  <c r="G62" i="50"/>
  <c r="H73" i="30"/>
  <c r="P53" i="29"/>
  <c r="T53" i="29" s="1"/>
  <c r="U53" i="29"/>
  <c r="BH60" i="29"/>
  <c r="AZ60" i="29"/>
  <c r="G69" i="50"/>
  <c r="H80" i="30"/>
  <c r="P60" i="29"/>
  <c r="T60" i="29" s="1"/>
  <c r="U60" i="29"/>
  <c r="G77" i="50"/>
  <c r="P68" i="29"/>
  <c r="T68" i="29" s="1"/>
  <c r="U68" i="29"/>
  <c r="I77" i="50" s="1"/>
  <c r="BH81" i="29"/>
  <c r="AZ81" i="29"/>
  <c r="G106" i="50"/>
  <c r="P97" i="29"/>
  <c r="T97" i="29" s="1"/>
  <c r="AZ113" i="29"/>
  <c r="BH113" i="29"/>
  <c r="G95" i="50"/>
  <c r="P86" i="29"/>
  <c r="T86" i="29" s="1"/>
  <c r="P94" i="29"/>
  <c r="T94" i="29" s="1"/>
  <c r="G103" i="50"/>
  <c r="G111" i="50"/>
  <c r="P102" i="29"/>
  <c r="T102" i="29" s="1"/>
  <c r="U117" i="29"/>
  <c r="I126" i="50" s="1"/>
  <c r="G126" i="50"/>
  <c r="P117" i="29"/>
  <c r="T117" i="29" s="1"/>
  <c r="U125" i="29"/>
  <c r="I134" i="50" s="1"/>
  <c r="G134" i="50"/>
  <c r="P125" i="29"/>
  <c r="T125" i="29" s="1"/>
  <c r="U133" i="29"/>
  <c r="I142" i="50" s="1"/>
  <c r="T142" i="50" s="1"/>
  <c r="U142" i="50" s="1"/>
  <c r="G142" i="50"/>
  <c r="P133" i="29"/>
  <c r="T133" i="29" s="1"/>
  <c r="U141" i="29"/>
  <c r="I150" i="50" s="1"/>
  <c r="G150" i="50"/>
  <c r="T150" i="50" s="1"/>
  <c r="U150" i="50" s="1"/>
  <c r="P141" i="29"/>
  <c r="T141" i="29" s="1"/>
  <c r="U149" i="29"/>
  <c r="I158" i="50" s="1"/>
  <c r="G158" i="50"/>
  <c r="P149" i="29"/>
  <c r="T149" i="29" s="1"/>
  <c r="G113" i="50"/>
  <c r="P104" i="29"/>
  <c r="T104" i="29" s="1"/>
  <c r="G125" i="50"/>
  <c r="P116" i="29"/>
  <c r="T116" i="29" s="1"/>
  <c r="U116" i="29"/>
  <c r="I125" i="50" s="1"/>
  <c r="G133" i="50"/>
  <c r="P124" i="29"/>
  <c r="T124" i="29" s="1"/>
  <c r="U124" i="29"/>
  <c r="I133" i="50" s="1"/>
  <c r="N133" i="50" s="1"/>
  <c r="G141" i="50"/>
  <c r="P132" i="29"/>
  <c r="T132" i="29" s="1"/>
  <c r="U132" i="29"/>
  <c r="I141" i="50" s="1"/>
  <c r="G149" i="50"/>
  <c r="T149" i="50" s="1"/>
  <c r="U149" i="50" s="1"/>
  <c r="P140" i="29"/>
  <c r="T140" i="29" s="1"/>
  <c r="U140" i="29"/>
  <c r="I149" i="50" s="1"/>
  <c r="G157" i="50"/>
  <c r="T157" i="50" s="1"/>
  <c r="U157" i="50" s="1"/>
  <c r="P148" i="29"/>
  <c r="T148" i="29" s="1"/>
  <c r="U148" i="29"/>
  <c r="I157" i="50" s="1"/>
  <c r="G165" i="50"/>
  <c r="P156" i="29"/>
  <c r="T156" i="29" s="1"/>
  <c r="U156" i="29"/>
  <c r="I165" i="50" s="1"/>
  <c r="T165" i="50" s="1"/>
  <c r="U165" i="50" s="1"/>
  <c r="U164" i="29"/>
  <c r="I173" i="50" s="1"/>
  <c r="G173" i="50"/>
  <c r="P164" i="29"/>
  <c r="T164" i="29" s="1"/>
  <c r="U172" i="29"/>
  <c r="I181" i="50" s="1"/>
  <c r="T181" i="50" s="1"/>
  <c r="U181" i="50" s="1"/>
  <c r="G181" i="50"/>
  <c r="P172" i="29"/>
  <c r="T172" i="29" s="1"/>
  <c r="U180" i="29"/>
  <c r="I189" i="50" s="1"/>
  <c r="G189" i="50"/>
  <c r="T189" i="50" s="1"/>
  <c r="U189" i="50" s="1"/>
  <c r="P180" i="29"/>
  <c r="T180" i="29" s="1"/>
  <c r="U188" i="29"/>
  <c r="I197" i="50" s="1"/>
  <c r="G197" i="50"/>
  <c r="P188" i="29"/>
  <c r="T188" i="29" s="1"/>
  <c r="G172" i="50"/>
  <c r="P163" i="29"/>
  <c r="T163" i="29" s="1"/>
  <c r="U163" i="29"/>
  <c r="I172" i="50" s="1"/>
  <c r="N172" i="50" s="1"/>
  <c r="G180" i="50"/>
  <c r="T180" i="50" s="1"/>
  <c r="U180" i="50" s="1"/>
  <c r="P171" i="29"/>
  <c r="T171" i="29" s="1"/>
  <c r="U171" i="29"/>
  <c r="I180" i="50" s="1"/>
  <c r="G188" i="50"/>
  <c r="P179" i="29"/>
  <c r="T179" i="29" s="1"/>
  <c r="U179" i="29"/>
  <c r="I188" i="50" s="1"/>
  <c r="G196" i="50"/>
  <c r="P187" i="29"/>
  <c r="T187" i="29" s="1"/>
  <c r="U187" i="29"/>
  <c r="I196" i="50" s="1"/>
  <c r="N196" i="50" s="1"/>
  <c r="J34" i="50"/>
  <c r="K45" i="30"/>
  <c r="AZ41" i="29"/>
  <c r="BH41" i="29"/>
  <c r="K67" i="30"/>
  <c r="J56" i="50"/>
  <c r="U47" i="29"/>
  <c r="G56" i="50"/>
  <c r="H67" i="30"/>
  <c r="P47" i="29"/>
  <c r="T47" i="29" s="1"/>
  <c r="AZ54" i="29"/>
  <c r="BH54" i="29"/>
  <c r="G63" i="50"/>
  <c r="H74" i="30"/>
  <c r="P54" i="29"/>
  <c r="T54" i="29" s="1"/>
  <c r="U54" i="29"/>
  <c r="H82" i="30"/>
  <c r="G71" i="50"/>
  <c r="P62" i="29"/>
  <c r="T62" i="29" s="1"/>
  <c r="U62" i="29"/>
  <c r="G84" i="50"/>
  <c r="P75" i="29"/>
  <c r="T75" i="29" s="1"/>
  <c r="U75" i="29"/>
  <c r="I84" i="50" s="1"/>
  <c r="T84" i="50" s="1"/>
  <c r="U84" i="50" s="1"/>
  <c r="BH91" i="29"/>
  <c r="AZ91" i="29"/>
  <c r="G116" i="50"/>
  <c r="P107" i="29"/>
  <c r="T107" i="29" s="1"/>
  <c r="P72" i="29"/>
  <c r="T72" i="29" s="1"/>
  <c r="W72" i="29" s="1"/>
  <c r="AC72" i="29" s="1"/>
  <c r="G81" i="50"/>
  <c r="BH88" i="29"/>
  <c r="AZ88" i="29"/>
  <c r="G115" i="50"/>
  <c r="P106" i="29"/>
  <c r="T106" i="29" s="1"/>
  <c r="U119" i="29"/>
  <c r="I128" i="50" s="1"/>
  <c r="G128" i="50"/>
  <c r="T128" i="50" s="1"/>
  <c r="U128" i="50" s="1"/>
  <c r="P119" i="29"/>
  <c r="T119" i="29" s="1"/>
  <c r="W119" i="29" s="1"/>
  <c r="AC119" i="29" s="1"/>
  <c r="U127" i="29"/>
  <c r="I136" i="50" s="1"/>
  <c r="G136" i="50"/>
  <c r="P127" i="29"/>
  <c r="T127" i="29" s="1"/>
  <c r="U135" i="29"/>
  <c r="I144" i="50" s="1"/>
  <c r="N144" i="50" s="1"/>
  <c r="G144" i="50"/>
  <c r="P135" i="29"/>
  <c r="T135" i="29" s="1"/>
  <c r="U143" i="29"/>
  <c r="I152" i="50" s="1"/>
  <c r="G152" i="50"/>
  <c r="N152" i="50" s="1"/>
  <c r="P143" i="29"/>
  <c r="T143" i="29" s="1"/>
  <c r="U151" i="29"/>
  <c r="I160" i="50" s="1"/>
  <c r="G160" i="50"/>
  <c r="T160" i="50" s="1"/>
  <c r="U160" i="50" s="1"/>
  <c r="P151" i="29"/>
  <c r="T151" i="29" s="1"/>
  <c r="W151" i="29" s="1"/>
  <c r="AC151" i="29" s="1"/>
  <c r="AZ118" i="29"/>
  <c r="BH118" i="29"/>
  <c r="BH134" i="29"/>
  <c r="AZ134" i="29"/>
  <c r="BH150" i="29"/>
  <c r="AZ150" i="29"/>
  <c r="BH165" i="29"/>
  <c r="AZ165" i="29"/>
  <c r="AZ173" i="29"/>
  <c r="BH173" i="29"/>
  <c r="AZ181" i="29"/>
  <c r="BH181" i="29"/>
  <c r="H15" i="46"/>
  <c r="AS10" i="29"/>
  <c r="E10" i="29" s="1"/>
  <c r="BF9" i="29"/>
  <c r="BO9" i="29" s="1"/>
  <c r="B18" i="50"/>
  <c r="F9" i="29"/>
  <c r="C29" i="30"/>
  <c r="AZ32" i="29"/>
  <c r="BH32" i="29"/>
  <c r="BH40" i="29"/>
  <c r="AZ40" i="29"/>
  <c r="H60" i="30"/>
  <c r="G49" i="50"/>
  <c r="P40" i="29"/>
  <c r="T40" i="29" s="1"/>
  <c r="U40" i="29"/>
  <c r="BH35" i="29"/>
  <c r="AZ35" i="29"/>
  <c r="AZ22" i="29"/>
  <c r="BH22" i="29"/>
  <c r="J58" i="50"/>
  <c r="K69" i="30"/>
  <c r="U49" i="29"/>
  <c r="H69" i="30"/>
  <c r="G58" i="50"/>
  <c r="P49" i="29"/>
  <c r="T49" i="29" s="1"/>
  <c r="W49" i="29" s="1"/>
  <c r="AC49" i="29" s="1"/>
  <c r="AZ56" i="29"/>
  <c r="BH56" i="29"/>
  <c r="G65" i="50"/>
  <c r="H76" i="30"/>
  <c r="P56" i="29"/>
  <c r="T56" i="29" s="1"/>
  <c r="U56" i="29"/>
  <c r="K84" i="30"/>
  <c r="J73" i="50"/>
  <c r="G86" i="50"/>
  <c r="P77" i="29"/>
  <c r="T77" i="29" s="1"/>
  <c r="W77" i="29" s="1"/>
  <c r="AC77" i="29" s="1"/>
  <c r="BH93" i="29"/>
  <c r="AZ93" i="29"/>
  <c r="G118" i="50"/>
  <c r="P109" i="29"/>
  <c r="T109" i="29" s="1"/>
  <c r="W109" i="29" s="1"/>
  <c r="AC109" i="29" s="1"/>
  <c r="P74" i="29"/>
  <c r="T74" i="29" s="1"/>
  <c r="G83" i="50"/>
  <c r="AZ90" i="29"/>
  <c r="BH90" i="29"/>
  <c r="AZ98" i="29"/>
  <c r="BH98" i="29"/>
  <c r="BH108" i="29"/>
  <c r="AZ108" i="29"/>
  <c r="BH145" i="29"/>
  <c r="AZ145" i="29"/>
  <c r="BH153" i="29"/>
  <c r="AZ153" i="29"/>
  <c r="AZ115" i="29"/>
  <c r="BH115" i="29"/>
  <c r="BH120" i="29"/>
  <c r="AZ120" i="29"/>
  <c r="AZ136" i="29"/>
  <c r="BH136" i="29"/>
  <c r="AZ144" i="29"/>
  <c r="BH144" i="29"/>
  <c r="BH152" i="29"/>
  <c r="AZ152" i="29"/>
  <c r="BH160" i="29"/>
  <c r="AZ160" i="29"/>
  <c r="BH168" i="29"/>
  <c r="AZ168" i="29"/>
  <c r="BH176" i="29"/>
  <c r="AZ176" i="29"/>
  <c r="BH159" i="29"/>
  <c r="AZ159" i="29"/>
  <c r="BH183" i="29"/>
  <c r="AZ183" i="29"/>
  <c r="L27" i="30"/>
  <c r="K16" i="50"/>
  <c r="AI6" i="29"/>
  <c r="AK7" i="29"/>
  <c r="U106" i="29"/>
  <c r="I115" i="50" s="1"/>
  <c r="U74" i="29"/>
  <c r="I83" i="50" s="1"/>
  <c r="U107" i="29"/>
  <c r="I116" i="50" s="1"/>
  <c r="K39" i="30"/>
  <c r="J28" i="50"/>
  <c r="AZ7" i="29"/>
  <c r="BH7" i="29"/>
  <c r="K46" i="30"/>
  <c r="J35" i="50"/>
  <c r="G16" i="50"/>
  <c r="H27" i="30"/>
  <c r="Q7" i="29"/>
  <c r="R27" i="30" s="1"/>
  <c r="U7" i="29"/>
  <c r="BH26" i="29"/>
  <c r="AZ26" i="29"/>
  <c r="K54" i="30"/>
  <c r="J43" i="50"/>
  <c r="J51" i="50"/>
  <c r="K62" i="30"/>
  <c r="G46" i="50"/>
  <c r="H57" i="30"/>
  <c r="P37" i="29"/>
  <c r="T37" i="29" s="1"/>
  <c r="U37" i="29"/>
  <c r="BH59" i="29"/>
  <c r="AZ59" i="29"/>
  <c r="BH67" i="29"/>
  <c r="AZ67" i="29"/>
  <c r="BH50" i="29"/>
  <c r="AZ50" i="29"/>
  <c r="K78" i="30"/>
  <c r="J67" i="50"/>
  <c r="G88" i="50"/>
  <c r="P79" i="29"/>
  <c r="T79" i="29" s="1"/>
  <c r="AZ95" i="29"/>
  <c r="BH95" i="29"/>
  <c r="AZ84" i="29"/>
  <c r="BH84" i="29"/>
  <c r="U123" i="29"/>
  <c r="I132" i="50" s="1"/>
  <c r="N132" i="50" s="1"/>
  <c r="G132" i="50"/>
  <c r="P123" i="29"/>
  <c r="T123" i="29" s="1"/>
  <c r="U139" i="29"/>
  <c r="I148" i="50" s="1"/>
  <c r="G148" i="50"/>
  <c r="T148" i="50" s="1"/>
  <c r="U148" i="50" s="1"/>
  <c r="P139" i="29"/>
  <c r="T139" i="29" s="1"/>
  <c r="G164" i="50"/>
  <c r="U155" i="29"/>
  <c r="I164" i="50" s="1"/>
  <c r="P155" i="29"/>
  <c r="T155" i="29" s="1"/>
  <c r="W155" i="29" s="1"/>
  <c r="AC155" i="29" s="1"/>
  <c r="BH122" i="29"/>
  <c r="AZ122" i="29"/>
  <c r="BH169" i="29"/>
  <c r="AZ169" i="29"/>
  <c r="AZ185" i="29"/>
  <c r="BH185" i="29"/>
  <c r="G29" i="50"/>
  <c r="H40" i="30"/>
  <c r="P20" i="29"/>
  <c r="T20" i="29" s="1"/>
  <c r="U20" i="29"/>
  <c r="K43" i="30"/>
  <c r="J32" i="50"/>
  <c r="K51" i="30"/>
  <c r="J40" i="50"/>
  <c r="K73" i="30"/>
  <c r="J62" i="50"/>
  <c r="U23" i="29"/>
  <c r="P7" i="29"/>
  <c r="BH34" i="29"/>
  <c r="AZ34" i="29"/>
  <c r="BH42" i="29"/>
  <c r="AZ42" i="29"/>
  <c r="G51" i="50"/>
  <c r="H62" i="30"/>
  <c r="P42" i="29"/>
  <c r="T42" i="29" s="1"/>
  <c r="U42" i="29"/>
  <c r="AZ37" i="29"/>
  <c r="BH37" i="29"/>
  <c r="BH43" i="29"/>
  <c r="AZ43" i="29"/>
  <c r="U43" i="29"/>
  <c r="G52" i="50"/>
  <c r="H63" i="30"/>
  <c r="P43" i="29"/>
  <c r="T43" i="29" s="1"/>
  <c r="BH58" i="29"/>
  <c r="AZ58" i="29"/>
  <c r="H78" i="30"/>
  <c r="G67" i="50"/>
  <c r="P58" i="29"/>
  <c r="T58" i="29" s="1"/>
  <c r="U58" i="29"/>
  <c r="G75" i="50"/>
  <c r="H86" i="30"/>
  <c r="P66" i="29"/>
  <c r="T66" i="29" s="1"/>
  <c r="U66" i="29"/>
  <c r="G80" i="50"/>
  <c r="U71" i="29"/>
  <c r="I80" i="50" s="1"/>
  <c r="P71" i="29"/>
  <c r="T71" i="29" s="1"/>
  <c r="BH87" i="29"/>
  <c r="AZ87" i="29"/>
  <c r="G112" i="50"/>
  <c r="U103" i="29"/>
  <c r="I112" i="50" s="1"/>
  <c r="P103" i="29"/>
  <c r="T103" i="29" s="1"/>
  <c r="BH76" i="29"/>
  <c r="AZ76" i="29"/>
  <c r="G109" i="50"/>
  <c r="T109" i="50" s="1"/>
  <c r="U109" i="50" s="1"/>
  <c r="P100" i="29"/>
  <c r="T100" i="29" s="1"/>
  <c r="W100" i="29" s="1"/>
  <c r="AC100" i="29" s="1"/>
  <c r="AZ155" i="29"/>
  <c r="BH155" i="29"/>
  <c r="AZ112" i="29"/>
  <c r="BH112" i="29"/>
  <c r="BH130" i="29"/>
  <c r="AZ130" i="29"/>
  <c r="BH146" i="29"/>
  <c r="AZ146" i="29"/>
  <c r="AZ154" i="29"/>
  <c r="BH154" i="29"/>
  <c r="AZ186" i="29"/>
  <c r="BH186" i="29"/>
  <c r="BH161" i="29"/>
  <c r="AZ161" i="29"/>
  <c r="U111" i="29"/>
  <c r="I120" i="50" s="1"/>
  <c r="D6" i="45"/>
  <c r="D12" i="45"/>
  <c r="BH20" i="29"/>
  <c r="AZ20" i="29"/>
  <c r="J37" i="50"/>
  <c r="K48" i="30"/>
  <c r="G37" i="50"/>
  <c r="H48" i="30"/>
  <c r="P28" i="29"/>
  <c r="T28" i="29" s="1"/>
  <c r="U28" i="29"/>
  <c r="J45" i="50"/>
  <c r="K56" i="30"/>
  <c r="AZ23" i="29"/>
  <c r="BH23" i="29"/>
  <c r="BH31" i="29"/>
  <c r="AZ31" i="29"/>
  <c r="H51" i="30"/>
  <c r="G40" i="50"/>
  <c r="P31" i="29"/>
  <c r="T31" i="29" s="1"/>
  <c r="U31" i="29"/>
  <c r="AZ53" i="29"/>
  <c r="BH53" i="29"/>
  <c r="K81" i="30"/>
  <c r="J70" i="50"/>
  <c r="H81" i="30"/>
  <c r="G70" i="50"/>
  <c r="P61" i="29"/>
  <c r="T61" i="29" s="1"/>
  <c r="U61" i="29"/>
  <c r="K64" i="30"/>
  <c r="J53" i="50"/>
  <c r="AZ68" i="29"/>
  <c r="BH68" i="29"/>
  <c r="AZ73" i="29"/>
  <c r="BH73" i="29"/>
  <c r="G98" i="50"/>
  <c r="N98" i="50" s="1"/>
  <c r="P89" i="29"/>
  <c r="T89" i="29" s="1"/>
  <c r="W89" i="29" s="1"/>
  <c r="AC89" i="29" s="1"/>
  <c r="BH105" i="29"/>
  <c r="AZ105" i="29"/>
  <c r="G87" i="50"/>
  <c r="P78" i="29"/>
  <c r="T78" i="29" s="1"/>
  <c r="AZ94" i="29"/>
  <c r="BH94" i="29"/>
  <c r="AZ102" i="29"/>
  <c r="BH102" i="29"/>
  <c r="BH104" i="29"/>
  <c r="AZ104" i="29"/>
  <c r="BH116" i="29"/>
  <c r="AZ116" i="29"/>
  <c r="AZ124" i="29"/>
  <c r="BH124" i="29"/>
  <c r="AZ132" i="29"/>
  <c r="BH132" i="29"/>
  <c r="BH140" i="29"/>
  <c r="AZ140" i="29"/>
  <c r="BH163" i="29"/>
  <c r="AZ163" i="29"/>
  <c r="K7" i="48"/>
  <c r="P7" i="48" s="1"/>
  <c r="U104" i="29"/>
  <c r="I113" i="50" s="1"/>
  <c r="N113" i="50" s="1"/>
  <c r="H41" i="30"/>
  <c r="G30" i="50"/>
  <c r="U21" i="29"/>
  <c r="P21" i="29"/>
  <c r="T21" i="29" s="1"/>
  <c r="AZ25" i="29"/>
  <c r="BH25" i="29"/>
  <c r="H45" i="30"/>
  <c r="G34" i="50"/>
  <c r="P25" i="29"/>
  <c r="T25" i="29" s="1"/>
  <c r="U25" i="29"/>
  <c r="H53" i="30"/>
  <c r="G42" i="50"/>
  <c r="P33" i="29"/>
  <c r="T33" i="29" s="1"/>
  <c r="U33" i="29"/>
  <c r="AZ47" i="29"/>
  <c r="BH47" i="29"/>
  <c r="J64" i="50"/>
  <c r="K75" i="30"/>
  <c r="H75" i="30"/>
  <c r="G64" i="50"/>
  <c r="P55" i="29"/>
  <c r="T55" i="29" s="1"/>
  <c r="U55" i="29"/>
  <c r="BH62" i="29"/>
  <c r="AZ62" i="29"/>
  <c r="K82" i="30"/>
  <c r="J71" i="50"/>
  <c r="U70" i="29"/>
  <c r="I79" i="50" s="1"/>
  <c r="G79" i="50"/>
  <c r="P70" i="29"/>
  <c r="T70" i="29" s="1"/>
  <c r="BH83" i="29"/>
  <c r="AZ83" i="29"/>
  <c r="G108" i="50"/>
  <c r="U99" i="29"/>
  <c r="I108" i="50" s="1"/>
  <c r="P99" i="29"/>
  <c r="T99" i="29" s="1"/>
  <c r="AZ80" i="29"/>
  <c r="BH80" i="29"/>
  <c r="G105" i="50"/>
  <c r="N105" i="50" s="1"/>
  <c r="P96" i="29"/>
  <c r="T96" i="29" s="1"/>
  <c r="W96" i="29" s="1"/>
  <c r="AC96" i="29" s="1"/>
  <c r="BH110" i="29"/>
  <c r="AZ110" i="29"/>
  <c r="AZ126" i="29"/>
  <c r="BH126" i="29"/>
  <c r="BH142" i="29"/>
  <c r="AZ142" i="29"/>
  <c r="BH158" i="29"/>
  <c r="AZ158" i="29"/>
  <c r="AZ157" i="29"/>
  <c r="BH157" i="29"/>
  <c r="U114" i="29"/>
  <c r="I123" i="50" s="1"/>
  <c r="N123" i="50" s="1"/>
  <c r="V16" i="46"/>
  <c r="G36" i="50"/>
  <c r="H47" i="30"/>
  <c r="P27" i="29"/>
  <c r="T27" i="29" s="1"/>
  <c r="U27" i="29"/>
  <c r="AZ49" i="29"/>
  <c r="BH49" i="29"/>
  <c r="K77" i="30"/>
  <c r="J66" i="50"/>
  <c r="G66" i="50"/>
  <c r="H77" i="30"/>
  <c r="P57" i="29"/>
  <c r="T57" i="29" s="1"/>
  <c r="U57" i="29"/>
  <c r="BH64" i="29"/>
  <c r="AZ64" i="29"/>
  <c r="H84" i="30"/>
  <c r="G73" i="50"/>
  <c r="P64" i="29"/>
  <c r="T64" i="29" s="1"/>
  <c r="U64" i="29"/>
  <c r="G78" i="50"/>
  <c r="P69" i="29"/>
  <c r="T69" i="29" s="1"/>
  <c r="U69" i="29"/>
  <c r="I78" i="50" s="1"/>
  <c r="BH85" i="29"/>
  <c r="AZ85" i="29"/>
  <c r="G110" i="50"/>
  <c r="T110" i="50" s="1"/>
  <c r="U110" i="50" s="1"/>
  <c r="P101" i="29"/>
  <c r="T101" i="29" s="1"/>
  <c r="W101" i="29" s="1"/>
  <c r="AC101" i="29" s="1"/>
  <c r="AZ82" i="29"/>
  <c r="BH82" i="29"/>
  <c r="BH121" i="29"/>
  <c r="AZ121" i="29"/>
  <c r="AZ129" i="29"/>
  <c r="BH129" i="29"/>
  <c r="AZ137" i="29"/>
  <c r="BH137" i="29"/>
  <c r="BH184" i="29"/>
  <c r="AZ184" i="29"/>
  <c r="P6" i="48"/>
  <c r="AQ8" i="29"/>
  <c r="AR8" i="29" s="1"/>
  <c r="K8" i="29" s="1"/>
  <c r="R7" i="29"/>
  <c r="X7" i="29"/>
  <c r="AF7" i="29"/>
  <c r="F27" i="30"/>
  <c r="E16" i="50"/>
  <c r="AH7" i="29"/>
  <c r="AI7" i="29" s="1"/>
  <c r="J8" i="29"/>
  <c r="J60" i="50"/>
  <c r="K71" i="30"/>
  <c r="G60" i="50"/>
  <c r="H71" i="30"/>
  <c r="P51" i="29"/>
  <c r="T51" i="29" s="1"/>
  <c r="U51" i="29"/>
  <c r="BH66" i="29"/>
  <c r="AZ66" i="29"/>
  <c r="J75" i="50"/>
  <c r="K86" i="30"/>
  <c r="AZ79" i="29"/>
  <c r="BH79" i="29"/>
  <c r="G104" i="50"/>
  <c r="U95" i="29"/>
  <c r="I104" i="50" s="1"/>
  <c r="P95" i="29"/>
  <c r="T95" i="29" s="1"/>
  <c r="AZ111" i="29"/>
  <c r="BH111" i="29"/>
  <c r="G93" i="50"/>
  <c r="P84" i="29"/>
  <c r="T84" i="29" s="1"/>
  <c r="G101" i="50"/>
  <c r="P92" i="29"/>
  <c r="T92" i="29" s="1"/>
  <c r="BH114" i="29"/>
  <c r="AZ114" i="29"/>
  <c r="AZ123" i="29"/>
  <c r="BH123" i="29"/>
  <c r="BH147" i="29"/>
  <c r="AZ147" i="29"/>
  <c r="AZ162" i="29"/>
  <c r="BH162" i="29"/>
  <c r="BH170" i="29"/>
  <c r="AZ170" i="29"/>
  <c r="AZ178" i="29"/>
  <c r="BH178" i="29"/>
  <c r="AJ8" i="29"/>
  <c r="BH28" i="29"/>
  <c r="AZ28" i="29"/>
  <c r="AZ36" i="29"/>
  <c r="BH36" i="29"/>
  <c r="H56" i="30"/>
  <c r="G45" i="50"/>
  <c r="P36" i="29"/>
  <c r="T36" i="29" s="1"/>
  <c r="U36" i="29"/>
  <c r="K59" i="30"/>
  <c r="J48" i="50"/>
  <c r="H59" i="30"/>
  <c r="G48" i="50"/>
  <c r="P39" i="29"/>
  <c r="T39" i="29" s="1"/>
  <c r="U39" i="29"/>
  <c r="BH61" i="29"/>
  <c r="AZ61" i="29"/>
  <c r="AZ44" i="29"/>
  <c r="BH44" i="29"/>
  <c r="H64" i="30"/>
  <c r="G53" i="50"/>
  <c r="P44" i="29"/>
  <c r="T44" i="29" s="1"/>
  <c r="U44" i="29"/>
  <c r="K72" i="30"/>
  <c r="J61" i="50"/>
  <c r="N77" i="50"/>
  <c r="T77" i="50"/>
  <c r="U77" i="50" s="1"/>
  <c r="G90" i="50"/>
  <c r="P81" i="29"/>
  <c r="T81" i="29" s="1"/>
  <c r="BH97" i="29"/>
  <c r="AZ97" i="29"/>
  <c r="G122" i="50"/>
  <c r="N122" i="50" s="1"/>
  <c r="P113" i="29"/>
  <c r="T113" i="29" s="1"/>
  <c r="W113" i="29" s="1"/>
  <c r="AC113" i="29" s="1"/>
  <c r="AZ86" i="29"/>
  <c r="BH86" i="29"/>
  <c r="AZ117" i="29"/>
  <c r="BH117" i="29"/>
  <c r="T134" i="50"/>
  <c r="U134" i="50" s="1"/>
  <c r="N134" i="50"/>
  <c r="AZ133" i="29"/>
  <c r="BH133" i="29"/>
  <c r="AZ141" i="29"/>
  <c r="BH141" i="29"/>
  <c r="BH149" i="29"/>
  <c r="AZ149" i="29"/>
  <c r="N141" i="50"/>
  <c r="T141" i="50"/>
  <c r="U141" i="50" s="1"/>
  <c r="BH148" i="29"/>
  <c r="AZ148" i="29"/>
  <c r="AZ156" i="29"/>
  <c r="BH156" i="29"/>
  <c r="T173" i="50"/>
  <c r="U173" i="50" s="1"/>
  <c r="N173" i="50"/>
  <c r="BH180" i="29"/>
  <c r="AZ180" i="29"/>
  <c r="T172" i="50"/>
  <c r="U172" i="50" s="1"/>
  <c r="AZ171" i="29"/>
  <c r="BH171" i="29"/>
  <c r="BH179" i="29"/>
  <c r="AZ179" i="29"/>
  <c r="AZ187" i="29"/>
  <c r="BH187" i="29"/>
  <c r="BH21" i="29"/>
  <c r="AZ21" i="29"/>
  <c r="K50" i="30"/>
  <c r="J39" i="50"/>
  <c r="H50" i="30"/>
  <c r="G39" i="50"/>
  <c r="P30" i="29"/>
  <c r="T30" i="29" s="1"/>
  <c r="U30" i="29"/>
  <c r="J47" i="50"/>
  <c r="K58" i="30"/>
  <c r="AZ33" i="29"/>
  <c r="BH33" i="29"/>
  <c r="J42" i="50"/>
  <c r="K53" i="30"/>
  <c r="BH55" i="29"/>
  <c r="AZ55" i="29"/>
  <c r="J72" i="50"/>
  <c r="K83" i="30"/>
  <c r="H83" i="30"/>
  <c r="G72" i="50"/>
  <c r="P63" i="29"/>
  <c r="T63" i="29" s="1"/>
  <c r="U63" i="29"/>
  <c r="K66" i="30"/>
  <c r="J55" i="50"/>
  <c r="AZ75" i="29"/>
  <c r="BH75" i="29"/>
  <c r="G100" i="50"/>
  <c r="P91" i="29"/>
  <c r="T91" i="29" s="1"/>
  <c r="U91" i="29"/>
  <c r="I100" i="50" s="1"/>
  <c r="BH107" i="29"/>
  <c r="AZ107" i="29"/>
  <c r="BH72" i="29"/>
  <c r="AZ72" i="29"/>
  <c r="G97" i="50"/>
  <c r="N97" i="50" s="1"/>
  <c r="P88" i="29"/>
  <c r="T88" i="29" s="1"/>
  <c r="W88" i="29" s="1"/>
  <c r="AC88" i="29" s="1"/>
  <c r="AZ106" i="29"/>
  <c r="BH106" i="29"/>
  <c r="AZ119" i="29"/>
  <c r="BH119" i="29"/>
  <c r="BH127" i="29"/>
  <c r="AZ127" i="29"/>
  <c r="BH135" i="29"/>
  <c r="AZ135" i="29"/>
  <c r="AZ151" i="29"/>
  <c r="BH151" i="29"/>
  <c r="AZ166" i="29"/>
  <c r="BH166" i="29"/>
  <c r="BH174" i="29"/>
  <c r="AZ174" i="29"/>
  <c r="BH182" i="29"/>
  <c r="AZ182" i="29"/>
  <c r="D82" i="45"/>
  <c r="D35" i="45"/>
  <c r="K44" i="30"/>
  <c r="J33" i="50"/>
  <c r="U24" i="29"/>
  <c r="H44" i="30"/>
  <c r="G33" i="50"/>
  <c r="P24" i="29"/>
  <c r="T24" i="29" s="1"/>
  <c r="BH27" i="29"/>
  <c r="AZ27" i="29"/>
  <c r="J36" i="50"/>
  <c r="K47" i="30"/>
  <c r="AZ57" i="29"/>
  <c r="BH57" i="29"/>
  <c r="K85" i="30"/>
  <c r="J74" i="50"/>
  <c r="H85" i="30"/>
  <c r="G74" i="50"/>
  <c r="P65" i="29"/>
  <c r="T65" i="29" s="1"/>
  <c r="U65" i="29"/>
  <c r="K68" i="30"/>
  <c r="J57" i="50"/>
  <c r="BH69" i="29"/>
  <c r="AZ69" i="29"/>
  <c r="BH77" i="29"/>
  <c r="AZ77" i="29"/>
  <c r="G102" i="50"/>
  <c r="U93" i="29"/>
  <c r="I102" i="50" s="1"/>
  <c r="P93" i="29"/>
  <c r="T93" i="29" s="1"/>
  <c r="BH109" i="29"/>
  <c r="AZ109" i="29"/>
  <c r="BH74" i="29"/>
  <c r="AZ74" i="29"/>
  <c r="G117" i="50"/>
  <c r="N117" i="50" s="1"/>
  <c r="P108" i="29"/>
  <c r="T108" i="29" s="1"/>
  <c r="W108" i="29" s="1"/>
  <c r="AC108" i="29" s="1"/>
  <c r="U121" i="29"/>
  <c r="I130" i="50" s="1"/>
  <c r="G130" i="50"/>
  <c r="P121" i="29"/>
  <c r="T121" i="29" s="1"/>
  <c r="U129" i="29"/>
  <c r="I138" i="50" s="1"/>
  <c r="G138" i="50"/>
  <c r="P129" i="29"/>
  <c r="T129" i="29" s="1"/>
  <c r="U137" i="29"/>
  <c r="I146" i="50" s="1"/>
  <c r="G146" i="50"/>
  <c r="P137" i="29"/>
  <c r="T137" i="29" s="1"/>
  <c r="U145" i="29"/>
  <c r="I154" i="50" s="1"/>
  <c r="G154" i="50"/>
  <c r="P145" i="29"/>
  <c r="T145" i="29" s="1"/>
  <c r="U153" i="29"/>
  <c r="I162" i="50" s="1"/>
  <c r="G162" i="50"/>
  <c r="P153" i="29"/>
  <c r="T153" i="29" s="1"/>
  <c r="G124" i="50"/>
  <c r="P115" i="29"/>
  <c r="T115" i="29" s="1"/>
  <c r="G129" i="50"/>
  <c r="P120" i="29"/>
  <c r="T120" i="29" s="1"/>
  <c r="U120" i="29"/>
  <c r="I129" i="50" s="1"/>
  <c r="G137" i="50"/>
  <c r="P128" i="29"/>
  <c r="T128" i="29" s="1"/>
  <c r="U128" i="29"/>
  <c r="I137" i="50" s="1"/>
  <c r="G145" i="50"/>
  <c r="P136" i="29"/>
  <c r="T136" i="29" s="1"/>
  <c r="U136" i="29"/>
  <c r="I145" i="50" s="1"/>
  <c r="G153" i="50"/>
  <c r="P144" i="29"/>
  <c r="T144" i="29" s="1"/>
  <c r="U144" i="29"/>
  <c r="I153" i="50" s="1"/>
  <c r="G161" i="50"/>
  <c r="P152" i="29"/>
  <c r="T152" i="29" s="1"/>
  <c r="U152" i="29"/>
  <c r="I161" i="50" s="1"/>
  <c r="U160" i="29"/>
  <c r="I169" i="50" s="1"/>
  <c r="G169" i="50"/>
  <c r="P160" i="29"/>
  <c r="T160" i="29" s="1"/>
  <c r="U168" i="29"/>
  <c r="I177" i="50" s="1"/>
  <c r="G177" i="50"/>
  <c r="P168" i="29"/>
  <c r="T168" i="29" s="1"/>
  <c r="U176" i="29"/>
  <c r="I185" i="50" s="1"/>
  <c r="G185" i="50"/>
  <c r="P176" i="29"/>
  <c r="T176" i="29" s="1"/>
  <c r="U184" i="29"/>
  <c r="I193" i="50" s="1"/>
  <c r="G193" i="50"/>
  <c r="P184" i="29"/>
  <c r="T184" i="29" s="1"/>
  <c r="G168" i="50"/>
  <c r="P159" i="29"/>
  <c r="T159" i="29" s="1"/>
  <c r="U159" i="29"/>
  <c r="I168" i="50" s="1"/>
  <c r="G176" i="50"/>
  <c r="P167" i="29"/>
  <c r="T167" i="29" s="1"/>
  <c r="U167" i="29"/>
  <c r="I176" i="50" s="1"/>
  <c r="G184" i="50"/>
  <c r="P175" i="29"/>
  <c r="T175" i="29" s="1"/>
  <c r="U175" i="29"/>
  <c r="I184" i="50" s="1"/>
  <c r="G192" i="50"/>
  <c r="P183" i="29"/>
  <c r="T183" i="29" s="1"/>
  <c r="U183" i="29"/>
  <c r="I192" i="50" s="1"/>
  <c r="U78" i="29"/>
  <c r="I87" i="50" s="1"/>
  <c r="U86" i="29"/>
  <c r="I95" i="50" s="1"/>
  <c r="U94" i="29"/>
  <c r="I103" i="50" s="1"/>
  <c r="N103" i="50" s="1"/>
  <c r="U102" i="29"/>
  <c r="I111" i="50" s="1"/>
  <c r="AT9" i="29"/>
  <c r="CJ8" i="29"/>
  <c r="U115" i="29"/>
  <c r="I124" i="50" s="1"/>
  <c r="K41" i="30"/>
  <c r="J30" i="50"/>
  <c r="G38" i="50"/>
  <c r="H49" i="30"/>
  <c r="P29" i="29"/>
  <c r="T29" i="29" s="1"/>
  <c r="U29" i="29"/>
  <c r="H46" i="30"/>
  <c r="G35" i="50"/>
  <c r="P26" i="29"/>
  <c r="T26" i="29" s="1"/>
  <c r="U26" i="29"/>
  <c r="AZ29" i="29"/>
  <c r="BH29" i="29"/>
  <c r="J38" i="50"/>
  <c r="K49" i="30"/>
  <c r="BH51" i="29"/>
  <c r="AZ51" i="29"/>
  <c r="K79" i="30"/>
  <c r="J68" i="50"/>
  <c r="H79" i="30"/>
  <c r="G68" i="50"/>
  <c r="P59" i="29"/>
  <c r="T59" i="29" s="1"/>
  <c r="U59" i="29"/>
  <c r="G76" i="50"/>
  <c r="P67" i="29"/>
  <c r="T67" i="29" s="1"/>
  <c r="U67" i="29"/>
  <c r="I76" i="50" s="1"/>
  <c r="K70" i="30"/>
  <c r="J59" i="50"/>
  <c r="AZ71" i="29"/>
  <c r="BH71" i="29"/>
  <c r="G96" i="50"/>
  <c r="T96" i="50" s="1"/>
  <c r="U96" i="50" s="1"/>
  <c r="P87" i="29"/>
  <c r="T87" i="29" s="1"/>
  <c r="W87" i="29" s="1"/>
  <c r="AC87" i="29" s="1"/>
  <c r="AZ103" i="29"/>
  <c r="BH103" i="29"/>
  <c r="G85" i="50"/>
  <c r="P76" i="29"/>
  <c r="T76" i="29" s="1"/>
  <c r="AZ92" i="29"/>
  <c r="BH92" i="29"/>
  <c r="AZ100" i="29"/>
  <c r="BH100" i="29"/>
  <c r="BH131" i="29"/>
  <c r="AZ131" i="29"/>
  <c r="AZ139" i="29"/>
  <c r="BH139" i="29"/>
  <c r="G121" i="50"/>
  <c r="N121" i="50" s="1"/>
  <c r="P112" i="29"/>
  <c r="T112" i="29" s="1"/>
  <c r="W112" i="29" s="1"/>
  <c r="AC112" i="29" s="1"/>
  <c r="G131" i="50"/>
  <c r="P122" i="29"/>
  <c r="T122" i="29" s="1"/>
  <c r="U122" i="29"/>
  <c r="I131" i="50" s="1"/>
  <c r="G139" i="50"/>
  <c r="P130" i="29"/>
  <c r="T130" i="29" s="1"/>
  <c r="U130" i="29"/>
  <c r="I139" i="50" s="1"/>
  <c r="G147" i="50"/>
  <c r="P138" i="29"/>
  <c r="T138" i="29" s="1"/>
  <c r="U138" i="29"/>
  <c r="I147" i="50" s="1"/>
  <c r="G155" i="50"/>
  <c r="P146" i="29"/>
  <c r="T146" i="29" s="1"/>
  <c r="U146" i="29"/>
  <c r="I155" i="50" s="1"/>
  <c r="G163" i="50"/>
  <c r="P154" i="29"/>
  <c r="T154" i="29" s="1"/>
  <c r="U154" i="29"/>
  <c r="I163" i="50" s="1"/>
  <c r="U162" i="29"/>
  <c r="I171" i="50" s="1"/>
  <c r="G171" i="50"/>
  <c r="P162" i="29"/>
  <c r="T162" i="29" s="1"/>
  <c r="U170" i="29"/>
  <c r="I179" i="50" s="1"/>
  <c r="G179" i="50"/>
  <c r="P170" i="29"/>
  <c r="T170" i="29" s="1"/>
  <c r="U178" i="29"/>
  <c r="I187" i="50" s="1"/>
  <c r="G187" i="50"/>
  <c r="P178" i="29"/>
  <c r="T178" i="29" s="1"/>
  <c r="U186" i="29"/>
  <c r="I195" i="50" s="1"/>
  <c r="G195" i="50"/>
  <c r="P186" i="29"/>
  <c r="T186" i="29" s="1"/>
  <c r="G170" i="50"/>
  <c r="P161" i="29"/>
  <c r="T161" i="29" s="1"/>
  <c r="U161" i="29"/>
  <c r="I170" i="50" s="1"/>
  <c r="G178" i="50"/>
  <c r="P169" i="29"/>
  <c r="T169" i="29" s="1"/>
  <c r="U169" i="29"/>
  <c r="I178" i="50" s="1"/>
  <c r="G186" i="50"/>
  <c r="P177" i="29"/>
  <c r="T177" i="29" s="1"/>
  <c r="U177" i="29"/>
  <c r="I186" i="50" s="1"/>
  <c r="G194" i="50"/>
  <c r="P185" i="29"/>
  <c r="T185" i="29" s="1"/>
  <c r="U185" i="29"/>
  <c r="I194" i="50" s="1"/>
  <c r="U76" i="29"/>
  <c r="I85" i="50" s="1"/>
  <c r="U84" i="29"/>
  <c r="I93" i="50" s="1"/>
  <c r="U92" i="29"/>
  <c r="I101" i="50" s="1"/>
  <c r="Q8" i="48"/>
  <c r="AA9" i="48"/>
  <c r="C9" i="48"/>
  <c r="U79" i="29"/>
  <c r="I88" i="50" s="1"/>
  <c r="N88" i="50" s="1"/>
  <c r="N8" i="29"/>
  <c r="BH39" i="29"/>
  <c r="AZ39" i="29"/>
  <c r="J54" i="50"/>
  <c r="K65" i="30"/>
  <c r="U45" i="29"/>
  <c r="G54" i="50"/>
  <c r="H65" i="30"/>
  <c r="P45" i="29"/>
  <c r="T45" i="29" s="1"/>
  <c r="AZ52" i="29"/>
  <c r="BH52" i="29"/>
  <c r="H72" i="30"/>
  <c r="G61" i="50"/>
  <c r="P52" i="29"/>
  <c r="T52" i="29" s="1"/>
  <c r="U52" i="29"/>
  <c r="J69" i="50"/>
  <c r="K80" i="30"/>
  <c r="G82" i="50"/>
  <c r="P73" i="29"/>
  <c r="T73" i="29" s="1"/>
  <c r="U73" i="29"/>
  <c r="I82" i="50" s="1"/>
  <c r="BH89" i="29"/>
  <c r="AZ89" i="29"/>
  <c r="G114" i="50"/>
  <c r="U105" i="29"/>
  <c r="I114" i="50" s="1"/>
  <c r="P105" i="29"/>
  <c r="T105" i="29" s="1"/>
  <c r="AZ78" i="29"/>
  <c r="BH78" i="29"/>
  <c r="T126" i="50"/>
  <c r="U126" i="50" s="1"/>
  <c r="BH125" i="29"/>
  <c r="AZ125" i="29"/>
  <c r="T158" i="50"/>
  <c r="U158" i="50" s="1"/>
  <c r="BH164" i="29"/>
  <c r="AZ164" i="29"/>
  <c r="BH172" i="29"/>
  <c r="AZ172" i="29"/>
  <c r="AZ188" i="29"/>
  <c r="BH188" i="29"/>
  <c r="U81" i="29"/>
  <c r="I90" i="50" s="1"/>
  <c r="BH30" i="29"/>
  <c r="AZ30" i="29"/>
  <c r="AZ38" i="29"/>
  <c r="BH38" i="29"/>
  <c r="H58" i="30"/>
  <c r="G47" i="50"/>
  <c r="P38" i="29"/>
  <c r="T38" i="29" s="1"/>
  <c r="U38" i="29"/>
  <c r="J50" i="50"/>
  <c r="K61" i="30"/>
  <c r="G50" i="50"/>
  <c r="H61" i="30"/>
  <c r="P41" i="29"/>
  <c r="T41" i="29" s="1"/>
  <c r="U41" i="29"/>
  <c r="AZ63" i="29"/>
  <c r="BH63" i="29"/>
  <c r="BH46" i="29"/>
  <c r="AZ46" i="29"/>
  <c r="G55" i="50"/>
  <c r="H66" i="30"/>
  <c r="P46" i="29"/>
  <c r="T46" i="29" s="1"/>
  <c r="U46" i="29"/>
  <c r="J63" i="50"/>
  <c r="K74" i="30"/>
  <c r="BH70" i="29"/>
  <c r="AZ70" i="29"/>
  <c r="G92" i="50"/>
  <c r="T92" i="50" s="1"/>
  <c r="U92" i="50" s="1"/>
  <c r="P83" i="29"/>
  <c r="T83" i="29" s="1"/>
  <c r="W83" i="29" s="1"/>
  <c r="AC83" i="29" s="1"/>
  <c r="AZ99" i="29"/>
  <c r="BH99" i="29"/>
  <c r="N116" i="50"/>
  <c r="T116" i="50"/>
  <c r="U116" i="50" s="1"/>
  <c r="N81" i="50"/>
  <c r="T81" i="50"/>
  <c r="U81" i="50" s="1"/>
  <c r="G89" i="50"/>
  <c r="N89" i="50" s="1"/>
  <c r="P80" i="29"/>
  <c r="T80" i="29" s="1"/>
  <c r="W80" i="29" s="1"/>
  <c r="AC80" i="29" s="1"/>
  <c r="BH96" i="29"/>
  <c r="AZ96" i="29"/>
  <c r="N128" i="50"/>
  <c r="N136" i="50"/>
  <c r="T136" i="50"/>
  <c r="U136" i="50" s="1"/>
  <c r="AZ143" i="29"/>
  <c r="BH143" i="29"/>
  <c r="N160" i="50"/>
  <c r="G119" i="50"/>
  <c r="N119" i="50" s="1"/>
  <c r="P110" i="29"/>
  <c r="T110" i="29" s="1"/>
  <c r="W110" i="29" s="1"/>
  <c r="AC110" i="29" s="1"/>
  <c r="G127" i="50"/>
  <c r="P118" i="29"/>
  <c r="T118" i="29" s="1"/>
  <c r="U118" i="29"/>
  <c r="I127" i="50" s="1"/>
  <c r="G135" i="50"/>
  <c r="P126" i="29"/>
  <c r="T126" i="29" s="1"/>
  <c r="U126" i="29"/>
  <c r="I135" i="50" s="1"/>
  <c r="G143" i="50"/>
  <c r="P134" i="29"/>
  <c r="T134" i="29" s="1"/>
  <c r="U134" i="29"/>
  <c r="I143" i="50" s="1"/>
  <c r="G151" i="50"/>
  <c r="P142" i="29"/>
  <c r="T142" i="29" s="1"/>
  <c r="U142" i="29"/>
  <c r="I151" i="50" s="1"/>
  <c r="G159" i="50"/>
  <c r="P150" i="29"/>
  <c r="T150" i="29" s="1"/>
  <c r="U150" i="29"/>
  <c r="I159" i="50" s="1"/>
  <c r="U158" i="29"/>
  <c r="I167" i="50" s="1"/>
  <c r="G167" i="50"/>
  <c r="P158" i="29"/>
  <c r="T158" i="29" s="1"/>
  <c r="U166" i="29"/>
  <c r="I175" i="50" s="1"/>
  <c r="G175" i="50"/>
  <c r="P166" i="29"/>
  <c r="T166" i="29" s="1"/>
  <c r="U174" i="29"/>
  <c r="I183" i="50" s="1"/>
  <c r="G183" i="50"/>
  <c r="P174" i="29"/>
  <c r="T174" i="29" s="1"/>
  <c r="U182" i="29"/>
  <c r="I191" i="50" s="1"/>
  <c r="G191" i="50"/>
  <c r="P182" i="29"/>
  <c r="T182" i="29" s="1"/>
  <c r="G166" i="50"/>
  <c r="P157" i="29"/>
  <c r="T157" i="29" s="1"/>
  <c r="U157" i="29"/>
  <c r="I166" i="50" s="1"/>
  <c r="G174" i="50"/>
  <c r="P165" i="29"/>
  <c r="T165" i="29" s="1"/>
  <c r="U165" i="29"/>
  <c r="I174" i="50" s="1"/>
  <c r="G182" i="50"/>
  <c r="P173" i="29"/>
  <c r="T173" i="29" s="1"/>
  <c r="U173" i="29"/>
  <c r="I182" i="50" s="1"/>
  <c r="G190" i="50"/>
  <c r="P181" i="29"/>
  <c r="T181" i="29" s="1"/>
  <c r="U181" i="29"/>
  <c r="I190" i="50" s="1"/>
  <c r="R6" i="48"/>
  <c r="M7" i="48"/>
  <c r="O7" i="48" s="1"/>
  <c r="S6" i="48"/>
  <c r="A33" i="50"/>
  <c r="O32" i="50"/>
  <c r="I31" i="50"/>
  <c r="J42" i="30"/>
  <c r="AZ24" i="29"/>
  <c r="BH24" i="29"/>
  <c r="K52" i="30"/>
  <c r="J41" i="50"/>
  <c r="G41" i="50"/>
  <c r="H52" i="30"/>
  <c r="P32" i="29"/>
  <c r="T32" i="29" s="1"/>
  <c r="U32" i="29"/>
  <c r="K60" i="30"/>
  <c r="J49" i="50"/>
  <c r="K55" i="30"/>
  <c r="J44" i="50"/>
  <c r="H55" i="30"/>
  <c r="G44" i="50"/>
  <c r="P35" i="29"/>
  <c r="T35" i="29" s="1"/>
  <c r="U35" i="29"/>
  <c r="H42" i="30"/>
  <c r="G31" i="50"/>
  <c r="P22" i="29"/>
  <c r="T22" i="29" s="1"/>
  <c r="W22" i="29" s="1"/>
  <c r="AC22" i="29" s="1"/>
  <c r="BH65" i="29"/>
  <c r="AZ65" i="29"/>
  <c r="AZ48" i="29"/>
  <c r="BH48" i="29"/>
  <c r="G57" i="50"/>
  <c r="H68" i="30"/>
  <c r="P48" i="29"/>
  <c r="T48" i="29" s="1"/>
  <c r="U48" i="29"/>
  <c r="K76" i="30"/>
  <c r="J65" i="50"/>
  <c r="N86" i="50"/>
  <c r="T86" i="50"/>
  <c r="U86" i="50" s="1"/>
  <c r="G94" i="50"/>
  <c r="N94" i="50" s="1"/>
  <c r="P85" i="29"/>
  <c r="T85" i="29" s="1"/>
  <c r="W85" i="29" s="1"/>
  <c r="AC85" i="29" s="1"/>
  <c r="BH101" i="29"/>
  <c r="AZ101" i="29"/>
  <c r="N118" i="50"/>
  <c r="T118" i="50"/>
  <c r="U118" i="50" s="1"/>
  <c r="G91" i="50"/>
  <c r="T91" i="50" s="1"/>
  <c r="U91" i="50" s="1"/>
  <c r="P82" i="29"/>
  <c r="T82" i="29" s="1"/>
  <c r="W82" i="29" s="1"/>
  <c r="AC82" i="29" s="1"/>
  <c r="G99" i="50"/>
  <c r="T99" i="50" s="1"/>
  <c r="U99" i="50" s="1"/>
  <c r="P90" i="29"/>
  <c r="T90" i="29" s="1"/>
  <c r="W90" i="29" s="1"/>
  <c r="AC90" i="29" s="1"/>
  <c r="P98" i="29"/>
  <c r="T98" i="29" s="1"/>
  <c r="W98" i="29" s="1"/>
  <c r="AC98" i="29" s="1"/>
  <c r="G107" i="50"/>
  <c r="N107" i="50" s="1"/>
  <c r="BH128" i="29"/>
  <c r="AZ128" i="29"/>
  <c r="AZ167" i="29"/>
  <c r="BH167" i="29"/>
  <c r="BH175" i="29"/>
  <c r="AZ175" i="29"/>
  <c r="U97" i="29"/>
  <c r="I106" i="50" s="1"/>
  <c r="T197" i="50" l="1"/>
  <c r="U197" i="50" s="1"/>
  <c r="N158" i="50"/>
  <c r="T164" i="50"/>
  <c r="U164" i="50" s="1"/>
  <c r="N188" i="50"/>
  <c r="W164" i="29"/>
  <c r="AC164" i="29" s="1"/>
  <c r="N157" i="50"/>
  <c r="N125" i="50"/>
  <c r="W125" i="29"/>
  <c r="AC125" i="29" s="1"/>
  <c r="T123" i="50"/>
  <c r="U123" i="50" s="1"/>
  <c r="T188" i="50"/>
  <c r="U188" i="50" s="1"/>
  <c r="T153" i="50"/>
  <c r="U153" i="50" s="1"/>
  <c r="N126" i="50"/>
  <c r="T113" i="50"/>
  <c r="U113" i="50" s="1"/>
  <c r="N78" i="50"/>
  <c r="T168" i="50"/>
  <c r="U168" i="50" s="1"/>
  <c r="N153" i="50"/>
  <c r="N197" i="50"/>
  <c r="T125" i="50"/>
  <c r="U125" i="50" s="1"/>
  <c r="T112" i="50"/>
  <c r="U112" i="50" s="1"/>
  <c r="N164" i="50"/>
  <c r="T156" i="50"/>
  <c r="U156" i="50" s="1"/>
  <c r="T95" i="50"/>
  <c r="U95" i="50" s="1"/>
  <c r="N120" i="50"/>
  <c r="N150" i="50"/>
  <c r="N95" i="50"/>
  <c r="N156" i="50"/>
  <c r="N148" i="50"/>
  <c r="N145" i="50"/>
  <c r="T115" i="50"/>
  <c r="U115" i="50" s="1"/>
  <c r="T120" i="50"/>
  <c r="U120" i="50" s="1"/>
  <c r="N192" i="50"/>
  <c r="N161" i="50"/>
  <c r="N129" i="50"/>
  <c r="T144" i="50"/>
  <c r="U144" i="50" s="1"/>
  <c r="N168" i="50"/>
  <c r="N165" i="50"/>
  <c r="T83" i="50"/>
  <c r="U83" i="50" s="1"/>
  <c r="T78" i="50"/>
  <c r="U78" i="50" s="1"/>
  <c r="T166" i="50"/>
  <c r="U166" i="50" s="1"/>
  <c r="N135" i="50"/>
  <c r="T179" i="50"/>
  <c r="U179" i="50" s="1"/>
  <c r="T185" i="50"/>
  <c r="U185" i="50" s="1"/>
  <c r="N146" i="50"/>
  <c r="N84" i="50"/>
  <c r="N106" i="50"/>
  <c r="N115" i="50"/>
  <c r="W73" i="29"/>
  <c r="AC73" i="29" s="1"/>
  <c r="W161" i="29"/>
  <c r="AC161" i="29" s="1"/>
  <c r="T152" i="50"/>
  <c r="U152" i="50" s="1"/>
  <c r="T140" i="50"/>
  <c r="U140" i="50" s="1"/>
  <c r="W69" i="29"/>
  <c r="AC69" i="29" s="1"/>
  <c r="T196" i="50"/>
  <c r="U196" i="50" s="1"/>
  <c r="N180" i="50"/>
  <c r="T192" i="50"/>
  <c r="U192" i="50" s="1"/>
  <c r="T161" i="50"/>
  <c r="U161" i="50" s="1"/>
  <c r="T145" i="50"/>
  <c r="U145" i="50" s="1"/>
  <c r="T129" i="50"/>
  <c r="U129" i="50" s="1"/>
  <c r="N189" i="50"/>
  <c r="N142" i="50"/>
  <c r="T82" i="50"/>
  <c r="U82" i="50" s="1"/>
  <c r="T170" i="50"/>
  <c r="U170" i="50" s="1"/>
  <c r="W178" i="29"/>
  <c r="AC178" i="29" s="1"/>
  <c r="T132" i="50"/>
  <c r="U132" i="50" s="1"/>
  <c r="N111" i="50"/>
  <c r="N181" i="50"/>
  <c r="N149" i="50"/>
  <c r="T133" i="50"/>
  <c r="U133" i="50" s="1"/>
  <c r="W130" i="29"/>
  <c r="AC130" i="29" s="1"/>
  <c r="W167" i="29"/>
  <c r="AC167" i="29" s="1"/>
  <c r="W136" i="29"/>
  <c r="AC136" i="29" s="1"/>
  <c r="W24" i="29"/>
  <c r="AC24" i="29" s="1"/>
  <c r="N83" i="50"/>
  <c r="W62" i="29"/>
  <c r="AC62" i="29" s="1"/>
  <c r="W54" i="29"/>
  <c r="AC54" i="29" s="1"/>
  <c r="W66" i="29"/>
  <c r="AC66" i="29" s="1"/>
  <c r="W58" i="29"/>
  <c r="AC58" i="29" s="1"/>
  <c r="T175" i="50"/>
  <c r="U175" i="50" s="1"/>
  <c r="W187" i="29"/>
  <c r="AC187" i="29" s="1"/>
  <c r="W150" i="29"/>
  <c r="AC150" i="29" s="1"/>
  <c r="W118" i="29"/>
  <c r="AC118" i="29" s="1"/>
  <c r="W169" i="29"/>
  <c r="AC169" i="29" s="1"/>
  <c r="W138" i="29"/>
  <c r="AC138" i="29" s="1"/>
  <c r="T139" i="50"/>
  <c r="U139" i="50" s="1"/>
  <c r="W26" i="29"/>
  <c r="AC26" i="29" s="1"/>
  <c r="W29" i="29"/>
  <c r="AC29" i="29" s="1"/>
  <c r="W175" i="29"/>
  <c r="AC175" i="29" s="1"/>
  <c r="N176" i="50"/>
  <c r="W184" i="29"/>
  <c r="AC184" i="29" s="1"/>
  <c r="W144" i="29"/>
  <c r="AC144" i="29" s="1"/>
  <c r="W145" i="29"/>
  <c r="AC145" i="29" s="1"/>
  <c r="T102" i="50"/>
  <c r="U102" i="50" s="1"/>
  <c r="W65" i="29"/>
  <c r="AC65" i="29" s="1"/>
  <c r="W91" i="29"/>
  <c r="AC91" i="29" s="1"/>
  <c r="W27" i="29"/>
  <c r="AC27" i="29" s="1"/>
  <c r="W55" i="29"/>
  <c r="AC55" i="29" s="1"/>
  <c r="W181" i="29"/>
  <c r="AC181" i="29" s="1"/>
  <c r="W32" i="29"/>
  <c r="AC32" i="29" s="1"/>
  <c r="N190" i="50"/>
  <c r="T167" i="50"/>
  <c r="U167" i="50" s="1"/>
  <c r="N159" i="50"/>
  <c r="N127" i="50"/>
  <c r="W105" i="29"/>
  <c r="AC105" i="29" s="1"/>
  <c r="N178" i="50"/>
  <c r="N187" i="50"/>
  <c r="N147" i="50"/>
  <c r="T184" i="50"/>
  <c r="U184" i="50" s="1"/>
  <c r="N193" i="50"/>
  <c r="T154" i="50"/>
  <c r="U154" i="50" s="1"/>
  <c r="T100" i="50"/>
  <c r="U100" i="50" s="1"/>
  <c r="W39" i="29"/>
  <c r="AC39" i="29" s="1"/>
  <c r="T104" i="50"/>
  <c r="U104" i="50" s="1"/>
  <c r="W51" i="29"/>
  <c r="AC51" i="29" s="1"/>
  <c r="T108" i="50"/>
  <c r="U108" i="50" s="1"/>
  <c r="T79" i="50"/>
  <c r="U79" i="50" s="1"/>
  <c r="W21" i="29"/>
  <c r="AC21" i="29" s="1"/>
  <c r="W76" i="29"/>
  <c r="AC76" i="29" s="1"/>
  <c r="T124" i="50"/>
  <c r="U124" i="50" s="1"/>
  <c r="N93" i="50"/>
  <c r="W103" i="29"/>
  <c r="AC103" i="29" s="1"/>
  <c r="T85" i="50"/>
  <c r="U85" i="50" s="1"/>
  <c r="W67" i="29"/>
  <c r="AC67" i="29" s="1"/>
  <c r="W156" i="29"/>
  <c r="AC156" i="29" s="1"/>
  <c r="W124" i="29"/>
  <c r="AC124" i="29" s="1"/>
  <c r="W53" i="29"/>
  <c r="AC53" i="29" s="1"/>
  <c r="N31" i="50"/>
  <c r="W173" i="29"/>
  <c r="AC173" i="29" s="1"/>
  <c r="N174" i="50"/>
  <c r="W182" i="29"/>
  <c r="AC182" i="29" s="1"/>
  <c r="T183" i="50"/>
  <c r="U183" i="50" s="1"/>
  <c r="W142" i="29"/>
  <c r="AC142" i="29" s="1"/>
  <c r="T143" i="50"/>
  <c r="U143" i="50" s="1"/>
  <c r="W41" i="29"/>
  <c r="AC41" i="29" s="1"/>
  <c r="T114" i="50"/>
  <c r="U114" i="50" s="1"/>
  <c r="N186" i="50"/>
  <c r="N195" i="50"/>
  <c r="T155" i="50"/>
  <c r="U155" i="50" s="1"/>
  <c r="N76" i="50"/>
  <c r="T169" i="50"/>
  <c r="U169" i="50" s="1"/>
  <c r="N162" i="50"/>
  <c r="T130" i="50"/>
  <c r="U130" i="50" s="1"/>
  <c r="W93" i="29"/>
  <c r="AC93" i="29" s="1"/>
  <c r="N101" i="50"/>
  <c r="W64" i="29"/>
  <c r="AC64" i="29" s="1"/>
  <c r="N87" i="50"/>
  <c r="W61" i="29"/>
  <c r="AC61" i="29" s="1"/>
  <c r="N112" i="50"/>
  <c r="W75" i="29"/>
  <c r="AC75" i="29" s="1"/>
  <c r="W172" i="29"/>
  <c r="AC172" i="29" s="1"/>
  <c r="W133" i="29"/>
  <c r="AC133" i="29" s="1"/>
  <c r="W131" i="29"/>
  <c r="AC131" i="29" s="1"/>
  <c r="N182" i="50"/>
  <c r="T191" i="50"/>
  <c r="U191" i="50" s="1"/>
  <c r="W158" i="29"/>
  <c r="AC158" i="29" s="1"/>
  <c r="N151" i="50"/>
  <c r="T106" i="50"/>
  <c r="U106" i="50" s="1"/>
  <c r="N194" i="50"/>
  <c r="W170" i="29"/>
  <c r="AC170" i="29" s="1"/>
  <c r="N171" i="50"/>
  <c r="N163" i="50"/>
  <c r="T131" i="50"/>
  <c r="U131" i="50" s="1"/>
  <c r="W176" i="29"/>
  <c r="AC176" i="29" s="1"/>
  <c r="N177" i="50"/>
  <c r="T137" i="50"/>
  <c r="U137" i="50" s="1"/>
  <c r="W115" i="29"/>
  <c r="AC115" i="29" s="1"/>
  <c r="W137" i="29"/>
  <c r="AC137" i="29" s="1"/>
  <c r="T138" i="50"/>
  <c r="U138" i="50" s="1"/>
  <c r="N102" i="50"/>
  <c r="T90" i="50"/>
  <c r="U90" i="50" s="1"/>
  <c r="W99" i="29"/>
  <c r="AC99" i="29" s="1"/>
  <c r="T80" i="50"/>
  <c r="U80" i="50" s="1"/>
  <c r="W20" i="29"/>
  <c r="AC20" i="29" s="1"/>
  <c r="W139" i="29"/>
  <c r="AC139" i="29" s="1"/>
  <c r="W143" i="29"/>
  <c r="AC143" i="29" s="1"/>
  <c r="W106" i="29"/>
  <c r="AC106" i="29" s="1"/>
  <c r="CL12" i="29"/>
  <c r="CM12" i="29" s="1"/>
  <c r="CK13" i="29"/>
  <c r="M8" i="48"/>
  <c r="R7" i="48"/>
  <c r="O8" i="48"/>
  <c r="S8" i="48"/>
  <c r="T8" i="48" s="1"/>
  <c r="J66" i="30"/>
  <c r="I55" i="50"/>
  <c r="T55" i="50" s="1"/>
  <c r="U55" i="50" s="1"/>
  <c r="I61" i="50"/>
  <c r="N61" i="50" s="1"/>
  <c r="J72" i="30"/>
  <c r="T88" i="50"/>
  <c r="U88" i="50" s="1"/>
  <c r="BA74" i="29"/>
  <c r="BB74" i="29" s="1"/>
  <c r="BQ74" i="29"/>
  <c r="T94" i="50"/>
  <c r="U94" i="50" s="1"/>
  <c r="T31" i="50"/>
  <c r="U31" i="50" s="1"/>
  <c r="BA182" i="29"/>
  <c r="BB182" i="29" s="1"/>
  <c r="BQ182" i="29"/>
  <c r="T119" i="50"/>
  <c r="U119" i="50" s="1"/>
  <c r="BQ127" i="29"/>
  <c r="BA127" i="29"/>
  <c r="BB127" i="29" s="1"/>
  <c r="T89" i="50"/>
  <c r="U89" i="50" s="1"/>
  <c r="BQ107" i="29"/>
  <c r="BA107" i="29"/>
  <c r="BB107" i="29" s="1"/>
  <c r="BA75" i="29"/>
  <c r="BB75" i="29" s="1"/>
  <c r="BQ75" i="29"/>
  <c r="T111" i="50"/>
  <c r="U111" i="50" s="1"/>
  <c r="N114" i="50"/>
  <c r="W81" i="29"/>
  <c r="AC81" i="29" s="1"/>
  <c r="J64" i="30"/>
  <c r="I53" i="50"/>
  <c r="N53" i="50" s="1"/>
  <c r="I45" i="50"/>
  <c r="J56" i="30"/>
  <c r="T195" i="50"/>
  <c r="U195" i="50" s="1"/>
  <c r="BQ170" i="29"/>
  <c r="BA170" i="29"/>
  <c r="BB170" i="29" s="1"/>
  <c r="T121" i="50"/>
  <c r="U121" i="50" s="1"/>
  <c r="BQ147" i="29"/>
  <c r="BA147" i="29"/>
  <c r="BB147" i="29" s="1"/>
  <c r="BA114" i="29"/>
  <c r="BB114" i="29" s="1"/>
  <c r="BQ114" i="29"/>
  <c r="W84" i="29"/>
  <c r="AC84" i="29" s="1"/>
  <c r="BQ79" i="29"/>
  <c r="BA79" i="29"/>
  <c r="BB79" i="29" s="1"/>
  <c r="U8" i="29"/>
  <c r="G28" i="30"/>
  <c r="F17" i="50"/>
  <c r="M8" i="29"/>
  <c r="AY8" i="29"/>
  <c r="K27" i="30"/>
  <c r="J16" i="50"/>
  <c r="AB7" i="29"/>
  <c r="N185" i="50"/>
  <c r="N169" i="50"/>
  <c r="T162" i="50"/>
  <c r="U162" i="50" s="1"/>
  <c r="BA137" i="29"/>
  <c r="BB137" i="29" s="1"/>
  <c r="BQ137" i="29"/>
  <c r="T107" i="50"/>
  <c r="U107" i="50" s="1"/>
  <c r="BA82" i="29"/>
  <c r="BB82" i="29" s="1"/>
  <c r="BQ82" i="29"/>
  <c r="I66" i="50"/>
  <c r="J77" i="30"/>
  <c r="T182" i="50"/>
  <c r="U182" i="50" s="1"/>
  <c r="N183" i="50"/>
  <c r="BQ158" i="29"/>
  <c r="BA158" i="29"/>
  <c r="BB158" i="29" s="1"/>
  <c r="BQ142" i="29"/>
  <c r="BA142" i="29"/>
  <c r="BB142" i="29" s="1"/>
  <c r="BA110" i="29"/>
  <c r="BB110" i="29" s="1"/>
  <c r="BQ110" i="29"/>
  <c r="T97" i="50"/>
  <c r="U97" i="50" s="1"/>
  <c r="N100" i="50"/>
  <c r="BQ62" i="29"/>
  <c r="BA62" i="29"/>
  <c r="BB62" i="29" s="1"/>
  <c r="I42" i="50"/>
  <c r="J53" i="30"/>
  <c r="I34" i="50"/>
  <c r="J45" i="30"/>
  <c r="BA116" i="29"/>
  <c r="BB116" i="29" s="1"/>
  <c r="BQ116" i="29"/>
  <c r="W78" i="29"/>
  <c r="AC78" i="29" s="1"/>
  <c r="BA105" i="29"/>
  <c r="BB105" i="29" s="1"/>
  <c r="BQ105" i="29"/>
  <c r="N90" i="50"/>
  <c r="J51" i="30"/>
  <c r="I40" i="50"/>
  <c r="BA31" i="29"/>
  <c r="BB31" i="29" s="1"/>
  <c r="BQ31" i="29"/>
  <c r="J48" i="30"/>
  <c r="I37" i="50"/>
  <c r="T194" i="50"/>
  <c r="U194" i="50" s="1"/>
  <c r="T178" i="50"/>
  <c r="U178" i="50" s="1"/>
  <c r="N179" i="50"/>
  <c r="T147" i="50"/>
  <c r="U147" i="50" s="1"/>
  <c r="N131" i="50"/>
  <c r="T93" i="50"/>
  <c r="U93" i="50" s="1"/>
  <c r="N104" i="50"/>
  <c r="T76" i="50"/>
  <c r="U76" i="50" s="1"/>
  <c r="J62" i="30"/>
  <c r="I51" i="50"/>
  <c r="N51" i="50" s="1"/>
  <c r="BA42" i="29"/>
  <c r="BB42" i="29" s="1"/>
  <c r="BQ42" i="29"/>
  <c r="BQ185" i="29"/>
  <c r="BA185" i="29"/>
  <c r="BB185" i="29" s="1"/>
  <c r="N170" i="50"/>
  <c r="N155" i="50"/>
  <c r="T101" i="50"/>
  <c r="U101" i="50" s="1"/>
  <c r="W79" i="29"/>
  <c r="AC79" i="29" s="1"/>
  <c r="BA50" i="29"/>
  <c r="BB50" i="29" s="1"/>
  <c r="BQ50" i="29"/>
  <c r="BQ59" i="29"/>
  <c r="BA59" i="29"/>
  <c r="BB59" i="29" s="1"/>
  <c r="J57" i="30"/>
  <c r="I46" i="50"/>
  <c r="BA26" i="29"/>
  <c r="BB26" i="29" s="1"/>
  <c r="BQ26" i="29"/>
  <c r="N184" i="50"/>
  <c r="BQ144" i="29"/>
  <c r="BA144" i="29"/>
  <c r="BB144" i="29" s="1"/>
  <c r="N137" i="50"/>
  <c r="BA115" i="29"/>
  <c r="BB115" i="29" s="1"/>
  <c r="BQ115" i="29"/>
  <c r="N138" i="50"/>
  <c r="BA90" i="29"/>
  <c r="BB90" i="29" s="1"/>
  <c r="BQ90" i="29"/>
  <c r="BQ32" i="29"/>
  <c r="BA32" i="29"/>
  <c r="BB32" i="29" s="1"/>
  <c r="R17" i="50"/>
  <c r="BA181" i="29"/>
  <c r="BB181" i="29" s="1"/>
  <c r="BQ181" i="29"/>
  <c r="BQ118" i="29"/>
  <c r="BA118" i="29"/>
  <c r="BB118" i="29" s="1"/>
  <c r="BQ88" i="29"/>
  <c r="BA88" i="29"/>
  <c r="BB88" i="29" s="1"/>
  <c r="W107" i="29"/>
  <c r="AC107" i="29" s="1"/>
  <c r="BQ91" i="29"/>
  <c r="BA91" i="29"/>
  <c r="BB91" i="29" s="1"/>
  <c r="BA54" i="29"/>
  <c r="BB54" i="29" s="1"/>
  <c r="BQ54" i="29"/>
  <c r="I56" i="50"/>
  <c r="J67" i="30"/>
  <c r="BQ41" i="29"/>
  <c r="BA41" i="29"/>
  <c r="BB41" i="29" s="1"/>
  <c r="T87" i="50"/>
  <c r="U87" i="50" s="1"/>
  <c r="W97" i="29"/>
  <c r="AC97" i="29" s="1"/>
  <c r="BA81" i="29"/>
  <c r="BB81" i="29" s="1"/>
  <c r="BQ81" i="29"/>
  <c r="BA45" i="29"/>
  <c r="BB45" i="29" s="1"/>
  <c r="BQ45" i="29"/>
  <c r="BQ138" i="29"/>
  <c r="BA138" i="29"/>
  <c r="BB138" i="29" s="1"/>
  <c r="W114" i="29"/>
  <c r="AC114" i="29" s="1"/>
  <c r="N80" i="50"/>
  <c r="J70" i="30"/>
  <c r="I59" i="50"/>
  <c r="I43" i="50"/>
  <c r="J54" i="30"/>
  <c r="J55" i="30"/>
  <c r="I44" i="50"/>
  <c r="N44" i="50" s="1"/>
  <c r="BQ46" i="29"/>
  <c r="BA46" i="29"/>
  <c r="BB46" i="29" s="1"/>
  <c r="BQ172" i="29"/>
  <c r="BA172" i="29"/>
  <c r="BB172" i="29" s="1"/>
  <c r="BA39" i="29"/>
  <c r="BB39" i="29" s="1"/>
  <c r="BQ39" i="29"/>
  <c r="BQ175" i="29"/>
  <c r="BA175" i="29"/>
  <c r="BB175" i="29" s="1"/>
  <c r="BQ128" i="29"/>
  <c r="BA128" i="29"/>
  <c r="BB128" i="29" s="1"/>
  <c r="I57" i="50"/>
  <c r="T57" i="50" s="1"/>
  <c r="U57" i="50" s="1"/>
  <c r="J68" i="30"/>
  <c r="W35" i="29"/>
  <c r="AC35" i="29" s="1"/>
  <c r="BQ24" i="29"/>
  <c r="BA24" i="29"/>
  <c r="BB24" i="29" s="1"/>
  <c r="A34" i="50"/>
  <c r="O33" i="50"/>
  <c r="W157" i="29"/>
  <c r="AC157" i="29" s="1"/>
  <c r="W166" i="29"/>
  <c r="AC166" i="29" s="1"/>
  <c r="W126" i="29"/>
  <c r="AC126" i="29" s="1"/>
  <c r="BQ99" i="29"/>
  <c r="BA99" i="29"/>
  <c r="BB99" i="29" s="1"/>
  <c r="W46" i="29"/>
  <c r="AC46" i="29" s="1"/>
  <c r="W38" i="29"/>
  <c r="AC38" i="29" s="1"/>
  <c r="BQ38" i="29"/>
  <c r="BA38" i="29"/>
  <c r="BB38" i="29" s="1"/>
  <c r="BQ188" i="29"/>
  <c r="BA188" i="29"/>
  <c r="BB188" i="29" s="1"/>
  <c r="BA89" i="29"/>
  <c r="BB89" i="29" s="1"/>
  <c r="BQ89" i="29"/>
  <c r="W52" i="29"/>
  <c r="AC52" i="29" s="1"/>
  <c r="BA52" i="29"/>
  <c r="BB52" i="29" s="1"/>
  <c r="BQ52" i="29"/>
  <c r="J65" i="30"/>
  <c r="I54" i="50"/>
  <c r="N54" i="50" s="1"/>
  <c r="W177" i="29"/>
  <c r="AC177" i="29" s="1"/>
  <c r="W186" i="29"/>
  <c r="AC186" i="29" s="1"/>
  <c r="W146" i="29"/>
  <c r="AC146" i="29" s="1"/>
  <c r="BQ139" i="29"/>
  <c r="BA139" i="29"/>
  <c r="BB139" i="29" s="1"/>
  <c r="BQ100" i="29"/>
  <c r="BA100" i="29"/>
  <c r="BB100" i="29" s="1"/>
  <c r="BQ103" i="29"/>
  <c r="BA103" i="29"/>
  <c r="BB103" i="29" s="1"/>
  <c r="J79" i="30"/>
  <c r="I68" i="50"/>
  <c r="N68" i="50" s="1"/>
  <c r="W183" i="29"/>
  <c r="AC183" i="29" s="1"/>
  <c r="W160" i="29"/>
  <c r="AC160" i="29" s="1"/>
  <c r="W152" i="29"/>
  <c r="AC152" i="29" s="1"/>
  <c r="W120" i="29"/>
  <c r="AC120" i="29" s="1"/>
  <c r="W153" i="29"/>
  <c r="AC153" i="29" s="1"/>
  <c r="W121" i="29"/>
  <c r="AC121" i="29" s="1"/>
  <c r="BA77" i="29"/>
  <c r="BB77" i="29" s="1"/>
  <c r="BQ77" i="29"/>
  <c r="BQ166" i="29"/>
  <c r="BA166" i="29"/>
  <c r="BB166" i="29" s="1"/>
  <c r="BA106" i="29"/>
  <c r="BB106" i="29" s="1"/>
  <c r="BQ106" i="29"/>
  <c r="N92" i="50"/>
  <c r="I72" i="50"/>
  <c r="N72" i="50" s="1"/>
  <c r="J83" i="30"/>
  <c r="I39" i="50"/>
  <c r="T39" i="50" s="1"/>
  <c r="U39" i="50" s="1"/>
  <c r="J50" i="30"/>
  <c r="BQ187" i="29"/>
  <c r="BA187" i="29"/>
  <c r="BB187" i="29" s="1"/>
  <c r="BA171" i="29"/>
  <c r="BB171" i="29" s="1"/>
  <c r="BQ171" i="29"/>
  <c r="BQ156" i="29"/>
  <c r="BA156" i="29"/>
  <c r="BB156" i="29" s="1"/>
  <c r="BQ141" i="29"/>
  <c r="BA141" i="29"/>
  <c r="BB141" i="29" s="1"/>
  <c r="BQ86" i="29"/>
  <c r="BA86" i="29"/>
  <c r="BB86" i="29" s="1"/>
  <c r="W44" i="29"/>
  <c r="AC44" i="29" s="1"/>
  <c r="BQ44" i="29"/>
  <c r="BA44" i="29"/>
  <c r="BB44" i="29" s="1"/>
  <c r="W36" i="29"/>
  <c r="AC36" i="29" s="1"/>
  <c r="BA36" i="29"/>
  <c r="BB36" i="29" s="1"/>
  <c r="BQ36" i="29"/>
  <c r="BQ111" i="29"/>
  <c r="BA111" i="29"/>
  <c r="BB111" i="29" s="1"/>
  <c r="N96" i="50"/>
  <c r="Q8" i="29"/>
  <c r="R28" i="30" s="1"/>
  <c r="I27" i="30"/>
  <c r="H16" i="50"/>
  <c r="BA184" i="29"/>
  <c r="BB184" i="29" s="1"/>
  <c r="BQ184" i="29"/>
  <c r="T177" i="50"/>
  <c r="U177" i="50" s="1"/>
  <c r="N124" i="50"/>
  <c r="N154" i="50"/>
  <c r="T117" i="50"/>
  <c r="U117" i="50" s="1"/>
  <c r="N99" i="50"/>
  <c r="BQ85" i="29"/>
  <c r="BA85" i="29"/>
  <c r="BB85" i="29" s="1"/>
  <c r="W57" i="29"/>
  <c r="AC57" i="29" s="1"/>
  <c r="BQ157" i="29"/>
  <c r="BA157" i="29"/>
  <c r="BB157" i="29" s="1"/>
  <c r="BQ126" i="29"/>
  <c r="BA126" i="29"/>
  <c r="BB126" i="29" s="1"/>
  <c r="BQ83" i="29"/>
  <c r="BA83" i="29"/>
  <c r="BB83" i="29" s="1"/>
  <c r="BQ47" i="29"/>
  <c r="BA47" i="29"/>
  <c r="BB47" i="29" s="1"/>
  <c r="W33" i="29"/>
  <c r="AC33" i="29" s="1"/>
  <c r="W25" i="29"/>
  <c r="AC25" i="29" s="1"/>
  <c r="BQ25" i="29"/>
  <c r="BA25" i="29"/>
  <c r="BB25" i="29" s="1"/>
  <c r="I30" i="50"/>
  <c r="J41" i="30"/>
  <c r="BQ132" i="29"/>
  <c r="BA132" i="29"/>
  <c r="BB132" i="29" s="1"/>
  <c r="BA102" i="29"/>
  <c r="BB102" i="29" s="1"/>
  <c r="BQ102" i="29"/>
  <c r="BA68" i="29"/>
  <c r="BB68" i="29" s="1"/>
  <c r="BQ68" i="29"/>
  <c r="BQ53" i="29"/>
  <c r="BA53" i="29"/>
  <c r="BB53" i="29" s="1"/>
  <c r="W31" i="29"/>
  <c r="AC31" i="29" s="1"/>
  <c r="W28" i="29"/>
  <c r="AC28" i="29" s="1"/>
  <c r="BQ186" i="29"/>
  <c r="BA186" i="29"/>
  <c r="BB186" i="29" s="1"/>
  <c r="BQ154" i="29"/>
  <c r="BA154" i="29"/>
  <c r="BB154" i="29" s="1"/>
  <c r="BA155" i="29"/>
  <c r="BB155" i="29" s="1"/>
  <c r="BQ155" i="29"/>
  <c r="BQ87" i="29"/>
  <c r="BA87" i="29"/>
  <c r="BB87" i="29" s="1"/>
  <c r="J63" i="30"/>
  <c r="I52" i="50"/>
  <c r="BQ37" i="29"/>
  <c r="BA37" i="29"/>
  <c r="BB37" i="29" s="1"/>
  <c r="W42" i="29"/>
  <c r="AC42" i="29" s="1"/>
  <c r="BQ169" i="29"/>
  <c r="BA169" i="29"/>
  <c r="BB169" i="29" s="1"/>
  <c r="T163" i="50"/>
  <c r="U163" i="50" s="1"/>
  <c r="N139" i="50"/>
  <c r="W37" i="29"/>
  <c r="AC37" i="29" s="1"/>
  <c r="BQ183" i="29"/>
  <c r="BA183" i="29"/>
  <c r="BB183" i="29" s="1"/>
  <c r="T176" i="50"/>
  <c r="U176" i="50" s="1"/>
  <c r="T193" i="50"/>
  <c r="U193" i="50" s="1"/>
  <c r="BA168" i="29"/>
  <c r="BB168" i="29" s="1"/>
  <c r="BQ168" i="29"/>
  <c r="BQ152" i="29"/>
  <c r="BA152" i="29"/>
  <c r="BB152" i="29" s="1"/>
  <c r="BA120" i="29"/>
  <c r="BB120" i="29" s="1"/>
  <c r="BQ120" i="29"/>
  <c r="BA153" i="29"/>
  <c r="BB153" i="29" s="1"/>
  <c r="BQ153" i="29"/>
  <c r="T146" i="50"/>
  <c r="U146" i="50" s="1"/>
  <c r="N130" i="50"/>
  <c r="N110" i="50"/>
  <c r="J76" i="30"/>
  <c r="I65" i="50"/>
  <c r="I49" i="50"/>
  <c r="J60" i="30"/>
  <c r="BA40" i="29"/>
  <c r="BB40" i="29" s="1"/>
  <c r="BQ40" i="29"/>
  <c r="N166" i="50"/>
  <c r="T151" i="50"/>
  <c r="U151" i="50" s="1"/>
  <c r="T135" i="50"/>
  <c r="U135" i="50" s="1"/>
  <c r="N79" i="50"/>
  <c r="W47" i="29"/>
  <c r="AC47" i="29" s="1"/>
  <c r="W163" i="29"/>
  <c r="AC163" i="29" s="1"/>
  <c r="W132" i="29"/>
  <c r="AC132" i="29" s="1"/>
  <c r="W104" i="29"/>
  <c r="AC104" i="29" s="1"/>
  <c r="W94" i="29"/>
  <c r="AC94" i="29" s="1"/>
  <c r="I69" i="50"/>
  <c r="J80" i="30"/>
  <c r="BQ60" i="29"/>
  <c r="BA60" i="29"/>
  <c r="BB60" i="29" s="1"/>
  <c r="W50" i="29"/>
  <c r="AC50" i="29" s="1"/>
  <c r="W34" i="29"/>
  <c r="AC34" i="29" s="1"/>
  <c r="BQ167" i="29"/>
  <c r="BA167" i="29"/>
  <c r="BB167" i="29" s="1"/>
  <c r="BQ96" i="29"/>
  <c r="BA96" i="29"/>
  <c r="BB96" i="29" s="1"/>
  <c r="I47" i="50"/>
  <c r="N47" i="50" s="1"/>
  <c r="J58" i="30"/>
  <c r="BQ125" i="29"/>
  <c r="BA125" i="29"/>
  <c r="BB125" i="29" s="1"/>
  <c r="W48" i="29"/>
  <c r="AC48" i="29" s="1"/>
  <c r="BA48" i="29"/>
  <c r="BB48" i="29" s="1"/>
  <c r="BQ48" i="29"/>
  <c r="I41" i="50"/>
  <c r="T41" i="50" s="1"/>
  <c r="U41" i="50" s="1"/>
  <c r="J52" i="30"/>
  <c r="U6" i="48"/>
  <c r="U7" i="48" s="1"/>
  <c r="U8" i="48" s="1"/>
  <c r="T6" i="48"/>
  <c r="W165" i="29"/>
  <c r="AC165" i="29" s="1"/>
  <c r="W174" i="29"/>
  <c r="AC174" i="29" s="1"/>
  <c r="W134" i="29"/>
  <c r="AC134" i="29" s="1"/>
  <c r="BQ70" i="29"/>
  <c r="BA70" i="29"/>
  <c r="BB70" i="29" s="1"/>
  <c r="J61" i="30"/>
  <c r="I50" i="50"/>
  <c r="T50" i="50" s="1"/>
  <c r="U50" i="50" s="1"/>
  <c r="BA30" i="29"/>
  <c r="BB30" i="29" s="1"/>
  <c r="BQ30" i="29"/>
  <c r="BQ164" i="29"/>
  <c r="BA164" i="29"/>
  <c r="BB164" i="29" s="1"/>
  <c r="W45" i="29"/>
  <c r="AC45" i="29" s="1"/>
  <c r="G17" i="50"/>
  <c r="H28" i="30"/>
  <c r="AA10" i="48"/>
  <c r="S9" i="48"/>
  <c r="T9" i="48" s="1"/>
  <c r="C10" i="48"/>
  <c r="Q9" i="48"/>
  <c r="W185" i="29"/>
  <c r="AC185" i="29" s="1"/>
  <c r="W162" i="29"/>
  <c r="AC162" i="29" s="1"/>
  <c r="W154" i="29"/>
  <c r="AC154" i="29" s="1"/>
  <c r="W122" i="29"/>
  <c r="AC122" i="29" s="1"/>
  <c r="BQ131" i="29"/>
  <c r="BA131" i="29"/>
  <c r="BB131" i="29" s="1"/>
  <c r="W59" i="29"/>
  <c r="AC59" i="29" s="1"/>
  <c r="BQ29" i="29"/>
  <c r="BA29" i="29"/>
  <c r="BB29" i="29" s="1"/>
  <c r="W159" i="29"/>
  <c r="AC159" i="29" s="1"/>
  <c r="W168" i="29"/>
  <c r="AC168" i="29" s="1"/>
  <c r="W128" i="29"/>
  <c r="AC128" i="29" s="1"/>
  <c r="W129" i="29"/>
  <c r="AC129" i="29" s="1"/>
  <c r="N91" i="50"/>
  <c r="BA109" i="29"/>
  <c r="BB109" i="29" s="1"/>
  <c r="BQ109" i="29"/>
  <c r="BA57" i="29"/>
  <c r="BB57" i="29" s="1"/>
  <c r="BQ57" i="29"/>
  <c r="J44" i="30"/>
  <c r="I33" i="50"/>
  <c r="N33" i="50" s="1"/>
  <c r="BA174" i="29"/>
  <c r="BB174" i="29" s="1"/>
  <c r="BQ174" i="29"/>
  <c r="N167" i="50"/>
  <c r="BQ135" i="29"/>
  <c r="BA135" i="29"/>
  <c r="BB135" i="29" s="1"/>
  <c r="BQ72" i="29"/>
  <c r="BA72" i="29"/>
  <c r="BB72" i="29" s="1"/>
  <c r="W63" i="29"/>
  <c r="AC63" i="29" s="1"/>
  <c r="BQ33" i="29"/>
  <c r="BA33" i="29"/>
  <c r="BB33" i="29" s="1"/>
  <c r="W30" i="29"/>
  <c r="AC30" i="29" s="1"/>
  <c r="BQ179" i="29"/>
  <c r="BA179" i="29"/>
  <c r="BB179" i="29" s="1"/>
  <c r="BQ180" i="29"/>
  <c r="BA180" i="29"/>
  <c r="BB180" i="29" s="1"/>
  <c r="BA148" i="29"/>
  <c r="BB148" i="29" s="1"/>
  <c r="BQ148" i="29"/>
  <c r="BQ149" i="29"/>
  <c r="BA149" i="29"/>
  <c r="BB149" i="29" s="1"/>
  <c r="T103" i="50"/>
  <c r="U103" i="50" s="1"/>
  <c r="BQ97" i="29"/>
  <c r="BA97" i="29"/>
  <c r="BB97" i="29" s="1"/>
  <c r="N82" i="50"/>
  <c r="BQ61" i="29"/>
  <c r="BA61" i="29"/>
  <c r="BB61" i="29" s="1"/>
  <c r="J59" i="30"/>
  <c r="I48" i="50"/>
  <c r="N48" i="50" s="1"/>
  <c r="BQ28" i="29"/>
  <c r="BA28" i="29"/>
  <c r="BB28" i="29" s="1"/>
  <c r="AJ9" i="29"/>
  <c r="W92" i="29"/>
  <c r="AC92" i="29" s="1"/>
  <c r="N85" i="50"/>
  <c r="W95" i="29"/>
  <c r="AC95" i="29" s="1"/>
  <c r="BQ129" i="29"/>
  <c r="BA129" i="29"/>
  <c r="BB129" i="29" s="1"/>
  <c r="I73" i="50"/>
  <c r="J84" i="30"/>
  <c r="BQ64" i="29"/>
  <c r="BA64" i="29"/>
  <c r="BB64" i="29" s="1"/>
  <c r="I36" i="50"/>
  <c r="J47" i="30"/>
  <c r="T190" i="50"/>
  <c r="U190" i="50" s="1"/>
  <c r="T174" i="50"/>
  <c r="U174" i="50" s="1"/>
  <c r="N191" i="50"/>
  <c r="N175" i="50"/>
  <c r="T159" i="50"/>
  <c r="U159" i="50" s="1"/>
  <c r="N143" i="50"/>
  <c r="T127" i="50"/>
  <c r="U127" i="50" s="1"/>
  <c r="I64" i="50"/>
  <c r="J75" i="30"/>
  <c r="BQ163" i="29"/>
  <c r="BA163" i="29"/>
  <c r="BB163" i="29" s="1"/>
  <c r="BQ140" i="29"/>
  <c r="BA140" i="29"/>
  <c r="BB140" i="29" s="1"/>
  <c r="BQ104" i="29"/>
  <c r="BA104" i="29"/>
  <c r="BB104" i="29" s="1"/>
  <c r="T122" i="50"/>
  <c r="U122" i="50" s="1"/>
  <c r="I70" i="50"/>
  <c r="N70" i="50" s="1"/>
  <c r="J81" i="30"/>
  <c r="BQ20" i="29"/>
  <c r="BA20" i="29"/>
  <c r="BB20" i="29" s="1"/>
  <c r="T186" i="50"/>
  <c r="U186" i="50" s="1"/>
  <c r="BA161" i="29"/>
  <c r="BB161" i="29" s="1"/>
  <c r="BQ161" i="29"/>
  <c r="T187" i="50"/>
  <c r="U187" i="50" s="1"/>
  <c r="T171" i="50"/>
  <c r="U171" i="50" s="1"/>
  <c r="BQ146" i="29"/>
  <c r="BA146" i="29"/>
  <c r="BB146" i="29" s="1"/>
  <c r="BQ130" i="29"/>
  <c r="BA130" i="29"/>
  <c r="BB130" i="29" s="1"/>
  <c r="BQ76" i="29"/>
  <c r="BA76" i="29"/>
  <c r="BB76" i="29" s="1"/>
  <c r="J86" i="30"/>
  <c r="I75" i="50"/>
  <c r="N75" i="50" s="1"/>
  <c r="J78" i="30"/>
  <c r="I67" i="50"/>
  <c r="N67" i="50" s="1"/>
  <c r="BA58" i="29"/>
  <c r="BB58" i="29" s="1"/>
  <c r="BQ58" i="29"/>
  <c r="W43" i="29"/>
  <c r="AC43" i="29" s="1"/>
  <c r="BQ43" i="29"/>
  <c r="BA43" i="29"/>
  <c r="BB43" i="29" s="1"/>
  <c r="BQ34" i="29"/>
  <c r="BA34" i="29"/>
  <c r="BB34" i="29" s="1"/>
  <c r="J40" i="30"/>
  <c r="I29" i="50"/>
  <c r="N109" i="50"/>
  <c r="BQ67" i="29"/>
  <c r="BA67" i="29"/>
  <c r="BB67" i="29" s="1"/>
  <c r="J27" i="30"/>
  <c r="I16" i="50"/>
  <c r="BQ136" i="29"/>
  <c r="BA136" i="29"/>
  <c r="BB136" i="29" s="1"/>
  <c r="BA98" i="29"/>
  <c r="BB98" i="29" s="1"/>
  <c r="BQ98" i="29"/>
  <c r="W74" i="29"/>
  <c r="AC74" i="29" s="1"/>
  <c r="W56" i="29"/>
  <c r="AC56" i="29" s="1"/>
  <c r="BA56" i="29"/>
  <c r="BB56" i="29" s="1"/>
  <c r="BQ56" i="29"/>
  <c r="J69" i="30"/>
  <c r="I58" i="50"/>
  <c r="BA22" i="29"/>
  <c r="BB22" i="29" s="1"/>
  <c r="BQ22" i="29"/>
  <c r="W40" i="29"/>
  <c r="AC40" i="29" s="1"/>
  <c r="J15" i="46"/>
  <c r="BQ173" i="29"/>
  <c r="BA173" i="29"/>
  <c r="BB173" i="29" s="1"/>
  <c r="W127" i="29"/>
  <c r="AC127" i="29" s="1"/>
  <c r="T105" i="50"/>
  <c r="U105" i="50" s="1"/>
  <c r="N108" i="50"/>
  <c r="W171" i="29"/>
  <c r="AC171" i="29" s="1"/>
  <c r="W180" i="29"/>
  <c r="AC180" i="29" s="1"/>
  <c r="W140" i="29"/>
  <c r="AC140" i="29" s="1"/>
  <c r="W141" i="29"/>
  <c r="AC141" i="29" s="1"/>
  <c r="W102" i="29"/>
  <c r="AC102" i="29" s="1"/>
  <c r="W86" i="29"/>
  <c r="AC86" i="29" s="1"/>
  <c r="T98" i="50"/>
  <c r="U98" i="50" s="1"/>
  <c r="W60" i="29"/>
  <c r="AC60" i="29" s="1"/>
  <c r="W147" i="29"/>
  <c r="AC147" i="29" s="1"/>
  <c r="W111" i="29"/>
  <c r="AC111" i="29" s="1"/>
  <c r="I8" i="48"/>
  <c r="J8" i="48"/>
  <c r="H8" i="48"/>
  <c r="K8" i="48" s="1"/>
  <c r="BA101" i="29"/>
  <c r="BB101" i="29" s="1"/>
  <c r="BQ101" i="29"/>
  <c r="BA65" i="29"/>
  <c r="BB65" i="29" s="1"/>
  <c r="BQ65" i="29"/>
  <c r="BQ143" i="29"/>
  <c r="BA143" i="29"/>
  <c r="BB143" i="29" s="1"/>
  <c r="BA63" i="29"/>
  <c r="BB63" i="29" s="1"/>
  <c r="BQ63" i="29"/>
  <c r="BQ78" i="29"/>
  <c r="BA78" i="29"/>
  <c r="BB78" i="29" s="1"/>
  <c r="BQ92" i="29"/>
  <c r="BA92" i="29"/>
  <c r="BB92" i="29" s="1"/>
  <c r="BQ71" i="29"/>
  <c r="BA71" i="29"/>
  <c r="BB71" i="29" s="1"/>
  <c r="BA51" i="29"/>
  <c r="BB51" i="29" s="1"/>
  <c r="BQ51" i="29"/>
  <c r="J46" i="30"/>
  <c r="I35" i="50"/>
  <c r="T35" i="50" s="1"/>
  <c r="U35" i="50" s="1"/>
  <c r="I38" i="50"/>
  <c r="T38" i="50" s="1"/>
  <c r="U38" i="50" s="1"/>
  <c r="J49" i="30"/>
  <c r="CJ9" i="29"/>
  <c r="AT10" i="29"/>
  <c r="BQ69" i="29"/>
  <c r="BA69" i="29"/>
  <c r="BB69" i="29" s="1"/>
  <c r="J85" i="30"/>
  <c r="I74" i="50"/>
  <c r="N74" i="50" s="1"/>
  <c r="BQ27" i="29"/>
  <c r="BA27" i="29"/>
  <c r="BB27" i="29" s="1"/>
  <c r="E39" i="45"/>
  <c r="E37" i="45"/>
  <c r="E29" i="45"/>
  <c r="E40" i="45"/>
  <c r="E42" i="45"/>
  <c r="E26" i="45"/>
  <c r="E28" i="45"/>
  <c r="E38" i="45"/>
  <c r="E31" i="45"/>
  <c r="E33" i="45"/>
  <c r="E36" i="45"/>
  <c r="E34" i="45"/>
  <c r="E41" i="45"/>
  <c r="E35" i="45"/>
  <c r="E30" i="45"/>
  <c r="E27" i="45"/>
  <c r="E32" i="45"/>
  <c r="E43" i="45"/>
  <c r="E54" i="45"/>
  <c r="E15" i="45"/>
  <c r="BA151" i="29"/>
  <c r="BB151" i="29" s="1"/>
  <c r="BQ151" i="29"/>
  <c r="BQ119" i="29"/>
  <c r="BA119" i="29"/>
  <c r="BB119" i="29" s="1"/>
  <c r="BA55" i="29"/>
  <c r="BB55" i="29" s="1"/>
  <c r="BQ55" i="29"/>
  <c r="BA21" i="29"/>
  <c r="BB21" i="29" s="1"/>
  <c r="BQ21" i="29"/>
  <c r="BQ133" i="29"/>
  <c r="BA133" i="29"/>
  <c r="BB133" i="29" s="1"/>
  <c r="BA117" i="29"/>
  <c r="BB117" i="29" s="1"/>
  <c r="BQ117" i="29"/>
  <c r="BA178" i="29"/>
  <c r="BB178" i="29" s="1"/>
  <c r="BQ178" i="29"/>
  <c r="BQ162" i="29"/>
  <c r="BA162" i="29"/>
  <c r="BB162" i="29" s="1"/>
  <c r="BQ123" i="29"/>
  <c r="BA123" i="29"/>
  <c r="BB123" i="29" s="1"/>
  <c r="BQ66" i="29"/>
  <c r="BA66" i="29"/>
  <c r="BB66" i="29" s="1"/>
  <c r="J71" i="30"/>
  <c r="I60" i="50"/>
  <c r="N60" i="50" s="1"/>
  <c r="R8" i="29"/>
  <c r="X8" i="29"/>
  <c r="J9" i="29"/>
  <c r="AQ9" i="29"/>
  <c r="AR9" i="29" s="1"/>
  <c r="AF8" i="29"/>
  <c r="E17" i="50"/>
  <c r="R18" i="50" s="1"/>
  <c r="F28" i="30"/>
  <c r="AH8" i="29"/>
  <c r="AI8" i="29" s="1"/>
  <c r="N9" i="29"/>
  <c r="BQ121" i="29"/>
  <c r="BA121" i="29"/>
  <c r="BB121" i="29" s="1"/>
  <c r="BQ49" i="29"/>
  <c r="BA49" i="29"/>
  <c r="BB49" i="29" s="1"/>
  <c r="D16" i="46"/>
  <c r="BA80" i="29"/>
  <c r="BB80" i="29" s="1"/>
  <c r="BQ80" i="29"/>
  <c r="W70" i="29"/>
  <c r="AC70" i="29" s="1"/>
  <c r="BQ124" i="29"/>
  <c r="BA124" i="29"/>
  <c r="BB124" i="29" s="1"/>
  <c r="BA94" i="29"/>
  <c r="BB94" i="29" s="1"/>
  <c r="BQ94" i="29"/>
  <c r="BQ73" i="29"/>
  <c r="BA73" i="29"/>
  <c r="BB73" i="29" s="1"/>
  <c r="BQ23" i="29"/>
  <c r="BA23" i="29"/>
  <c r="BB23" i="29" s="1"/>
  <c r="BQ112" i="29"/>
  <c r="BA112" i="29"/>
  <c r="BB112" i="29" s="1"/>
  <c r="W71" i="29"/>
  <c r="AC71" i="29" s="1"/>
  <c r="T7" i="29"/>
  <c r="I32" i="50"/>
  <c r="J43" i="30"/>
  <c r="BQ122" i="29"/>
  <c r="BA122" i="29"/>
  <c r="BB122" i="29" s="1"/>
  <c r="W123" i="29"/>
  <c r="AC123" i="29" s="1"/>
  <c r="BA84" i="29"/>
  <c r="BB84" i="29" s="1"/>
  <c r="BQ84" i="29"/>
  <c r="BA95" i="29"/>
  <c r="BB95" i="29" s="1"/>
  <c r="BQ95" i="29"/>
  <c r="BA7" i="29"/>
  <c r="BB7" i="29" s="1"/>
  <c r="BQ7" i="29"/>
  <c r="AK8" i="29"/>
  <c r="BQ159" i="29"/>
  <c r="BA159" i="29"/>
  <c r="BB159" i="29" s="1"/>
  <c r="BQ176" i="29"/>
  <c r="BA176" i="29"/>
  <c r="BB176" i="29" s="1"/>
  <c r="BQ160" i="29"/>
  <c r="BA160" i="29"/>
  <c r="BB160" i="29" s="1"/>
  <c r="BQ145" i="29"/>
  <c r="BA145" i="29"/>
  <c r="BB145" i="29" s="1"/>
  <c r="BQ108" i="29"/>
  <c r="BA108" i="29"/>
  <c r="BB108" i="29" s="1"/>
  <c r="BA93" i="29"/>
  <c r="BB93" i="29" s="1"/>
  <c r="BQ93" i="29"/>
  <c r="BQ35" i="29"/>
  <c r="BA35" i="29"/>
  <c r="BB35" i="29" s="1"/>
  <c r="AS11" i="29"/>
  <c r="E11" i="29" s="1"/>
  <c r="C30" i="30"/>
  <c r="F10" i="29"/>
  <c r="B19" i="50"/>
  <c r="BF10" i="29"/>
  <c r="BO10" i="29" s="1"/>
  <c r="BQ165" i="29"/>
  <c r="BA165" i="29"/>
  <c r="BB165" i="29" s="1"/>
  <c r="BQ150" i="29"/>
  <c r="BA150" i="29"/>
  <c r="BB150" i="29" s="1"/>
  <c r="BQ134" i="29"/>
  <c r="BA134" i="29"/>
  <c r="BB134" i="29" s="1"/>
  <c r="W135" i="29"/>
  <c r="AC135" i="29" s="1"/>
  <c r="I71" i="50"/>
  <c r="J82" i="30"/>
  <c r="J74" i="30"/>
  <c r="I63" i="50"/>
  <c r="W179" i="29"/>
  <c r="AC179" i="29" s="1"/>
  <c r="W188" i="29"/>
  <c r="AC188" i="29" s="1"/>
  <c r="W148" i="29"/>
  <c r="AC148" i="29" s="1"/>
  <c r="W116" i="29"/>
  <c r="AC116" i="29" s="1"/>
  <c r="W149" i="29"/>
  <c r="AC149" i="29" s="1"/>
  <c r="W117" i="29"/>
  <c r="AC117" i="29" s="1"/>
  <c r="BQ113" i="29"/>
  <c r="BA113" i="29"/>
  <c r="BB113" i="29" s="1"/>
  <c r="W68" i="29"/>
  <c r="AC68" i="29" s="1"/>
  <c r="J73" i="30"/>
  <c r="I62" i="50"/>
  <c r="W23" i="29"/>
  <c r="AC23" i="29" s="1"/>
  <c r="BQ177" i="29"/>
  <c r="BA177" i="29"/>
  <c r="BB177" i="29" s="1"/>
  <c r="AB9" i="48"/>
  <c r="S27" i="30" l="1"/>
  <c r="N39" i="50"/>
  <c r="T51" i="50"/>
  <c r="U51" i="50" s="1"/>
  <c r="T68" i="50"/>
  <c r="U68" i="50" s="1"/>
  <c r="T54" i="50"/>
  <c r="U54" i="50" s="1"/>
  <c r="N55" i="50"/>
  <c r="AK9" i="29"/>
  <c r="T53" i="50"/>
  <c r="U53" i="50" s="1"/>
  <c r="T61" i="50"/>
  <c r="U61" i="50" s="1"/>
  <c r="CK14" i="29"/>
  <c r="CL13" i="29"/>
  <c r="CM13" i="29" s="1"/>
  <c r="K9" i="29"/>
  <c r="P8" i="48"/>
  <c r="BC134" i="29"/>
  <c r="CD35" i="29"/>
  <c r="BC35" i="29"/>
  <c r="BC93" i="29"/>
  <c r="BC95" i="29"/>
  <c r="CD23" i="29"/>
  <c r="BC23" i="29"/>
  <c r="BC117" i="29"/>
  <c r="BC63" i="29"/>
  <c r="BC22" i="29"/>
  <c r="CD22" i="29"/>
  <c r="CD34" i="29"/>
  <c r="BC34" i="29"/>
  <c r="BC43" i="29"/>
  <c r="CD43" i="29"/>
  <c r="BC76" i="29"/>
  <c r="BC130" i="29"/>
  <c r="CD20" i="29"/>
  <c r="BC20" i="29"/>
  <c r="N36" i="50"/>
  <c r="T36" i="50"/>
  <c r="U36" i="50" s="1"/>
  <c r="BC64" i="29"/>
  <c r="AJ10" i="29"/>
  <c r="BC174" i="29"/>
  <c r="BC29" i="29"/>
  <c r="CD29" i="29"/>
  <c r="BC70" i="29"/>
  <c r="CD48" i="29"/>
  <c r="BC48" i="29"/>
  <c r="T49" i="50"/>
  <c r="U49" i="50" s="1"/>
  <c r="N49" i="50"/>
  <c r="BC87" i="29"/>
  <c r="BC155" i="29"/>
  <c r="CD53" i="29"/>
  <c r="BC53" i="29"/>
  <c r="BC68" i="29"/>
  <c r="BC102" i="29"/>
  <c r="N30" i="50"/>
  <c r="T30" i="50"/>
  <c r="U30" i="50" s="1"/>
  <c r="BC157" i="29"/>
  <c r="BC85" i="29"/>
  <c r="N16" i="50"/>
  <c r="T16" i="50"/>
  <c r="BC141" i="29"/>
  <c r="BC106" i="29"/>
  <c r="BC139" i="29"/>
  <c r="BC24" i="29"/>
  <c r="CD24" i="29"/>
  <c r="CD46" i="29"/>
  <c r="BC46" i="29"/>
  <c r="N43" i="50"/>
  <c r="T43" i="50"/>
  <c r="U43" i="50" s="1"/>
  <c r="BC91" i="29"/>
  <c r="BC88" i="29"/>
  <c r="BC90" i="29"/>
  <c r="T46" i="50"/>
  <c r="U46" i="50" s="1"/>
  <c r="N46" i="50"/>
  <c r="T48" i="50"/>
  <c r="U48" i="50" s="1"/>
  <c r="N37" i="50"/>
  <c r="T37" i="50"/>
  <c r="U37" i="50" s="1"/>
  <c r="BC31" i="29"/>
  <c r="CD31" i="29"/>
  <c r="BC105" i="29"/>
  <c r="BC110" i="29"/>
  <c r="Y8" i="29"/>
  <c r="AB8" i="29" s="1"/>
  <c r="AH9" i="29" s="1"/>
  <c r="AI9" i="29" s="1"/>
  <c r="N27" i="30"/>
  <c r="M16" i="50"/>
  <c r="AG7" i="29"/>
  <c r="I17" i="50"/>
  <c r="J28" i="30"/>
  <c r="N45" i="50"/>
  <c r="T45" i="50"/>
  <c r="U45" i="50" s="1"/>
  <c r="BC75" i="29"/>
  <c r="BC74" i="29"/>
  <c r="T74" i="50"/>
  <c r="U74" i="50" s="1"/>
  <c r="N50" i="50"/>
  <c r="R8" i="48"/>
  <c r="M9" i="48"/>
  <c r="O9" i="48"/>
  <c r="N57" i="50"/>
  <c r="T75" i="50"/>
  <c r="U75" i="50" s="1"/>
  <c r="T71" i="50"/>
  <c r="U71" i="50" s="1"/>
  <c r="N71" i="50"/>
  <c r="AB10" i="48"/>
  <c r="E9" i="48"/>
  <c r="N63" i="50"/>
  <c r="T63" i="50"/>
  <c r="U63" i="50" s="1"/>
  <c r="AS12" i="29"/>
  <c r="E12" i="29" s="1"/>
  <c r="BF11" i="29"/>
  <c r="BO11" i="29" s="1"/>
  <c r="C31" i="30"/>
  <c r="B20" i="50"/>
  <c r="F11" i="29"/>
  <c r="BC159" i="29"/>
  <c r="BC112" i="29"/>
  <c r="BC80" i="29"/>
  <c r="BC49" i="29"/>
  <c r="CD49" i="29"/>
  <c r="H29" i="30"/>
  <c r="G18" i="50"/>
  <c r="J10" i="29"/>
  <c r="AQ10" i="29"/>
  <c r="X9" i="29"/>
  <c r="R9" i="29"/>
  <c r="AF9" i="29"/>
  <c r="F29" i="30"/>
  <c r="E18" i="50"/>
  <c r="R19" i="50" s="1"/>
  <c r="N10" i="29"/>
  <c r="CD55" i="29"/>
  <c r="BC55" i="29"/>
  <c r="BC119" i="29"/>
  <c r="CD27" i="29"/>
  <c r="BC27" i="29"/>
  <c r="CJ10" i="29"/>
  <c r="AT11" i="29"/>
  <c r="CD51" i="29"/>
  <c r="BC51" i="29"/>
  <c r="N58" i="50"/>
  <c r="T58" i="50"/>
  <c r="U58" i="50" s="1"/>
  <c r="BC56" i="29"/>
  <c r="CD56" i="29"/>
  <c r="T60" i="50"/>
  <c r="U60" i="50" s="1"/>
  <c r="T29" i="50"/>
  <c r="U29" i="50" s="1"/>
  <c r="N29" i="50"/>
  <c r="CD58" i="29"/>
  <c r="BC58" i="29"/>
  <c r="BC161" i="29"/>
  <c r="BC163" i="29"/>
  <c r="T64" i="50"/>
  <c r="U64" i="50" s="1"/>
  <c r="N64" i="50"/>
  <c r="BC149" i="29"/>
  <c r="BC148" i="29"/>
  <c r="CD57" i="29"/>
  <c r="BC57" i="29"/>
  <c r="BC109" i="29"/>
  <c r="AA11" i="48"/>
  <c r="C11" i="48"/>
  <c r="S10" i="48"/>
  <c r="T10" i="48" s="1"/>
  <c r="Q10" i="48"/>
  <c r="BC125" i="29"/>
  <c r="BC96" i="29"/>
  <c r="T70" i="50"/>
  <c r="U70" i="50" s="1"/>
  <c r="BC152" i="29"/>
  <c r="BC168" i="29"/>
  <c r="BC183" i="29"/>
  <c r="T52" i="50"/>
  <c r="U52" i="50" s="1"/>
  <c r="N52" i="50"/>
  <c r="BC186" i="29"/>
  <c r="BC44" i="29"/>
  <c r="CD44" i="29"/>
  <c r="BC86" i="29"/>
  <c r="BC187" i="29"/>
  <c r="BC100" i="29"/>
  <c r="BC38" i="29"/>
  <c r="CD38" i="29"/>
  <c r="BC172" i="29"/>
  <c r="T59" i="50"/>
  <c r="U59" i="50" s="1"/>
  <c r="N59" i="50"/>
  <c r="T47" i="50"/>
  <c r="U47" i="50" s="1"/>
  <c r="BC144" i="29"/>
  <c r="CD42" i="29"/>
  <c r="BC42" i="29"/>
  <c r="T40" i="50"/>
  <c r="U40" i="50" s="1"/>
  <c r="N40" i="50"/>
  <c r="BC116" i="29"/>
  <c r="N34" i="50"/>
  <c r="T34" i="50"/>
  <c r="U34" i="50" s="1"/>
  <c r="N66" i="50"/>
  <c r="T66" i="50"/>
  <c r="U66" i="50" s="1"/>
  <c r="BC82" i="29"/>
  <c r="BC114" i="29"/>
  <c r="BC182" i="29"/>
  <c r="N35" i="50"/>
  <c r="T67" i="50"/>
  <c r="U67" i="50" s="1"/>
  <c r="N38" i="50"/>
  <c r="BC165" i="29"/>
  <c r="BC145" i="29"/>
  <c r="BC176" i="29"/>
  <c r="BC122" i="29"/>
  <c r="T32" i="50"/>
  <c r="U32" i="50" s="1"/>
  <c r="N32" i="50"/>
  <c r="W7" i="29"/>
  <c r="BC124" i="29"/>
  <c r="T16" i="46"/>
  <c r="BC121" i="29"/>
  <c r="K28" i="30"/>
  <c r="J17" i="50"/>
  <c r="BC162" i="29"/>
  <c r="BC178" i="29"/>
  <c r="BC133" i="29"/>
  <c r="BC21" i="29"/>
  <c r="CD21" i="29"/>
  <c r="BC151" i="29"/>
  <c r="BC69" i="29"/>
  <c r="BC92" i="29"/>
  <c r="BC78" i="29"/>
  <c r="BC101" i="29"/>
  <c r="BC98" i="29"/>
  <c r="BC136" i="29"/>
  <c r="BC104" i="29"/>
  <c r="BC140" i="29"/>
  <c r="BC129" i="29"/>
  <c r="CD28" i="29"/>
  <c r="BC28" i="29"/>
  <c r="BC179" i="29"/>
  <c r="BC33" i="29"/>
  <c r="CD33" i="29"/>
  <c r="BC72" i="29"/>
  <c r="BC135" i="29"/>
  <c r="BC131" i="29"/>
  <c r="T69" i="50"/>
  <c r="U69" i="50" s="1"/>
  <c r="N69" i="50"/>
  <c r="BC40" i="29"/>
  <c r="CD40" i="29"/>
  <c r="BC120" i="29"/>
  <c r="BC169" i="29"/>
  <c r="BC154" i="29"/>
  <c r="BC25" i="29"/>
  <c r="CD25" i="29"/>
  <c r="BC184" i="29"/>
  <c r="BC36" i="29"/>
  <c r="CD36" i="29"/>
  <c r="N41" i="50"/>
  <c r="BC77" i="29"/>
  <c r="BC103" i="29"/>
  <c r="BC52" i="29"/>
  <c r="CD52" i="29"/>
  <c r="BC89" i="29"/>
  <c r="BC188" i="29"/>
  <c r="O34" i="50"/>
  <c r="A35" i="50"/>
  <c r="BC175" i="29"/>
  <c r="CD39" i="29"/>
  <c r="BC39" i="29"/>
  <c r="BC138" i="29"/>
  <c r="CD45" i="29"/>
  <c r="BC45" i="29"/>
  <c r="BC81" i="29"/>
  <c r="T56" i="50"/>
  <c r="U56" i="50" s="1"/>
  <c r="N56" i="50"/>
  <c r="BC54" i="29"/>
  <c r="CD54" i="29"/>
  <c r="BC181" i="29"/>
  <c r="CD32" i="29"/>
  <c r="BC32" i="29"/>
  <c r="BC115" i="29"/>
  <c r="BC185" i="29"/>
  <c r="BC62" i="29"/>
  <c r="BC158" i="29"/>
  <c r="BC137" i="29"/>
  <c r="AZ8" i="29"/>
  <c r="BH8" i="29"/>
  <c r="BC107" i="29"/>
  <c r="T44" i="50"/>
  <c r="U44" i="50" s="1"/>
  <c r="T72" i="50"/>
  <c r="U72" i="50" s="1"/>
  <c r="BC177" i="29"/>
  <c r="T62" i="50"/>
  <c r="U62" i="50" s="1"/>
  <c r="N62" i="50"/>
  <c r="BC113" i="29"/>
  <c r="BC150" i="29"/>
  <c r="BC108" i="29"/>
  <c r="BC160" i="29"/>
  <c r="BC7" i="29"/>
  <c r="BC84" i="29"/>
  <c r="BC73" i="29"/>
  <c r="BC94" i="29"/>
  <c r="I28" i="30"/>
  <c r="H17" i="50"/>
  <c r="BC66" i="29"/>
  <c r="BC123" i="29"/>
  <c r="BC71" i="29"/>
  <c r="BC143" i="29"/>
  <c r="BC65" i="29"/>
  <c r="BC173" i="29"/>
  <c r="N15" i="46"/>
  <c r="BC67" i="29"/>
  <c r="BC146" i="29"/>
  <c r="N73" i="50"/>
  <c r="T73" i="50"/>
  <c r="U73" i="50" s="1"/>
  <c r="BC61" i="29"/>
  <c r="BC97" i="29"/>
  <c r="BC180" i="29"/>
  <c r="BC164" i="29"/>
  <c r="CD30" i="29"/>
  <c r="BC30" i="29"/>
  <c r="U9" i="48"/>
  <c r="U10" i="48" s="1"/>
  <c r="BC167" i="29"/>
  <c r="BC60" i="29"/>
  <c r="T33" i="50"/>
  <c r="U33" i="50" s="1"/>
  <c r="T65" i="50"/>
  <c r="U65" i="50" s="1"/>
  <c r="N65" i="50"/>
  <c r="BC153" i="29"/>
  <c r="BC37" i="29"/>
  <c r="CD37" i="29"/>
  <c r="BC132" i="29"/>
  <c r="CD47" i="29"/>
  <c r="BC47" i="29"/>
  <c r="BC83" i="29"/>
  <c r="BC126" i="29"/>
  <c r="BC111" i="29"/>
  <c r="BC156" i="29"/>
  <c r="BC171" i="29"/>
  <c r="BC166" i="29"/>
  <c r="BC99" i="29"/>
  <c r="BC128" i="29"/>
  <c r="CD41" i="29"/>
  <c r="BC41" i="29"/>
  <c r="BC118" i="29"/>
  <c r="BC26" i="29"/>
  <c r="CD26" i="29"/>
  <c r="BC59" i="29"/>
  <c r="CD50" i="29"/>
  <c r="BC50" i="29"/>
  <c r="N42" i="50"/>
  <c r="T42" i="50"/>
  <c r="U42" i="50" s="1"/>
  <c r="BC142" i="29"/>
  <c r="P8" i="29"/>
  <c r="BC79" i="29"/>
  <c r="BC147" i="29"/>
  <c r="BC170" i="29"/>
  <c r="BC127" i="29"/>
  <c r="T17" i="50" l="1"/>
  <c r="U17" i="50" s="1"/>
  <c r="S28" i="30"/>
  <c r="AR10" i="29"/>
  <c r="K10" i="29" s="1"/>
  <c r="CK15" i="29"/>
  <c r="CL14" i="29"/>
  <c r="CM14" i="29" s="1"/>
  <c r="F5" i="45"/>
  <c r="CN7" i="29"/>
  <c r="T8" i="29"/>
  <c r="BA8" i="29"/>
  <c r="BB8" i="29" s="1"/>
  <c r="BQ8" i="29"/>
  <c r="Q11" i="48"/>
  <c r="AA12" i="48"/>
  <c r="C12" i="48"/>
  <c r="AS13" i="29"/>
  <c r="E13" i="29" s="1"/>
  <c r="C32" i="30"/>
  <c r="BF12" i="29"/>
  <c r="BO12" i="29" s="1"/>
  <c r="B21" i="50"/>
  <c r="F12" i="29"/>
  <c r="AB11" i="48"/>
  <c r="E10" i="48"/>
  <c r="AK10" i="29"/>
  <c r="N17" i="50"/>
  <c r="H18" i="50"/>
  <c r="I29" i="30"/>
  <c r="R10" i="29"/>
  <c r="X10" i="29"/>
  <c r="AQ11" i="29"/>
  <c r="AF10" i="29"/>
  <c r="F30" i="30"/>
  <c r="E19" i="50"/>
  <c r="R20" i="50" s="1"/>
  <c r="J11" i="29"/>
  <c r="N11" i="29"/>
  <c r="R9" i="48"/>
  <c r="M10" i="48"/>
  <c r="O10" i="48" s="1"/>
  <c r="U16" i="50"/>
  <c r="O35" i="50"/>
  <c r="A36" i="50"/>
  <c r="AC7" i="29"/>
  <c r="AJ11" i="29"/>
  <c r="U9" i="29"/>
  <c r="F18" i="50"/>
  <c r="G29" i="30"/>
  <c r="M9" i="29"/>
  <c r="AY9" i="29"/>
  <c r="Q9" i="29"/>
  <c r="R29" i="30" s="1"/>
  <c r="U16" i="46"/>
  <c r="CJ11" i="29"/>
  <c r="AT12" i="29"/>
  <c r="G19" i="50"/>
  <c r="H30" i="30"/>
  <c r="K29" i="30"/>
  <c r="J18" i="50"/>
  <c r="H9" i="48"/>
  <c r="K9" i="48"/>
  <c r="I9" i="48"/>
  <c r="J9" i="48"/>
  <c r="M17" i="50"/>
  <c r="AG8" i="29"/>
  <c r="N28" i="30"/>
  <c r="Y9" i="29"/>
  <c r="K17" i="50"/>
  <c r="L28" i="30"/>
  <c r="AR11" i="29" l="1"/>
  <c r="CL15" i="29"/>
  <c r="CM15" i="29" s="1"/>
  <c r="CK16" i="29"/>
  <c r="K11" i="29"/>
  <c r="R10" i="48"/>
  <c r="M11" i="48"/>
  <c r="S11" i="48"/>
  <c r="R11" i="29"/>
  <c r="AQ12" i="29"/>
  <c r="X11" i="29"/>
  <c r="AF11" i="29"/>
  <c r="F31" i="30"/>
  <c r="E20" i="50"/>
  <c r="R21" i="50" s="1"/>
  <c r="J12" i="29"/>
  <c r="N12" i="29"/>
  <c r="K30" i="30"/>
  <c r="J19" i="50"/>
  <c r="AA13" i="48"/>
  <c r="Q12" i="48"/>
  <c r="C13" i="48"/>
  <c r="V17" i="46"/>
  <c r="H19" i="50"/>
  <c r="I30" i="30"/>
  <c r="H10" i="48"/>
  <c r="K10" i="48"/>
  <c r="P10" i="48" s="1"/>
  <c r="J10" i="48"/>
  <c r="I10" i="48"/>
  <c r="BC8" i="29"/>
  <c r="CD8" i="29"/>
  <c r="AB12" i="48"/>
  <c r="E11" i="48"/>
  <c r="F6" i="45"/>
  <c r="U10" i="29"/>
  <c r="F19" i="50"/>
  <c r="G30" i="30"/>
  <c r="M10" i="29"/>
  <c r="P10" i="29" s="1"/>
  <c r="T10" i="29" s="1"/>
  <c r="AY10" i="29"/>
  <c r="Q10" i="29"/>
  <c r="R30" i="30" s="1"/>
  <c r="P9" i="29"/>
  <c r="A37" i="50"/>
  <c r="O36" i="50"/>
  <c r="P9" i="48"/>
  <c r="CJ12" i="29"/>
  <c r="AT13" i="29"/>
  <c r="G16" i="46"/>
  <c r="K18" i="50"/>
  <c r="L29" i="30"/>
  <c r="AB9" i="29"/>
  <c r="AZ9" i="29"/>
  <c r="BH9" i="29"/>
  <c r="J29" i="30"/>
  <c r="S29" i="30" s="1"/>
  <c r="I18" i="50"/>
  <c r="AJ12" i="29"/>
  <c r="F80" i="45"/>
  <c r="G20" i="50"/>
  <c r="H31" i="30"/>
  <c r="AS14" i="29"/>
  <c r="E14" i="29" s="1"/>
  <c r="C33" i="30"/>
  <c r="B22" i="50"/>
  <c r="BF13" i="29"/>
  <c r="BO13" i="29" s="1"/>
  <c r="F13" i="29"/>
  <c r="W8" i="29"/>
  <c r="AJ13" i="29" l="1"/>
  <c r="CL16" i="29"/>
  <c r="CM16" i="29" s="1"/>
  <c r="CK17" i="29"/>
  <c r="W10" i="29"/>
  <c r="AC10" i="29" s="1"/>
  <c r="L80" i="45" s="1"/>
  <c r="L35" i="45" s="1"/>
  <c r="AR12" i="29"/>
  <c r="K12" i="29" s="1"/>
  <c r="AZ10" i="29"/>
  <c r="BH10" i="29"/>
  <c r="J30" i="30"/>
  <c r="S30" i="30" s="1"/>
  <c r="I19" i="50"/>
  <c r="T19" i="50" s="1"/>
  <c r="U19" i="50" s="1"/>
  <c r="I11" i="48"/>
  <c r="J11" i="48"/>
  <c r="H11" i="48"/>
  <c r="K11" i="48"/>
  <c r="H5" i="45"/>
  <c r="CN8" i="29"/>
  <c r="C14" i="48"/>
  <c r="AA14" i="48"/>
  <c r="Q13" i="48"/>
  <c r="G21" i="50"/>
  <c r="H32" i="30"/>
  <c r="K31" i="30"/>
  <c r="J20" i="50"/>
  <c r="F35" i="45"/>
  <c r="AC8" i="29"/>
  <c r="Y10" i="29"/>
  <c r="AB10" i="29" s="1"/>
  <c r="N29" i="30"/>
  <c r="M18" i="50"/>
  <c r="AG9" i="29"/>
  <c r="AH10" i="29"/>
  <c r="N18" i="50"/>
  <c r="CJ13" i="29"/>
  <c r="AT14" i="29"/>
  <c r="AB13" i="48"/>
  <c r="E12" i="48"/>
  <c r="U11" i="29"/>
  <c r="F20" i="50"/>
  <c r="G31" i="30"/>
  <c r="AY11" i="29"/>
  <c r="M11" i="29"/>
  <c r="Q11" i="29"/>
  <c r="R31" i="30" s="1"/>
  <c r="H16" i="46"/>
  <c r="AS15" i="29"/>
  <c r="E15" i="29" s="1"/>
  <c r="BF14" i="29"/>
  <c r="BO14" i="29" s="1"/>
  <c r="C34" i="30"/>
  <c r="B23" i="50"/>
  <c r="F14" i="29"/>
  <c r="BA9" i="29"/>
  <c r="BB9" i="29" s="1"/>
  <c r="BQ9" i="29"/>
  <c r="T18" i="50"/>
  <c r="A38" i="50"/>
  <c r="O37" i="50"/>
  <c r="T9" i="29"/>
  <c r="D17" i="46"/>
  <c r="R12" i="29"/>
  <c r="J13" i="29"/>
  <c r="X12" i="29"/>
  <c r="AQ13" i="29"/>
  <c r="AF12" i="29"/>
  <c r="E21" i="50"/>
  <c r="R22" i="50" s="1"/>
  <c r="F32" i="30"/>
  <c r="N13" i="29"/>
  <c r="I31" i="30"/>
  <c r="H20" i="50"/>
  <c r="T11" i="48"/>
  <c r="U11" i="48"/>
  <c r="O11" i="48"/>
  <c r="N19" i="50" l="1"/>
  <c r="CK18" i="29"/>
  <c r="CL17" i="29"/>
  <c r="CM17" i="29" s="1"/>
  <c r="AR13" i="29"/>
  <c r="K13" i="29"/>
  <c r="J21" i="50"/>
  <c r="K32" i="30"/>
  <c r="X13" i="29"/>
  <c r="J14" i="29"/>
  <c r="R13" i="29"/>
  <c r="AQ14" i="29"/>
  <c r="AF13" i="29"/>
  <c r="F33" i="30"/>
  <c r="E22" i="50"/>
  <c r="R23" i="50" s="1"/>
  <c r="N14" i="29"/>
  <c r="J16" i="46"/>
  <c r="P11" i="29"/>
  <c r="I20" i="50"/>
  <c r="J31" i="30"/>
  <c r="S31" i="30" s="1"/>
  <c r="H6" i="45"/>
  <c r="U12" i="29"/>
  <c r="F21" i="50"/>
  <c r="G32" i="30"/>
  <c r="AY12" i="29"/>
  <c r="M12" i="29"/>
  <c r="P12" i="29" s="1"/>
  <c r="T12" i="29" s="1"/>
  <c r="W12" i="29" s="1"/>
  <c r="AC12" i="29" s="1"/>
  <c r="P80" i="45" s="1"/>
  <c r="Q12" i="29"/>
  <c r="R32" i="30" s="1"/>
  <c r="T17" i="46"/>
  <c r="H21" i="50"/>
  <c r="I32" i="30"/>
  <c r="O38" i="50"/>
  <c r="A39" i="50"/>
  <c r="BC9" i="29"/>
  <c r="CD9" i="29"/>
  <c r="AZ11" i="29"/>
  <c r="BH11" i="29"/>
  <c r="J12" i="48"/>
  <c r="I12" i="48"/>
  <c r="H12" i="48"/>
  <c r="K12" i="48"/>
  <c r="P12" i="48" s="1"/>
  <c r="AI10" i="29"/>
  <c r="AK11" i="29"/>
  <c r="U18" i="50"/>
  <c r="AS16" i="29"/>
  <c r="E16" i="29" s="1"/>
  <c r="BF15" i="29"/>
  <c r="BO15" i="29" s="1"/>
  <c r="B24" i="50"/>
  <c r="F15" i="29"/>
  <c r="C35" i="30"/>
  <c r="E13" i="48"/>
  <c r="CJ14" i="29"/>
  <c r="AT15" i="29"/>
  <c r="K19" i="50"/>
  <c r="L30" i="30"/>
  <c r="AJ14" i="29"/>
  <c r="AJ15" i="29" s="1"/>
  <c r="H80" i="45"/>
  <c r="C15" i="48"/>
  <c r="Q14" i="48"/>
  <c r="AA15" i="48"/>
  <c r="BA10" i="29"/>
  <c r="BB10" i="29" s="1"/>
  <c r="BQ10" i="29"/>
  <c r="M12" i="48"/>
  <c r="O12" i="48" s="1"/>
  <c r="R11" i="48"/>
  <c r="S12" i="48"/>
  <c r="T12" i="48" s="1"/>
  <c r="H33" i="30"/>
  <c r="G22" i="50"/>
  <c r="W9" i="29"/>
  <c r="N20" i="50"/>
  <c r="T20" i="50"/>
  <c r="U20" i="50" s="1"/>
  <c r="AG10" i="29"/>
  <c r="N30" i="30"/>
  <c r="M19" i="50"/>
  <c r="Y11" i="29"/>
  <c r="AH11" i="29"/>
  <c r="AI11" i="29" s="1"/>
  <c r="P11" i="48"/>
  <c r="CK19" i="29" l="1"/>
  <c r="CL18" i="29"/>
  <c r="M13" i="48"/>
  <c r="O13" i="48"/>
  <c r="R12" i="48"/>
  <c r="S13" i="48"/>
  <c r="T13" i="48" s="1"/>
  <c r="G23" i="50"/>
  <c r="H34" i="30"/>
  <c r="H22" i="50"/>
  <c r="I33" i="30"/>
  <c r="U12" i="48"/>
  <c r="U13" i="48" s="1"/>
  <c r="L31" i="30"/>
  <c r="K20" i="50"/>
  <c r="CJ15" i="29"/>
  <c r="AT16" i="29"/>
  <c r="P35" i="45"/>
  <c r="C16" i="48"/>
  <c r="Q15" i="48"/>
  <c r="AA16" i="48"/>
  <c r="AS17" i="29"/>
  <c r="E17" i="29" s="1"/>
  <c r="BF16" i="29"/>
  <c r="BO16" i="29" s="1"/>
  <c r="F16" i="29"/>
  <c r="C36" i="30"/>
  <c r="B25" i="50"/>
  <c r="BA11" i="29"/>
  <c r="BB11" i="29" s="1"/>
  <c r="BQ11" i="29"/>
  <c r="G17" i="46"/>
  <c r="U17" i="46"/>
  <c r="AZ12" i="29"/>
  <c r="BH12" i="29"/>
  <c r="N16" i="46"/>
  <c r="X14" i="29"/>
  <c r="J15" i="29"/>
  <c r="AJ16" i="29" s="1"/>
  <c r="R14" i="29"/>
  <c r="AQ15" i="29"/>
  <c r="AF14" i="29"/>
  <c r="F34" i="30"/>
  <c r="E23" i="50"/>
  <c r="R24" i="50" s="1"/>
  <c r="N15" i="29"/>
  <c r="U13" i="29"/>
  <c r="F22" i="50"/>
  <c r="G33" i="30"/>
  <c r="M13" i="29"/>
  <c r="P13" i="29" s="1"/>
  <c r="T13" i="29" s="1"/>
  <c r="AY13" i="29"/>
  <c r="Q13" i="29"/>
  <c r="R33" i="30" s="1"/>
  <c r="O39" i="50"/>
  <c r="A40" i="50"/>
  <c r="I21" i="50"/>
  <c r="N21" i="50" s="1"/>
  <c r="J32" i="30"/>
  <c r="S32" i="30" s="1"/>
  <c r="AC9" i="29"/>
  <c r="H35" i="45"/>
  <c r="J13" i="48"/>
  <c r="H13" i="48"/>
  <c r="K13" i="48" s="1"/>
  <c r="I13" i="48"/>
  <c r="AK12" i="29"/>
  <c r="T11" i="29"/>
  <c r="K33" i="30"/>
  <c r="J22" i="50"/>
  <c r="AR14" i="29"/>
  <c r="AB11" i="29"/>
  <c r="BC10" i="29"/>
  <c r="CD10" i="29"/>
  <c r="AB14" i="48"/>
  <c r="J5" i="45"/>
  <c r="CN9" i="29"/>
  <c r="T21" i="50" l="1"/>
  <c r="U21" i="50" s="1"/>
  <c r="W13" i="29"/>
  <c r="AC13" i="29" s="1"/>
  <c r="R80" i="45" s="1"/>
  <c r="R35" i="45" s="1"/>
  <c r="CL19" i="29"/>
  <c r="CM19" i="29" s="1"/>
  <c r="CK20" i="29"/>
  <c r="P13" i="48"/>
  <c r="J6" i="45"/>
  <c r="H17" i="46"/>
  <c r="AA17" i="48"/>
  <c r="Q16" i="48"/>
  <c r="C17" i="48"/>
  <c r="AT17" i="29"/>
  <c r="CJ16" i="29"/>
  <c r="J80" i="45"/>
  <c r="J23" i="50"/>
  <c r="K34" i="30"/>
  <c r="AZ13" i="29"/>
  <c r="BH13" i="29"/>
  <c r="J33" i="30"/>
  <c r="S33" i="30" s="1"/>
  <c r="I22" i="50"/>
  <c r="T22" i="50" s="1"/>
  <c r="M14" i="48"/>
  <c r="R13" i="48"/>
  <c r="S14" i="48"/>
  <c r="T14" i="48" s="1"/>
  <c r="K14" i="29"/>
  <c r="AR15" i="29" s="1"/>
  <c r="L5" i="45"/>
  <c r="CN10" i="29"/>
  <c r="W11" i="29"/>
  <c r="H35" i="30"/>
  <c r="G24" i="50"/>
  <c r="H23" i="50"/>
  <c r="I34" i="30"/>
  <c r="BA12" i="29"/>
  <c r="BB12" i="29" s="1"/>
  <c r="BQ12" i="29"/>
  <c r="AS18" i="29"/>
  <c r="E18" i="29" s="1"/>
  <c r="F17" i="29"/>
  <c r="BF17" i="29"/>
  <c r="BO17" i="29" s="1"/>
  <c r="C37" i="30"/>
  <c r="B26" i="50"/>
  <c r="AB15" i="48"/>
  <c r="E14" i="48"/>
  <c r="Y12" i="29"/>
  <c r="AB12" i="29" s="1"/>
  <c r="N31" i="30"/>
  <c r="M20" i="50"/>
  <c r="AG11" i="29"/>
  <c r="AH12" i="29"/>
  <c r="AI12" i="29" s="1"/>
  <c r="A41" i="50"/>
  <c r="O40" i="50"/>
  <c r="J16" i="29"/>
  <c r="AJ17" i="29" s="1"/>
  <c r="AQ16" i="29"/>
  <c r="X15" i="29"/>
  <c r="R15" i="29"/>
  <c r="AF15" i="29"/>
  <c r="E24" i="50"/>
  <c r="R25" i="50" s="1"/>
  <c r="F35" i="30"/>
  <c r="N16" i="29"/>
  <c r="V18" i="46"/>
  <c r="BC11" i="29"/>
  <c r="CD11" i="29"/>
  <c r="AK13" i="29" l="1"/>
  <c r="CK21" i="29"/>
  <c r="CL20" i="29"/>
  <c r="U22" i="50"/>
  <c r="E15" i="48"/>
  <c r="AC11" i="29"/>
  <c r="K15" i="29"/>
  <c r="J35" i="45"/>
  <c r="J17" i="46"/>
  <c r="U14" i="48"/>
  <c r="C18" i="48"/>
  <c r="Q17" i="48"/>
  <c r="AA18" i="48"/>
  <c r="N5" i="45"/>
  <c r="CN11" i="29"/>
  <c r="R16" i="29"/>
  <c r="X16" i="29"/>
  <c r="AQ17" i="29"/>
  <c r="AF16" i="29"/>
  <c r="F36" i="30"/>
  <c r="E25" i="50"/>
  <c r="R26" i="50" s="1"/>
  <c r="H17" i="29"/>
  <c r="J17" i="29" s="1"/>
  <c r="H18" i="29" s="1"/>
  <c r="BC12" i="29"/>
  <c r="CD12" i="29"/>
  <c r="H24" i="50"/>
  <c r="I35" i="30"/>
  <c r="N32" i="30"/>
  <c r="M21" i="50"/>
  <c r="AG12" i="29"/>
  <c r="Y13" i="29"/>
  <c r="AH13" i="29"/>
  <c r="AI13" i="29" s="1"/>
  <c r="AS19" i="29"/>
  <c r="E19" i="29" s="1"/>
  <c r="B27" i="50"/>
  <c r="BF18" i="29"/>
  <c r="BO18" i="29" s="1"/>
  <c r="C38" i="30"/>
  <c r="F18" i="29"/>
  <c r="F189" i="29" s="1"/>
  <c r="D18" i="46"/>
  <c r="L32" i="30"/>
  <c r="K21" i="50"/>
  <c r="L6" i="45"/>
  <c r="N22" i="50"/>
  <c r="G25" i="50"/>
  <c r="H36" i="30"/>
  <c r="K35" i="30"/>
  <c r="J24" i="50"/>
  <c r="A42" i="50"/>
  <c r="O41" i="50"/>
  <c r="J14" i="48"/>
  <c r="H14" i="48"/>
  <c r="K14" i="48" s="1"/>
  <c r="P14" i="48" s="1"/>
  <c r="I14" i="48"/>
  <c r="U14" i="29"/>
  <c r="F23" i="50"/>
  <c r="G34" i="30"/>
  <c r="AY14" i="29"/>
  <c r="M14" i="29"/>
  <c r="P14" i="29" s="1"/>
  <c r="Q14" i="29"/>
  <c r="R34" i="30" s="1"/>
  <c r="O14" i="48"/>
  <c r="BA13" i="29"/>
  <c r="BB13" i="29" s="1"/>
  <c r="BQ13" i="29"/>
  <c r="AT18" i="29"/>
  <c r="CJ17" i="29"/>
  <c r="D27" i="50" l="1"/>
  <c r="E38" i="30"/>
  <c r="CM20" i="29"/>
  <c r="CN20" i="29"/>
  <c r="CL21" i="29"/>
  <c r="CK22" i="29"/>
  <c r="J18" i="29"/>
  <c r="R17" i="29"/>
  <c r="X17" i="29"/>
  <c r="AQ18" i="29"/>
  <c r="AF17" i="29"/>
  <c r="F37" i="30"/>
  <c r="E26" i="50"/>
  <c r="R27" i="50" s="1"/>
  <c r="N18" i="29"/>
  <c r="AJ18" i="29"/>
  <c r="A43" i="50"/>
  <c r="O42" i="50"/>
  <c r="L33" i="30"/>
  <c r="K22" i="50"/>
  <c r="J25" i="50"/>
  <c r="K36" i="30"/>
  <c r="U15" i="29"/>
  <c r="G35" i="30"/>
  <c r="F24" i="50"/>
  <c r="M15" i="29"/>
  <c r="P15" i="29" s="1"/>
  <c r="T15" i="29" s="1"/>
  <c r="AY15" i="29"/>
  <c r="Q15" i="29"/>
  <c r="R35" i="30" s="1"/>
  <c r="N80" i="45"/>
  <c r="T18" i="46"/>
  <c r="H25" i="50"/>
  <c r="I36" i="30"/>
  <c r="N6" i="45"/>
  <c r="AR16" i="29"/>
  <c r="J15" i="48"/>
  <c r="H15" i="48"/>
  <c r="I15" i="48"/>
  <c r="K15" i="48"/>
  <c r="P15" i="48" s="1"/>
  <c r="M15" i="48"/>
  <c r="O15" i="48"/>
  <c r="R14" i="48"/>
  <c r="S15" i="48"/>
  <c r="T15" i="48" s="1"/>
  <c r="AB13" i="29"/>
  <c r="AS20" i="29"/>
  <c r="E20" i="29" s="1"/>
  <c r="BF19" i="29"/>
  <c r="BO19" i="29" s="1"/>
  <c r="C39" i="30"/>
  <c r="B28" i="50"/>
  <c r="P5" i="45"/>
  <c r="CN12" i="29"/>
  <c r="C19" i="48"/>
  <c r="AA19" i="48"/>
  <c r="S18" i="48"/>
  <c r="T18" i="48" s="1"/>
  <c r="E19" i="48"/>
  <c r="Q18" i="48"/>
  <c r="N17" i="46"/>
  <c r="AB16" i="48"/>
  <c r="AT19" i="29"/>
  <c r="CJ18" i="29"/>
  <c r="N17" i="29"/>
  <c r="D26" i="50"/>
  <c r="E37" i="30"/>
  <c r="H189" i="29"/>
  <c r="E87" i="30" s="1"/>
  <c r="E25" i="30" s="1"/>
  <c r="T14" i="29"/>
  <c r="J34" i="30"/>
  <c r="S34" i="30" s="1"/>
  <c r="I23" i="50"/>
  <c r="T23" i="50" s="1"/>
  <c r="U23" i="50" s="1"/>
  <c r="BC13" i="29"/>
  <c r="CD13" i="29"/>
  <c r="AZ14" i="29"/>
  <c r="BH14" i="29"/>
  <c r="AK14" i="29"/>
  <c r="U15" i="48"/>
  <c r="AJ19" i="29" l="1"/>
  <c r="N23" i="50"/>
  <c r="CM21" i="29"/>
  <c r="CN21" i="29"/>
  <c r="J256" i="29"/>
  <c r="CL22" i="29"/>
  <c r="CK23" i="29"/>
  <c r="AZ15" i="29"/>
  <c r="BH15" i="29"/>
  <c r="I24" i="50"/>
  <c r="N24" i="50" s="1"/>
  <c r="J35" i="30"/>
  <c r="S35" i="30" s="1"/>
  <c r="AJ20" i="29"/>
  <c r="R5" i="45"/>
  <c r="CN13" i="29"/>
  <c r="P6" i="45"/>
  <c r="AS21" i="29"/>
  <c r="E21" i="29" s="1"/>
  <c r="C40" i="30"/>
  <c r="B29" i="50"/>
  <c r="R29" i="50" s="1"/>
  <c r="BF20" i="29"/>
  <c r="BO20" i="29" s="1"/>
  <c r="M16" i="48"/>
  <c r="O16" i="48" s="1"/>
  <c r="R15" i="48"/>
  <c r="S16" i="48"/>
  <c r="T16" i="48" s="1"/>
  <c r="G18" i="46"/>
  <c r="U18" i="46"/>
  <c r="W15" i="29"/>
  <c r="AC15" i="29" s="1"/>
  <c r="V80" i="45" s="1"/>
  <c r="G27" i="50"/>
  <c r="H38" i="30"/>
  <c r="K37" i="30"/>
  <c r="J26" i="50"/>
  <c r="BA14" i="29"/>
  <c r="BB14" i="29" s="1"/>
  <c r="BQ14" i="29"/>
  <c r="H37" i="30"/>
  <c r="G26" i="50"/>
  <c r="I19" i="48"/>
  <c r="H19" i="48"/>
  <c r="K19" i="48"/>
  <c r="P19" i="48" s="1"/>
  <c r="J19" i="48"/>
  <c r="W14" i="29"/>
  <c r="AC14" i="29" s="1"/>
  <c r="T80" i="45" s="1"/>
  <c r="U16" i="48"/>
  <c r="D198" i="50"/>
  <c r="AT20" i="29"/>
  <c r="CJ19" i="29"/>
  <c r="Y14" i="29"/>
  <c r="AB14" i="29" s="1"/>
  <c r="AG13" i="29"/>
  <c r="N33" i="30"/>
  <c r="M22" i="50"/>
  <c r="AH14" i="29"/>
  <c r="AI14" i="29" s="1"/>
  <c r="N35" i="45"/>
  <c r="A44" i="50"/>
  <c r="O43" i="50"/>
  <c r="H26" i="50"/>
  <c r="I37" i="30"/>
  <c r="E16" i="48"/>
  <c r="E20" i="48"/>
  <c r="C20" i="48"/>
  <c r="Q19" i="48"/>
  <c r="AA20" i="48"/>
  <c r="S19" i="48"/>
  <c r="T19" i="48" s="1"/>
  <c r="K16" i="29"/>
  <c r="AR17" i="29" s="1"/>
  <c r="AQ19" i="29"/>
  <c r="R18" i="29"/>
  <c r="X18" i="29"/>
  <c r="AF18" i="29"/>
  <c r="F38" i="30"/>
  <c r="E27" i="50"/>
  <c r="H10" i="50" s="1"/>
  <c r="AH18" i="29"/>
  <c r="AI18" i="29" s="1"/>
  <c r="N19" i="29"/>
  <c r="K3" i="29"/>
  <c r="N3" i="29" s="1"/>
  <c r="Q6" i="29" s="1"/>
  <c r="G256" i="29"/>
  <c r="R28" i="50" l="1"/>
  <c r="CM22" i="29"/>
  <c r="CN22" i="29"/>
  <c r="T24" i="50"/>
  <c r="U24" i="50" s="1"/>
  <c r="CK24" i="29"/>
  <c r="CL23" i="29"/>
  <c r="M17" i="48"/>
  <c r="O17" i="48"/>
  <c r="R16" i="48"/>
  <c r="S17" i="48"/>
  <c r="T17" i="48" s="1"/>
  <c r="AS22" i="29"/>
  <c r="E22" i="29" s="1"/>
  <c r="B30" i="50"/>
  <c r="R30" i="50" s="1"/>
  <c r="BF21" i="29"/>
  <c r="BO21" i="29" s="1"/>
  <c r="C41" i="30"/>
  <c r="R6" i="45"/>
  <c r="H27" i="50"/>
  <c r="H198" i="50" s="1"/>
  <c r="M5" i="50" s="1"/>
  <c r="I38" i="30"/>
  <c r="R189" i="29"/>
  <c r="I87" i="30" s="1"/>
  <c r="I25" i="30" s="1"/>
  <c r="V35" i="45"/>
  <c r="H20" i="48"/>
  <c r="K20" i="48" s="1"/>
  <c r="P20" i="48" s="1"/>
  <c r="I20" i="48"/>
  <c r="J20" i="48"/>
  <c r="AJ21" i="29"/>
  <c r="BA15" i="29"/>
  <c r="BB15" i="29" s="1"/>
  <c r="BQ15" i="29"/>
  <c r="H39" i="30"/>
  <c r="G28" i="50"/>
  <c r="G198" i="50" s="1"/>
  <c r="M4" i="50" s="1"/>
  <c r="P19" i="29"/>
  <c r="N189" i="29"/>
  <c r="E21" i="48"/>
  <c r="C21" i="48"/>
  <c r="AA21" i="48"/>
  <c r="Q20" i="48"/>
  <c r="S20" i="48"/>
  <c r="T20" i="48" s="1"/>
  <c r="N34" i="30"/>
  <c r="AG14" i="29"/>
  <c r="M23" i="50"/>
  <c r="Y15" i="29"/>
  <c r="AH15" i="29"/>
  <c r="AI15" i="29" s="1"/>
  <c r="K23" i="50"/>
  <c r="L34" i="30"/>
  <c r="T35" i="45"/>
  <c r="AK15" i="29"/>
  <c r="K17" i="29"/>
  <c r="U17" i="48"/>
  <c r="U18" i="48" s="1"/>
  <c r="U19" i="48" s="1"/>
  <c r="U20" i="48" s="1"/>
  <c r="H18" i="46"/>
  <c r="H16" i="48"/>
  <c r="K16" i="48" s="1"/>
  <c r="P16" i="48" s="1"/>
  <c r="I16" i="48"/>
  <c r="J16" i="48"/>
  <c r="S11" i="50"/>
  <c r="M8" i="50" s="1"/>
  <c r="I10" i="50"/>
  <c r="J27" i="50"/>
  <c r="K38" i="30"/>
  <c r="X189" i="29"/>
  <c r="U16" i="29"/>
  <c r="G36" i="30"/>
  <c r="F25" i="50"/>
  <c r="M16" i="29"/>
  <c r="P16" i="29" s="1"/>
  <c r="T16" i="29" s="1"/>
  <c r="AY16" i="29"/>
  <c r="Q16" i="29"/>
  <c r="R36" i="30" s="1"/>
  <c r="AB17" i="48"/>
  <c r="A45" i="50"/>
  <c r="O44" i="50"/>
  <c r="CJ20" i="29"/>
  <c r="AT21" i="29"/>
  <c r="BC14" i="29"/>
  <c r="CD14" i="29"/>
  <c r="V19" i="46"/>
  <c r="CL24" i="29" l="1"/>
  <c r="CK25" i="29"/>
  <c r="AK16" i="29"/>
  <c r="CN23" i="29"/>
  <c r="CM23" i="29"/>
  <c r="H87" i="30"/>
  <c r="H25" i="30" s="1"/>
  <c r="N256" i="29"/>
  <c r="K87" i="30"/>
  <c r="K25" i="30" s="1"/>
  <c r="X256" i="29"/>
  <c r="T19" i="29"/>
  <c r="R17" i="48"/>
  <c r="M18" i="48"/>
  <c r="N18" i="48" s="1"/>
  <c r="D19" i="46"/>
  <c r="I25" i="50"/>
  <c r="N25" i="50" s="1"/>
  <c r="J36" i="30"/>
  <c r="S36" i="30" s="1"/>
  <c r="K24" i="50"/>
  <c r="L35" i="30"/>
  <c r="AB15" i="29"/>
  <c r="C22" i="48"/>
  <c r="AA22" i="48"/>
  <c r="E22" i="48"/>
  <c r="Q21" i="48"/>
  <c r="S21" i="48"/>
  <c r="T21" i="48" s="1"/>
  <c r="BC15" i="29"/>
  <c r="CD15" i="29"/>
  <c r="AS23" i="29"/>
  <c r="E23" i="29" s="1"/>
  <c r="C42" i="30"/>
  <c r="B31" i="50"/>
  <c r="R31" i="50" s="1"/>
  <c r="BF22" i="29"/>
  <c r="BO22" i="29" s="1"/>
  <c r="AT22" i="29"/>
  <c r="CJ21" i="29"/>
  <c r="AB18" i="48"/>
  <c r="E17" i="48"/>
  <c r="J18" i="46"/>
  <c r="AZ16" i="29"/>
  <c r="BH16" i="29"/>
  <c r="U17" i="29"/>
  <c r="F26" i="50"/>
  <c r="G37" i="30"/>
  <c r="Q17" i="29"/>
  <c r="R37" i="30" s="1"/>
  <c r="AY17" i="29"/>
  <c r="M17" i="29"/>
  <c r="T5" i="45"/>
  <c r="CN14" i="29"/>
  <c r="A46" i="50"/>
  <c r="O45" i="50"/>
  <c r="W16" i="29"/>
  <c r="AC16" i="29" s="1"/>
  <c r="X80" i="45" s="1"/>
  <c r="R200" i="50"/>
  <c r="J198" i="50"/>
  <c r="AR18" i="29"/>
  <c r="H21" i="48"/>
  <c r="K21" i="48"/>
  <c r="P21" i="48" s="1"/>
  <c r="I21" i="48"/>
  <c r="J21" i="48"/>
  <c r="AJ22" i="29"/>
  <c r="K18" i="29" l="1"/>
  <c r="T25" i="50"/>
  <c r="U25" i="50" s="1"/>
  <c r="AJ23" i="29"/>
  <c r="CK26" i="29"/>
  <c r="CL25" i="29"/>
  <c r="CM24" i="29"/>
  <c r="CN24" i="29"/>
  <c r="N127" i="48"/>
  <c r="N177" i="48"/>
  <c r="T6" i="45"/>
  <c r="BA16" i="29"/>
  <c r="BB16" i="29" s="1"/>
  <c r="BQ16" i="29"/>
  <c r="E18" i="48"/>
  <c r="V5" i="45"/>
  <c r="CN15" i="29"/>
  <c r="X35" i="45"/>
  <c r="P17" i="29"/>
  <c r="AA23" i="48"/>
  <c r="S22" i="48"/>
  <c r="T22" i="48" s="1"/>
  <c r="C23" i="48"/>
  <c r="E23" i="48"/>
  <c r="Q22" i="48"/>
  <c r="T19" i="46"/>
  <c r="O18" i="48"/>
  <c r="O46" i="50"/>
  <c r="A47" i="50"/>
  <c r="AZ17" i="29"/>
  <c r="BH17" i="29"/>
  <c r="N18" i="46"/>
  <c r="CJ22" i="29"/>
  <c r="AT23" i="29"/>
  <c r="AS24" i="29"/>
  <c r="E24" i="29" s="1"/>
  <c r="C43" i="30"/>
  <c r="B32" i="50"/>
  <c r="R32" i="50" s="1"/>
  <c r="BF23" i="29"/>
  <c r="BO23" i="29" s="1"/>
  <c r="Y16" i="29"/>
  <c r="AB16" i="29" s="1"/>
  <c r="AH17" i="29" s="1"/>
  <c r="AI17" i="29" s="1"/>
  <c r="M24" i="50"/>
  <c r="AG15" i="29"/>
  <c r="N35" i="30"/>
  <c r="AH16" i="29"/>
  <c r="I26" i="50"/>
  <c r="J37" i="30"/>
  <c r="S37" i="30" s="1"/>
  <c r="J17" i="48"/>
  <c r="H17" i="48"/>
  <c r="K17" i="48" s="1"/>
  <c r="P17" i="48" s="1"/>
  <c r="I17" i="48"/>
  <c r="I22" i="48"/>
  <c r="J22" i="48"/>
  <c r="H22" i="48"/>
  <c r="K22" i="48"/>
  <c r="P22" i="48" s="1"/>
  <c r="U21" i="48"/>
  <c r="U22" i="48" s="1"/>
  <c r="Q18" i="29" l="1"/>
  <c r="R38" i="30" s="1"/>
  <c r="F27" i="50"/>
  <c r="G38" i="30"/>
  <c r="AY18" i="29"/>
  <c r="M18" i="29"/>
  <c r="U18" i="29"/>
  <c r="AR19" i="29"/>
  <c r="CN25" i="29"/>
  <c r="CM25" i="29"/>
  <c r="CL26" i="29"/>
  <c r="CK27" i="29"/>
  <c r="BA17" i="29"/>
  <c r="BB17" i="29" s="1"/>
  <c r="BQ17" i="29"/>
  <c r="G19" i="46"/>
  <c r="U19" i="46"/>
  <c r="E24" i="48"/>
  <c r="Q23" i="48"/>
  <c r="C24" i="48"/>
  <c r="S23" i="48"/>
  <c r="T23" i="48" s="1"/>
  <c r="AA24" i="48"/>
  <c r="T26" i="50"/>
  <c r="T17" i="29"/>
  <c r="U23" i="48"/>
  <c r="AI16" i="29"/>
  <c r="AI189" i="29" s="1"/>
  <c r="N22" i="30" s="1"/>
  <c r="Q22" i="30" s="1"/>
  <c r="AK17" i="29"/>
  <c r="AK18" i="29" s="1"/>
  <c r="AK19" i="29" s="1"/>
  <c r="AK20" i="29" s="1"/>
  <c r="AK21" i="29" s="1"/>
  <c r="AK22" i="29" s="1"/>
  <c r="AK23" i="29" s="1"/>
  <c r="AK24" i="29" s="1"/>
  <c r="L36" i="30"/>
  <c r="K25" i="50"/>
  <c r="A48" i="50"/>
  <c r="O47" i="50"/>
  <c r="N26" i="50"/>
  <c r="V6" i="45"/>
  <c r="H18" i="48"/>
  <c r="I18" i="48"/>
  <c r="K18" i="48"/>
  <c r="P18" i="48" s="1"/>
  <c r="J18" i="48"/>
  <c r="BC16" i="29"/>
  <c r="CD16" i="29"/>
  <c r="M25" i="50"/>
  <c r="N36" i="30"/>
  <c r="AG16" i="29"/>
  <c r="Y17" i="29"/>
  <c r="AS25" i="29"/>
  <c r="E25" i="29" s="1"/>
  <c r="C44" i="30"/>
  <c r="BF24" i="29"/>
  <c r="BO24" i="29" s="1"/>
  <c r="B33" i="50"/>
  <c r="R33" i="50" s="1"/>
  <c r="AJ24" i="29"/>
  <c r="AT24" i="29"/>
  <c r="CJ23" i="29"/>
  <c r="R18" i="48"/>
  <c r="O19" i="48"/>
  <c r="M19" i="48"/>
  <c r="J23" i="48"/>
  <c r="I23" i="48"/>
  <c r="H23" i="48"/>
  <c r="K23" i="48" s="1"/>
  <c r="P23" i="48" s="1"/>
  <c r="AB19" i="48"/>
  <c r="AB20" i="48" s="1"/>
  <c r="AB21" i="48" s="1"/>
  <c r="AB22" i="48" s="1"/>
  <c r="AB23" i="48" s="1"/>
  <c r="K19" i="29" l="1"/>
  <c r="AK25" i="29"/>
  <c r="BH18" i="29"/>
  <c r="AZ18" i="29"/>
  <c r="I27" i="50"/>
  <c r="J38" i="30"/>
  <c r="S38" i="30" s="1"/>
  <c r="P18" i="29"/>
  <c r="M189" i="29"/>
  <c r="M195" i="29"/>
  <c r="AJ25" i="29"/>
  <c r="CL27" i="29"/>
  <c r="CK28" i="29"/>
  <c r="CM26" i="29"/>
  <c r="CN26" i="29"/>
  <c r="I24" i="48"/>
  <c r="J24" i="48"/>
  <c r="H24" i="48"/>
  <c r="K24" i="48" s="1"/>
  <c r="P24" i="48" s="1"/>
  <c r="V20" i="46"/>
  <c r="BC17" i="29"/>
  <c r="CD17" i="29"/>
  <c r="O20" i="48"/>
  <c r="M20" i="48"/>
  <c r="R19" i="48"/>
  <c r="AB24" i="48"/>
  <c r="AS26" i="29"/>
  <c r="E26" i="29" s="1"/>
  <c r="C45" i="30"/>
  <c r="BF25" i="29"/>
  <c r="BO25" i="29" s="1"/>
  <c r="B34" i="50"/>
  <c r="R34" i="50" s="1"/>
  <c r="X5" i="45"/>
  <c r="CN16" i="29"/>
  <c r="W17" i="29"/>
  <c r="AA25" i="48"/>
  <c r="Q24" i="48"/>
  <c r="E25" i="48"/>
  <c r="S24" i="48"/>
  <c r="T24" i="48" s="1"/>
  <c r="C25" i="48"/>
  <c r="H19" i="46"/>
  <c r="CJ24" i="29"/>
  <c r="AT25" i="29"/>
  <c r="L37" i="30"/>
  <c r="K26" i="50"/>
  <c r="AB17" i="29"/>
  <c r="A49" i="50"/>
  <c r="O48" i="50"/>
  <c r="U26" i="50"/>
  <c r="AK26" i="29" l="1"/>
  <c r="Q19" i="29"/>
  <c r="R39" i="30" s="1"/>
  <c r="G39" i="30"/>
  <c r="U19" i="29"/>
  <c r="AY19" i="29"/>
  <c r="F28" i="50"/>
  <c r="K189" i="29"/>
  <c r="AR20" i="29"/>
  <c r="AR21" i="29" s="1"/>
  <c r="AR22" i="29" s="1"/>
  <c r="AR23" i="29" s="1"/>
  <c r="AR24" i="29" s="1"/>
  <c r="AR25" i="29" s="1"/>
  <c r="AR26" i="29" s="1"/>
  <c r="AR27" i="29" s="1"/>
  <c r="AR28" i="29" s="1"/>
  <c r="AR29" i="29" s="1"/>
  <c r="AR30" i="29" s="1"/>
  <c r="AR31" i="29" s="1"/>
  <c r="AR32" i="29" s="1"/>
  <c r="AR33" i="29" s="1"/>
  <c r="AR34" i="29" s="1"/>
  <c r="AR35" i="29" s="1"/>
  <c r="AR36" i="29" s="1"/>
  <c r="AR37" i="29" s="1"/>
  <c r="AR38" i="29" s="1"/>
  <c r="AR39" i="29" s="1"/>
  <c r="AR40" i="29" s="1"/>
  <c r="AR41" i="29" s="1"/>
  <c r="AR42" i="29" s="1"/>
  <c r="AR43" i="29" s="1"/>
  <c r="AR44" i="29" s="1"/>
  <c r="AR45" i="29" s="1"/>
  <c r="AR46" i="29" s="1"/>
  <c r="AR47" i="29" s="1"/>
  <c r="AR48" i="29" s="1"/>
  <c r="AR49" i="29" s="1"/>
  <c r="AR50" i="29" s="1"/>
  <c r="AR51" i="29" s="1"/>
  <c r="AR52" i="29" s="1"/>
  <c r="AR53" i="29" s="1"/>
  <c r="AR54" i="29" s="1"/>
  <c r="AR55" i="29" s="1"/>
  <c r="AR56" i="29" s="1"/>
  <c r="AR57" i="29" s="1"/>
  <c r="AR58" i="29" s="1"/>
  <c r="AR59" i="29" s="1"/>
  <c r="AR60" i="29" s="1"/>
  <c r="AR61" i="29" s="1"/>
  <c r="AR62" i="29" s="1"/>
  <c r="AR63" i="29" s="1"/>
  <c r="AR64" i="29" s="1"/>
  <c r="AR65" i="29" s="1"/>
  <c r="AR66" i="29" s="1"/>
  <c r="AR67" i="29" s="1"/>
  <c r="AR68" i="29" s="1"/>
  <c r="AR69" i="29" s="1"/>
  <c r="AR70" i="29" s="1"/>
  <c r="AR71" i="29" s="1"/>
  <c r="AR72" i="29" s="1"/>
  <c r="AR73" i="29" s="1"/>
  <c r="AR74" i="29" s="1"/>
  <c r="AR75" i="29" s="1"/>
  <c r="AR76" i="29" s="1"/>
  <c r="AR77" i="29" s="1"/>
  <c r="AR78" i="29" s="1"/>
  <c r="AR79" i="29" s="1"/>
  <c r="AR80" i="29" s="1"/>
  <c r="AR81" i="29" s="1"/>
  <c r="AR82" i="29" s="1"/>
  <c r="AR83" i="29" s="1"/>
  <c r="AR84" i="29" s="1"/>
  <c r="AR85" i="29" s="1"/>
  <c r="AR86" i="29" s="1"/>
  <c r="AR87" i="29" s="1"/>
  <c r="AR88" i="29" s="1"/>
  <c r="AR89" i="29" s="1"/>
  <c r="AR90" i="29" s="1"/>
  <c r="AR91" i="29" s="1"/>
  <c r="AR92" i="29" s="1"/>
  <c r="AR93" i="29" s="1"/>
  <c r="AR94" i="29" s="1"/>
  <c r="AR95" i="29" s="1"/>
  <c r="AR96" i="29" s="1"/>
  <c r="AR97" i="29" s="1"/>
  <c r="AR98" i="29" s="1"/>
  <c r="AR99" i="29" s="1"/>
  <c r="AR100" i="29" s="1"/>
  <c r="AR101" i="29" s="1"/>
  <c r="AR102" i="29" s="1"/>
  <c r="AR103" i="29" s="1"/>
  <c r="AR104" i="29" s="1"/>
  <c r="AR105" i="29" s="1"/>
  <c r="AR106" i="29" s="1"/>
  <c r="AR107" i="29" s="1"/>
  <c r="AR108" i="29" s="1"/>
  <c r="AR109" i="29" s="1"/>
  <c r="AR110" i="29" s="1"/>
  <c r="AR111" i="29" s="1"/>
  <c r="AR112" i="29" s="1"/>
  <c r="AR113" i="29" s="1"/>
  <c r="AR114" i="29" s="1"/>
  <c r="AR115" i="29" s="1"/>
  <c r="AR116" i="29" s="1"/>
  <c r="AR117" i="29" s="1"/>
  <c r="AR118" i="29" s="1"/>
  <c r="AR119" i="29" s="1"/>
  <c r="AR120" i="29" s="1"/>
  <c r="AR121" i="29" s="1"/>
  <c r="AR122" i="29" s="1"/>
  <c r="AR123" i="29" s="1"/>
  <c r="AR124" i="29" s="1"/>
  <c r="AR125" i="29" s="1"/>
  <c r="AR126" i="29" s="1"/>
  <c r="AR127" i="29" s="1"/>
  <c r="AR128" i="29" s="1"/>
  <c r="AR129" i="29" s="1"/>
  <c r="AR130" i="29" s="1"/>
  <c r="AR131" i="29" s="1"/>
  <c r="AR132" i="29" s="1"/>
  <c r="AR133" i="29" s="1"/>
  <c r="AR134" i="29" s="1"/>
  <c r="AR135" i="29" s="1"/>
  <c r="AR136" i="29" s="1"/>
  <c r="AR137" i="29" s="1"/>
  <c r="AR138" i="29" s="1"/>
  <c r="AR139" i="29" s="1"/>
  <c r="AR140" i="29" s="1"/>
  <c r="AR141" i="29" s="1"/>
  <c r="AR142" i="29" s="1"/>
  <c r="AR143" i="29" s="1"/>
  <c r="AR144" i="29" s="1"/>
  <c r="AR145" i="29" s="1"/>
  <c r="AR146" i="29" s="1"/>
  <c r="AR147" i="29" s="1"/>
  <c r="AR148" i="29" s="1"/>
  <c r="AR149" i="29" s="1"/>
  <c r="AR150" i="29" s="1"/>
  <c r="AR151" i="29" s="1"/>
  <c r="AR152" i="29" s="1"/>
  <c r="AR153" i="29" s="1"/>
  <c r="AR154" i="29" s="1"/>
  <c r="AR155" i="29" s="1"/>
  <c r="AR156" i="29" s="1"/>
  <c r="AR157" i="29" s="1"/>
  <c r="AR158" i="29" s="1"/>
  <c r="AR159" i="29" s="1"/>
  <c r="AR160" i="29" s="1"/>
  <c r="AR161" i="29" s="1"/>
  <c r="AR162" i="29" s="1"/>
  <c r="AR163" i="29" s="1"/>
  <c r="AR164" i="29" s="1"/>
  <c r="AR165" i="29" s="1"/>
  <c r="AR166" i="29" s="1"/>
  <c r="AR167" i="29" s="1"/>
  <c r="AR168" i="29" s="1"/>
  <c r="AR169" i="29" s="1"/>
  <c r="AR170" i="29" s="1"/>
  <c r="AR171" i="29" s="1"/>
  <c r="AR172" i="29" s="1"/>
  <c r="AR173" i="29" s="1"/>
  <c r="AR174" i="29" s="1"/>
  <c r="AR175" i="29" s="1"/>
  <c r="AR176" i="29" s="1"/>
  <c r="AR177" i="29" s="1"/>
  <c r="AR178" i="29" s="1"/>
  <c r="AR179" i="29" s="1"/>
  <c r="AR180" i="29" s="1"/>
  <c r="AR181" i="29" s="1"/>
  <c r="AR182" i="29" s="1"/>
  <c r="AR183" i="29" s="1"/>
  <c r="AR184" i="29" s="1"/>
  <c r="AR185" i="29" s="1"/>
  <c r="AR186" i="29" s="1"/>
  <c r="AR187" i="29" s="1"/>
  <c r="AR188" i="29" s="1"/>
  <c r="M197" i="29"/>
  <c r="M200" i="29"/>
  <c r="M198" i="29"/>
  <c r="H11" i="30"/>
  <c r="T27" i="50"/>
  <c r="BQ18" i="29"/>
  <c r="BA18" i="29"/>
  <c r="BB18" i="29" s="1"/>
  <c r="T18" i="29"/>
  <c r="P195" i="29"/>
  <c r="P189" i="29"/>
  <c r="CK29" i="29"/>
  <c r="CL28" i="29"/>
  <c r="CM27" i="29"/>
  <c r="CN27" i="29"/>
  <c r="AT26" i="29"/>
  <c r="CJ25" i="29"/>
  <c r="Q25" i="48"/>
  <c r="S25" i="48"/>
  <c r="T25" i="48" s="1"/>
  <c r="E26" i="48"/>
  <c r="C26" i="48"/>
  <c r="AA26" i="48"/>
  <c r="AC17" i="29"/>
  <c r="X6" i="45"/>
  <c r="AS27" i="29"/>
  <c r="E27" i="29" s="1"/>
  <c r="C46" i="30"/>
  <c r="B35" i="50"/>
  <c r="BF26" i="29"/>
  <c r="AB25" i="48"/>
  <c r="AB26" i="48" s="1"/>
  <c r="AJ26" i="29"/>
  <c r="D20" i="46"/>
  <c r="T20" i="46" s="1"/>
  <c r="Y18" i="29"/>
  <c r="AG17" i="29"/>
  <c r="N37" i="30"/>
  <c r="M26" i="50"/>
  <c r="U24" i="48"/>
  <c r="U25" i="48" s="1"/>
  <c r="O49" i="50"/>
  <c r="A50" i="50"/>
  <c r="I25" i="48"/>
  <c r="K25" i="48"/>
  <c r="P25" i="48" s="1"/>
  <c r="J25" i="48"/>
  <c r="H25" i="48"/>
  <c r="J19" i="46"/>
  <c r="R20" i="48"/>
  <c r="O21" i="48"/>
  <c r="M21" i="48"/>
  <c r="Z5" i="45"/>
  <c r="CN17" i="29"/>
  <c r="G87" i="30" l="1"/>
  <c r="G25" i="30" s="1"/>
  <c r="K256" i="29"/>
  <c r="F198" i="50"/>
  <c r="M3" i="50" s="1"/>
  <c r="BH19" i="29"/>
  <c r="BH3" i="29" s="1"/>
  <c r="AZ19" i="29"/>
  <c r="I28" i="50"/>
  <c r="I198" i="50" s="1"/>
  <c r="M6" i="50" s="1"/>
  <c r="J39" i="30"/>
  <c r="S39" i="30" s="1"/>
  <c r="S40" i="30" s="1"/>
  <c r="S41" i="30" s="1"/>
  <c r="S42" i="30" s="1"/>
  <c r="S43" i="30" s="1"/>
  <c r="S44" i="30" s="1"/>
  <c r="S45" i="30" s="1"/>
  <c r="S46" i="30" s="1"/>
  <c r="S47" i="30" s="1"/>
  <c r="S48" i="30" s="1"/>
  <c r="S49" i="30" s="1"/>
  <c r="S50" i="30" s="1"/>
  <c r="S51" i="30" s="1"/>
  <c r="S52" i="30" s="1"/>
  <c r="S53" i="30" s="1"/>
  <c r="S54" i="30" s="1"/>
  <c r="S55" i="30" s="1"/>
  <c r="S56" i="30" s="1"/>
  <c r="S57" i="30" s="1"/>
  <c r="S58" i="30" s="1"/>
  <c r="S59" i="30" s="1"/>
  <c r="S60" i="30" s="1"/>
  <c r="S61" i="30" s="1"/>
  <c r="S62" i="30" s="1"/>
  <c r="S63" i="30" s="1"/>
  <c r="S64" i="30" s="1"/>
  <c r="S65" i="30" s="1"/>
  <c r="S66" i="30" s="1"/>
  <c r="S67" i="30" s="1"/>
  <c r="S68" i="30" s="1"/>
  <c r="S69" i="30" s="1"/>
  <c r="S70" i="30" s="1"/>
  <c r="S71" i="30" s="1"/>
  <c r="S72" i="30" s="1"/>
  <c r="S73" i="30" s="1"/>
  <c r="S74" i="30" s="1"/>
  <c r="S75" i="30" s="1"/>
  <c r="S76" i="30" s="1"/>
  <c r="S77" i="30" s="1"/>
  <c r="S78" i="30" s="1"/>
  <c r="S79" i="30" s="1"/>
  <c r="S80" i="30" s="1"/>
  <c r="S81" i="30" s="1"/>
  <c r="S82" i="30" s="1"/>
  <c r="S83" i="30" s="1"/>
  <c r="S84" i="30" s="1"/>
  <c r="S85" i="30" s="1"/>
  <c r="S86" i="30" s="1"/>
  <c r="W19" i="29"/>
  <c r="AC19" i="29" s="1"/>
  <c r="U189" i="29"/>
  <c r="J87" i="30" s="1"/>
  <c r="J25" i="30" s="1"/>
  <c r="W18" i="29"/>
  <c r="T195" i="29"/>
  <c r="T189" i="29"/>
  <c r="CD18" i="29"/>
  <c r="BC18" i="29"/>
  <c r="P200" i="29"/>
  <c r="P198" i="29"/>
  <c r="P197" i="29"/>
  <c r="H14" i="30"/>
  <c r="DF3" i="29"/>
  <c r="DF26" i="29" s="1"/>
  <c r="Z18" i="29"/>
  <c r="AB18" i="29" s="1"/>
  <c r="CM28" i="29"/>
  <c r="CN28" i="29"/>
  <c r="CL29" i="29"/>
  <c r="CK30" i="29"/>
  <c r="M22" i="48"/>
  <c r="O22" i="48"/>
  <c r="R21" i="48"/>
  <c r="K27" i="50"/>
  <c r="L38" i="30"/>
  <c r="AJ27" i="29"/>
  <c r="AA27" i="48"/>
  <c r="C27" i="48"/>
  <c r="E27" i="48"/>
  <c r="Q26" i="48"/>
  <c r="S26" i="48"/>
  <c r="T26" i="48" s="1"/>
  <c r="Z6" i="45"/>
  <c r="AB27" i="48"/>
  <c r="AS28" i="29"/>
  <c r="E28" i="29" s="1"/>
  <c r="BF27" i="29"/>
  <c r="B36" i="50"/>
  <c r="R36" i="50" s="1"/>
  <c r="C47" i="30"/>
  <c r="N19" i="46"/>
  <c r="O50" i="50"/>
  <c r="A51" i="50"/>
  <c r="U26" i="48"/>
  <c r="BO26" i="29"/>
  <c r="J26" i="48"/>
  <c r="I26" i="48"/>
  <c r="H26" i="48"/>
  <c r="K26" i="48" s="1"/>
  <c r="P26" i="48" s="1"/>
  <c r="CJ26" i="29"/>
  <c r="AT27" i="29"/>
  <c r="U20" i="46"/>
  <c r="R35" i="50"/>
  <c r="Z80" i="45"/>
  <c r="AK27" i="29"/>
  <c r="AB4" i="45" l="1"/>
  <c r="AC18" i="29"/>
  <c r="AB80" i="45" s="1"/>
  <c r="B80" i="45" s="1"/>
  <c r="Z81" i="45" s="1"/>
  <c r="Z82" i="45" s="1"/>
  <c r="T28" i="50"/>
  <c r="U28" i="50" s="1"/>
  <c r="M7" i="50"/>
  <c r="M9" i="50" s="1"/>
  <c r="BA19" i="29"/>
  <c r="BB19" i="29" s="1"/>
  <c r="BQ19" i="29"/>
  <c r="BQ3" i="29" s="1"/>
  <c r="N28" i="50"/>
  <c r="M38" i="30"/>
  <c r="DE161" i="29"/>
  <c r="DE29" i="29"/>
  <c r="DE173" i="29"/>
  <c r="DE30" i="29"/>
  <c r="DE118" i="29"/>
  <c r="DE114" i="29"/>
  <c r="DE136" i="29"/>
  <c r="DE85" i="29"/>
  <c r="DE55" i="29"/>
  <c r="DF21" i="29"/>
  <c r="DE50" i="29"/>
  <c r="DE97" i="29"/>
  <c r="DE183" i="29"/>
  <c r="DE111" i="29"/>
  <c r="DE24" i="29"/>
  <c r="DE106" i="29"/>
  <c r="DE160" i="29"/>
  <c r="DE179" i="29"/>
  <c r="DE77" i="29"/>
  <c r="DE93" i="29"/>
  <c r="DE15" i="29"/>
  <c r="DE67" i="29"/>
  <c r="DE38" i="29"/>
  <c r="DE25" i="29"/>
  <c r="DE54" i="29"/>
  <c r="DF9" i="29"/>
  <c r="DG7" i="29"/>
  <c r="DE119" i="29"/>
  <c r="DE95" i="29"/>
  <c r="DE18" i="29"/>
  <c r="DE39" i="29"/>
  <c r="DE89" i="29"/>
  <c r="DE36" i="29"/>
  <c r="DE98" i="29"/>
  <c r="DE180" i="29"/>
  <c r="DF23" i="29"/>
  <c r="DE58" i="29"/>
  <c r="DE11" i="29"/>
  <c r="DE88" i="29"/>
  <c r="DE150" i="29"/>
  <c r="DE142" i="29"/>
  <c r="DE79" i="29"/>
  <c r="DE186" i="29"/>
  <c r="DE107" i="29"/>
  <c r="DE21" i="29"/>
  <c r="DE147" i="29"/>
  <c r="DE162" i="29"/>
  <c r="DF22" i="29"/>
  <c r="DE166" i="29"/>
  <c r="DE41" i="29"/>
  <c r="DF13" i="29"/>
  <c r="DE63" i="29"/>
  <c r="DE188" i="29"/>
  <c r="DF19" i="29"/>
  <c r="DE22" i="29"/>
  <c r="DE113" i="29"/>
  <c r="DE53" i="29"/>
  <c r="DE68" i="29"/>
  <c r="DF6" i="29"/>
  <c r="DE187" i="29"/>
  <c r="DE16" i="29"/>
  <c r="DF10" i="29"/>
  <c r="DE170" i="29"/>
  <c r="DE143" i="29"/>
  <c r="DE87" i="29"/>
  <c r="DE28" i="29"/>
  <c r="DE80" i="29"/>
  <c r="DE125" i="29"/>
  <c r="DE72" i="29"/>
  <c r="DE33" i="29"/>
  <c r="DE48" i="29"/>
  <c r="DE76" i="29"/>
  <c r="DE65" i="29"/>
  <c r="DE27" i="29"/>
  <c r="DE163" i="29"/>
  <c r="DE61" i="29"/>
  <c r="DE121" i="29"/>
  <c r="DE20" i="29"/>
  <c r="DE174" i="29"/>
  <c r="DE64" i="29"/>
  <c r="DE122" i="29"/>
  <c r="DE81" i="29"/>
  <c r="DE12" i="29"/>
  <c r="DE35" i="29"/>
  <c r="DE44" i="29"/>
  <c r="DE151" i="29"/>
  <c r="DE78" i="29"/>
  <c r="DE96" i="29"/>
  <c r="DE132" i="29"/>
  <c r="DE69" i="29"/>
  <c r="DE110" i="29"/>
  <c r="DE17" i="29"/>
  <c r="DE164" i="29"/>
  <c r="DE117" i="29"/>
  <c r="DE51" i="29"/>
  <c r="DE149" i="29"/>
  <c r="DE146" i="29"/>
  <c r="DE124" i="29"/>
  <c r="DF15" i="29"/>
  <c r="DE145" i="29"/>
  <c r="DF8" i="29"/>
  <c r="DE92" i="29"/>
  <c r="DE91" i="29"/>
  <c r="DE156" i="29"/>
  <c r="DE120" i="29"/>
  <c r="DE74" i="29"/>
  <c r="DE82" i="29"/>
  <c r="DE75" i="29"/>
  <c r="DE184" i="29"/>
  <c r="DE32" i="29"/>
  <c r="DE42" i="29"/>
  <c r="DE148" i="29"/>
  <c r="DE169" i="29"/>
  <c r="DE57" i="29"/>
  <c r="DE177" i="29"/>
  <c r="DE6" i="29"/>
  <c r="DE137" i="29"/>
  <c r="DE99" i="29"/>
  <c r="DE141" i="29"/>
  <c r="DE152" i="29"/>
  <c r="DE19" i="29"/>
  <c r="DF20" i="29"/>
  <c r="DE26" i="29"/>
  <c r="DE109" i="29"/>
  <c r="DE23" i="29"/>
  <c r="DE70" i="29"/>
  <c r="DE83" i="29"/>
  <c r="DE182" i="29"/>
  <c r="DE66" i="29"/>
  <c r="DE31" i="29"/>
  <c r="DE40" i="29"/>
  <c r="DE10" i="29"/>
  <c r="DE130" i="29"/>
  <c r="DE108" i="29"/>
  <c r="DF24" i="29"/>
  <c r="DE102" i="29"/>
  <c r="DE7" i="29"/>
  <c r="DE45" i="29"/>
  <c r="DF16" i="29"/>
  <c r="DE144" i="29"/>
  <c r="DE185" i="29"/>
  <c r="DE43" i="29"/>
  <c r="DF14" i="29"/>
  <c r="DE159" i="29"/>
  <c r="DE100" i="29"/>
  <c r="DE9" i="29"/>
  <c r="DE126" i="29"/>
  <c r="DE59" i="29"/>
  <c r="DE37" i="29"/>
  <c r="DE60" i="29"/>
  <c r="DE123" i="29"/>
  <c r="DE134" i="29"/>
  <c r="DE127" i="29"/>
  <c r="DF12" i="29"/>
  <c r="DE140" i="29"/>
  <c r="DE47" i="29"/>
  <c r="DE171" i="29"/>
  <c r="DE175" i="29"/>
  <c r="DE73" i="29"/>
  <c r="DE49" i="29"/>
  <c r="DE128" i="29"/>
  <c r="DE138" i="29"/>
  <c r="DE13" i="29"/>
  <c r="DE167" i="29"/>
  <c r="DE139" i="29"/>
  <c r="DE178" i="29"/>
  <c r="DE181" i="29"/>
  <c r="DE112" i="29"/>
  <c r="DF7" i="29"/>
  <c r="DE90" i="29"/>
  <c r="DF18" i="29"/>
  <c r="DE94" i="29"/>
  <c r="DE84" i="29"/>
  <c r="DE14" i="29"/>
  <c r="DE172" i="29"/>
  <c r="DE56" i="29"/>
  <c r="DE52" i="29"/>
  <c r="DE168" i="29"/>
  <c r="DE71" i="29"/>
  <c r="DE131" i="29"/>
  <c r="DE158" i="29"/>
  <c r="DE153" i="29"/>
  <c r="DE8" i="29"/>
  <c r="DE116" i="29"/>
  <c r="DE62" i="29"/>
  <c r="DE155" i="29"/>
  <c r="DE101" i="29"/>
  <c r="DE133" i="29"/>
  <c r="DE34" i="29"/>
  <c r="DE157" i="29"/>
  <c r="DF11" i="29"/>
  <c r="DE104" i="29"/>
  <c r="DE135" i="29"/>
  <c r="DE115" i="29"/>
  <c r="DE46" i="29"/>
  <c r="DF17" i="29"/>
  <c r="DE86" i="29"/>
  <c r="DE129" i="29"/>
  <c r="DE103" i="29"/>
  <c r="DE154" i="29"/>
  <c r="DE165" i="29"/>
  <c r="DE176" i="29"/>
  <c r="DE105" i="29"/>
  <c r="DF25" i="29"/>
  <c r="AX18" i="29"/>
  <c r="CM18" i="29" s="1"/>
  <c r="T198" i="29"/>
  <c r="T200" i="29"/>
  <c r="H16" i="30"/>
  <c r="T197" i="29"/>
  <c r="DK3" i="29"/>
  <c r="DK27" i="29" s="1"/>
  <c r="Z189" i="29"/>
  <c r="M87" i="30" s="1"/>
  <c r="M25" i="30" s="1"/>
  <c r="AB5" i="45"/>
  <c r="C5" i="45" s="1"/>
  <c r="CN18" i="29"/>
  <c r="W195" i="29"/>
  <c r="W189" i="29"/>
  <c r="AK28" i="29"/>
  <c r="N38" i="30"/>
  <c r="Y19" i="29"/>
  <c r="AB19" i="29" s="1"/>
  <c r="M27" i="50"/>
  <c r="AG18" i="29"/>
  <c r="CL30" i="29"/>
  <c r="CK31" i="29"/>
  <c r="AC195" i="29"/>
  <c r="F9" i="45" s="1"/>
  <c r="L27" i="50"/>
  <c r="U27" i="50" s="1"/>
  <c r="CM29" i="29"/>
  <c r="CN29" i="29"/>
  <c r="J27" i="48"/>
  <c r="H27" i="48"/>
  <c r="K27" i="48"/>
  <c r="P27" i="48" s="1"/>
  <c r="I27" i="48"/>
  <c r="C4" i="45"/>
  <c r="V21" i="46"/>
  <c r="D21" i="46" s="1"/>
  <c r="T21" i="46"/>
  <c r="AT28" i="29"/>
  <c r="CJ27" i="29"/>
  <c r="O51" i="50"/>
  <c r="A52" i="50"/>
  <c r="C28" i="48"/>
  <c r="E28" i="48"/>
  <c r="Q27" i="48"/>
  <c r="S27" i="48"/>
  <c r="T27" i="48" s="1"/>
  <c r="AA28" i="48"/>
  <c r="AB28" i="48" s="1"/>
  <c r="Z35" i="45"/>
  <c r="G20" i="46"/>
  <c r="H20" i="46" s="1"/>
  <c r="J20" i="46" s="1"/>
  <c r="N20" i="46" s="1"/>
  <c r="BO27" i="29"/>
  <c r="DF27" i="29"/>
  <c r="AB35" i="45"/>
  <c r="M23" i="48"/>
  <c r="O23" i="48" s="1"/>
  <c r="R22" i="48"/>
  <c r="AS29" i="29"/>
  <c r="E29" i="29" s="1"/>
  <c r="C48" i="30"/>
  <c r="B37" i="50"/>
  <c r="BF28" i="29"/>
  <c r="AJ28" i="29"/>
  <c r="AB6" i="45" l="1"/>
  <c r="AC189" i="29"/>
  <c r="AC256" i="29" s="1"/>
  <c r="Z256" i="29"/>
  <c r="CD19" i="29"/>
  <c r="BC19" i="29"/>
  <c r="CN19" i="29" s="1"/>
  <c r="K28" i="50"/>
  <c r="DG8" i="29"/>
  <c r="DH7" i="29"/>
  <c r="BI7" i="29" s="1"/>
  <c r="W197" i="29"/>
  <c r="W200" i="29"/>
  <c r="H18" i="30"/>
  <c r="W198" i="29"/>
  <c r="DJ133" i="29"/>
  <c r="DJ26" i="29"/>
  <c r="DJ64" i="29"/>
  <c r="DJ27" i="29"/>
  <c r="DK24" i="29"/>
  <c r="DJ169" i="29"/>
  <c r="DJ164" i="29"/>
  <c r="DJ36" i="29"/>
  <c r="DJ28" i="29"/>
  <c r="DJ10" i="29"/>
  <c r="DJ145" i="29"/>
  <c r="DJ17" i="29"/>
  <c r="DJ142" i="29"/>
  <c r="DJ85" i="29"/>
  <c r="DJ116" i="29"/>
  <c r="DJ60" i="29"/>
  <c r="DJ12" i="29"/>
  <c r="DJ160" i="29"/>
  <c r="DJ15" i="29"/>
  <c r="DJ130" i="29"/>
  <c r="DJ106" i="29"/>
  <c r="DJ43" i="29"/>
  <c r="DJ62" i="29"/>
  <c r="DJ49" i="29"/>
  <c r="DJ124" i="29"/>
  <c r="DJ114" i="29"/>
  <c r="DJ63" i="29"/>
  <c r="DJ19" i="29"/>
  <c r="DJ35" i="29"/>
  <c r="DJ152" i="29"/>
  <c r="DJ45" i="29"/>
  <c r="DJ108" i="29"/>
  <c r="DJ70" i="29"/>
  <c r="DJ157" i="29"/>
  <c r="DJ99" i="29"/>
  <c r="DL7" i="29"/>
  <c r="DJ174" i="29"/>
  <c r="DK11" i="29"/>
  <c r="DJ158" i="29"/>
  <c r="DJ58" i="29"/>
  <c r="DJ127" i="29"/>
  <c r="DJ6" i="29"/>
  <c r="DJ55" i="29"/>
  <c r="DK7" i="29"/>
  <c r="DJ25" i="29"/>
  <c r="DJ31" i="29"/>
  <c r="DJ122" i="29"/>
  <c r="DJ57" i="29"/>
  <c r="DJ76" i="29"/>
  <c r="DJ96" i="29"/>
  <c r="DK25" i="29"/>
  <c r="DJ180" i="29"/>
  <c r="DK23" i="29"/>
  <c r="DJ186" i="29"/>
  <c r="DJ125" i="29"/>
  <c r="DJ183" i="29"/>
  <c r="DK10" i="29"/>
  <c r="DJ105" i="29"/>
  <c r="DJ109" i="29"/>
  <c r="DK17" i="29"/>
  <c r="DJ71" i="29"/>
  <c r="DJ73" i="29"/>
  <c r="DJ93" i="29"/>
  <c r="DJ167" i="29"/>
  <c r="DJ113" i="29"/>
  <c r="DJ80" i="29"/>
  <c r="DJ13" i="29"/>
  <c r="DJ178" i="29"/>
  <c r="DJ102" i="29"/>
  <c r="DJ95" i="29"/>
  <c r="DJ118" i="29"/>
  <c r="DK14" i="29"/>
  <c r="DJ22" i="29"/>
  <c r="DJ24" i="29"/>
  <c r="DJ121" i="29"/>
  <c r="DJ170" i="29"/>
  <c r="DJ7" i="29"/>
  <c r="DJ53" i="29"/>
  <c r="DJ147" i="29"/>
  <c r="DJ83" i="29"/>
  <c r="DJ104" i="29"/>
  <c r="DK13" i="29"/>
  <c r="DJ188" i="29"/>
  <c r="DJ88" i="29"/>
  <c r="DJ141" i="29"/>
  <c r="DJ34" i="29"/>
  <c r="DJ155" i="29"/>
  <c r="DK12" i="29"/>
  <c r="DJ51" i="29"/>
  <c r="DJ98" i="29"/>
  <c r="DJ67" i="29"/>
  <c r="DJ184" i="29"/>
  <c r="DJ151" i="29"/>
  <c r="DJ139" i="29"/>
  <c r="DJ40" i="29"/>
  <c r="DJ179" i="29"/>
  <c r="DJ131" i="29"/>
  <c r="DJ68" i="29"/>
  <c r="DJ21" i="29"/>
  <c r="DJ153" i="29"/>
  <c r="DJ38" i="29"/>
  <c r="DJ132" i="29"/>
  <c r="DJ175" i="29"/>
  <c r="DJ14" i="29"/>
  <c r="DJ185" i="29"/>
  <c r="DJ148" i="29"/>
  <c r="DJ82" i="29"/>
  <c r="DJ75" i="29"/>
  <c r="DJ69" i="29"/>
  <c r="DJ16" i="29"/>
  <c r="DJ39" i="29"/>
  <c r="DJ100" i="29"/>
  <c r="DJ101" i="29"/>
  <c r="DJ74" i="29"/>
  <c r="DJ172" i="29"/>
  <c r="DJ33" i="29"/>
  <c r="DJ91" i="29"/>
  <c r="DK8" i="29"/>
  <c r="DJ171" i="29"/>
  <c r="DJ181" i="29"/>
  <c r="DJ187" i="29"/>
  <c r="DK22" i="29"/>
  <c r="DJ86" i="29"/>
  <c r="DJ78" i="29"/>
  <c r="DJ134" i="29"/>
  <c r="DK20" i="29"/>
  <c r="DJ42" i="29"/>
  <c r="DJ9" i="29"/>
  <c r="DJ159" i="29"/>
  <c r="DJ23" i="29"/>
  <c r="DJ8" i="29"/>
  <c r="DJ182" i="29"/>
  <c r="DJ29" i="29"/>
  <c r="DJ72" i="29"/>
  <c r="DJ161" i="29"/>
  <c r="DJ111" i="29"/>
  <c r="DJ65" i="29"/>
  <c r="DJ41" i="29"/>
  <c r="DK15" i="29"/>
  <c r="DJ136" i="29"/>
  <c r="DK19" i="29"/>
  <c r="DJ47" i="29"/>
  <c r="DJ115" i="29"/>
  <c r="DJ50" i="29"/>
  <c r="DK16" i="29"/>
  <c r="DJ94" i="29"/>
  <c r="DJ123" i="29"/>
  <c r="DJ128" i="29"/>
  <c r="DJ90" i="29"/>
  <c r="DJ110" i="29"/>
  <c r="DJ81" i="29"/>
  <c r="DJ59" i="29"/>
  <c r="DJ87" i="29"/>
  <c r="DJ143" i="29"/>
  <c r="DJ37" i="29"/>
  <c r="DJ137" i="29"/>
  <c r="DJ103" i="29"/>
  <c r="DJ11" i="29"/>
  <c r="DJ140" i="29"/>
  <c r="DJ173" i="29"/>
  <c r="DJ119" i="29"/>
  <c r="DJ168" i="29"/>
  <c r="DJ117" i="29"/>
  <c r="DJ92" i="29"/>
  <c r="DJ30" i="29"/>
  <c r="DJ79" i="29"/>
  <c r="DJ120" i="29"/>
  <c r="DJ163" i="29"/>
  <c r="DJ146" i="29"/>
  <c r="DJ150" i="29"/>
  <c r="DJ66" i="29"/>
  <c r="DJ138" i="29"/>
  <c r="DJ149" i="29"/>
  <c r="DJ48" i="29"/>
  <c r="DJ32" i="29"/>
  <c r="DJ77" i="29"/>
  <c r="DK18" i="29"/>
  <c r="DJ20" i="29"/>
  <c r="DJ154" i="29"/>
  <c r="DJ176" i="29"/>
  <c r="DJ144" i="29"/>
  <c r="DK9" i="29"/>
  <c r="DJ61" i="29"/>
  <c r="DJ129" i="29"/>
  <c r="DJ97" i="29"/>
  <c r="DJ54" i="29"/>
  <c r="DJ177" i="29"/>
  <c r="DJ107" i="29"/>
  <c r="DJ112" i="29"/>
  <c r="DJ166" i="29"/>
  <c r="DJ89" i="29"/>
  <c r="DK21" i="29"/>
  <c r="DJ46" i="29"/>
  <c r="DK26" i="29"/>
  <c r="DJ56" i="29"/>
  <c r="DJ165" i="29"/>
  <c r="DJ126" i="29"/>
  <c r="DJ162" i="29"/>
  <c r="DJ52" i="29"/>
  <c r="DJ84" i="29"/>
  <c r="DJ156" i="29"/>
  <c r="DJ18" i="29"/>
  <c r="DK6" i="29"/>
  <c r="DJ135" i="29"/>
  <c r="DJ44" i="29"/>
  <c r="N27" i="50"/>
  <c r="N198" i="50" s="1"/>
  <c r="L198" i="50"/>
  <c r="L39" i="30"/>
  <c r="AG19" i="29"/>
  <c r="Y20" i="29"/>
  <c r="AB20" i="29" s="1"/>
  <c r="N39" i="30"/>
  <c r="M28" i="50"/>
  <c r="CM30" i="29"/>
  <c r="CN30" i="29"/>
  <c r="AC198" i="29"/>
  <c r="H20" i="30"/>
  <c r="AC197" i="29"/>
  <c r="AC200" i="29"/>
  <c r="CL31" i="29"/>
  <c r="CK32" i="29"/>
  <c r="R23" i="48"/>
  <c r="M24" i="48"/>
  <c r="O24" i="48"/>
  <c r="AA32" i="45"/>
  <c r="AA54" i="45"/>
  <c r="AA36" i="45"/>
  <c r="AA35" i="45"/>
  <c r="AA38" i="45"/>
  <c r="AA40" i="45"/>
  <c r="AA39" i="45"/>
  <c r="AA27" i="45"/>
  <c r="AA34" i="45"/>
  <c r="AA43" i="45"/>
  <c r="AA37" i="45"/>
  <c r="AA15" i="45"/>
  <c r="AA26" i="45"/>
  <c r="AA33" i="45"/>
  <c r="AA29" i="45"/>
  <c r="AA28" i="45"/>
  <c r="AA41" i="45"/>
  <c r="AA31" i="45"/>
  <c r="AA30" i="45"/>
  <c r="AA42" i="45"/>
  <c r="CJ28" i="29"/>
  <c r="AT29" i="29"/>
  <c r="DK28" i="29"/>
  <c r="AS30" i="29"/>
  <c r="E30" i="29" s="1"/>
  <c r="C49" i="30"/>
  <c r="B38" i="50"/>
  <c r="R38" i="50" s="1"/>
  <c r="BF29" i="29"/>
  <c r="A53" i="50"/>
  <c r="O52" i="50"/>
  <c r="G21" i="46"/>
  <c r="H21" i="46" s="1"/>
  <c r="J21" i="46" s="1"/>
  <c r="N21" i="46" s="1"/>
  <c r="F81" i="45"/>
  <c r="F82" i="45" s="1"/>
  <c r="L81" i="45"/>
  <c r="L82" i="45" s="1"/>
  <c r="H81" i="45"/>
  <c r="H82" i="45" s="1"/>
  <c r="P81" i="45"/>
  <c r="P82" i="45" s="1"/>
  <c r="R81" i="45"/>
  <c r="R82" i="45" s="1"/>
  <c r="J81" i="45"/>
  <c r="J82" i="45" s="1"/>
  <c r="N81" i="45"/>
  <c r="N82" i="45" s="1"/>
  <c r="V81" i="45"/>
  <c r="V82" i="45" s="1"/>
  <c r="T81" i="45"/>
  <c r="T82" i="45" s="1"/>
  <c r="X81" i="45"/>
  <c r="X82" i="45" s="1"/>
  <c r="N2" i="45"/>
  <c r="F8" i="45"/>
  <c r="H9" i="45"/>
  <c r="J9" i="45" s="1"/>
  <c r="L9" i="45" s="1"/>
  <c r="N9" i="45" s="1"/>
  <c r="P9" i="45" s="1"/>
  <c r="R9" i="45" s="1"/>
  <c r="T9" i="45" s="1"/>
  <c r="V9" i="45" s="1"/>
  <c r="X9" i="45" s="1"/>
  <c r="Z9" i="45" s="1"/>
  <c r="AB9" i="45" s="1"/>
  <c r="BO28" i="29"/>
  <c r="DF28" i="29"/>
  <c r="R37" i="50"/>
  <c r="AK29" i="29"/>
  <c r="H28" i="48"/>
  <c r="K28" i="48"/>
  <c r="P28" i="48" s="1"/>
  <c r="I28" i="48"/>
  <c r="J28" i="48"/>
  <c r="U21" i="46"/>
  <c r="AJ29" i="29"/>
  <c r="AB81" i="45"/>
  <c r="AB82" i="45" s="1"/>
  <c r="C29" i="48"/>
  <c r="S28" i="48"/>
  <c r="T28" i="48" s="1"/>
  <c r="Q28" i="48"/>
  <c r="E29" i="48"/>
  <c r="AA29" i="48"/>
  <c r="AB29" i="48" s="1"/>
  <c r="U27" i="48"/>
  <c r="AJ30" i="29" l="1"/>
  <c r="AK30" i="29"/>
  <c r="BK7" i="29"/>
  <c r="P27" i="30" s="1"/>
  <c r="O27" i="30"/>
  <c r="BJ7" i="29"/>
  <c r="BL7" i="29"/>
  <c r="Q27" i="30" s="1"/>
  <c r="DP3" i="29"/>
  <c r="DH8" i="29"/>
  <c r="BI8" i="29" s="1"/>
  <c r="DG9" i="29"/>
  <c r="DM7" i="29"/>
  <c r="BR7" i="29" s="1"/>
  <c r="DL8" i="29"/>
  <c r="Y21" i="29"/>
  <c r="AB21" i="29" s="1"/>
  <c r="N40" i="30"/>
  <c r="AG20" i="29"/>
  <c r="M29" i="50"/>
  <c r="K29" i="50"/>
  <c r="L40" i="30"/>
  <c r="CM31" i="29"/>
  <c r="CN31" i="29"/>
  <c r="CK33" i="29"/>
  <c r="CL32" i="29"/>
  <c r="U28" i="48"/>
  <c r="W43" i="45"/>
  <c r="W30" i="45"/>
  <c r="W54" i="45"/>
  <c r="W27" i="45"/>
  <c r="W35" i="45"/>
  <c r="W15" i="45"/>
  <c r="W28" i="45"/>
  <c r="W29" i="45"/>
  <c r="W34" i="45"/>
  <c r="W33" i="45"/>
  <c r="W36" i="45"/>
  <c r="W40" i="45"/>
  <c r="W37" i="45"/>
  <c r="W32" i="45"/>
  <c r="W38" i="45"/>
  <c r="W26" i="45"/>
  <c r="W42" i="45"/>
  <c r="W39" i="45"/>
  <c r="W31" i="45"/>
  <c r="W41" i="45"/>
  <c r="Q27" i="45"/>
  <c r="Q38" i="45"/>
  <c r="Q34" i="45"/>
  <c r="Q37" i="45"/>
  <c r="Q36" i="45"/>
  <c r="Q33" i="45"/>
  <c r="Q43" i="45"/>
  <c r="Q41" i="45"/>
  <c r="Q30" i="45"/>
  <c r="Q15" i="45"/>
  <c r="Q40" i="45"/>
  <c r="Q29" i="45"/>
  <c r="Q28" i="45"/>
  <c r="Q32" i="45"/>
  <c r="Q26" i="45"/>
  <c r="Q39" i="45"/>
  <c r="Q54" i="45"/>
  <c r="Q31" i="45"/>
  <c r="Q42" i="45"/>
  <c r="Q35" i="45"/>
  <c r="AT30" i="29"/>
  <c r="CJ29" i="29"/>
  <c r="DK29" i="29"/>
  <c r="O26" i="45"/>
  <c r="O54" i="45"/>
  <c r="O29" i="45"/>
  <c r="O38" i="45"/>
  <c r="O27" i="45"/>
  <c r="O32" i="45"/>
  <c r="O30" i="45"/>
  <c r="O37" i="45"/>
  <c r="O41" i="45"/>
  <c r="O28" i="45"/>
  <c r="O39" i="45"/>
  <c r="O34" i="45"/>
  <c r="O31" i="45"/>
  <c r="O33" i="45"/>
  <c r="O43" i="45"/>
  <c r="O35" i="45"/>
  <c r="O36" i="45"/>
  <c r="O15" i="45"/>
  <c r="O40" i="45"/>
  <c r="O42" i="45"/>
  <c r="I34" i="45"/>
  <c r="I40" i="45"/>
  <c r="I29" i="45"/>
  <c r="I37" i="45"/>
  <c r="I28" i="45"/>
  <c r="I30" i="45"/>
  <c r="I42" i="45"/>
  <c r="I33" i="45"/>
  <c r="I39" i="45"/>
  <c r="I27" i="45"/>
  <c r="I36" i="45"/>
  <c r="I32" i="45"/>
  <c r="I35" i="45"/>
  <c r="I38" i="45"/>
  <c r="I15" i="45"/>
  <c r="I26" i="45"/>
  <c r="I54" i="45"/>
  <c r="I41" i="45"/>
  <c r="I43" i="45"/>
  <c r="I31" i="45"/>
  <c r="R24" i="48"/>
  <c r="M25" i="48"/>
  <c r="O25" i="48" s="1"/>
  <c r="H8" i="45"/>
  <c r="F11" i="45"/>
  <c r="R2" i="45"/>
  <c r="F12" i="45"/>
  <c r="Y41" i="45"/>
  <c r="Y28" i="45"/>
  <c r="Y15" i="45"/>
  <c r="Y40" i="45"/>
  <c r="Y27" i="45"/>
  <c r="Y39" i="45"/>
  <c r="Y31" i="45"/>
  <c r="Y35" i="45"/>
  <c r="Y37" i="45"/>
  <c r="Y33" i="45"/>
  <c r="Y32" i="45"/>
  <c r="Y36" i="45"/>
  <c r="Y43" i="45"/>
  <c r="Y30" i="45"/>
  <c r="Y34" i="45"/>
  <c r="Y26" i="45"/>
  <c r="Y38" i="45"/>
  <c r="Y54" i="45"/>
  <c r="Y42" i="45"/>
  <c r="Y29" i="45"/>
  <c r="K36" i="45"/>
  <c r="K42" i="45"/>
  <c r="K15" i="45"/>
  <c r="K32" i="45"/>
  <c r="K40" i="45"/>
  <c r="K31" i="45"/>
  <c r="K28" i="45"/>
  <c r="K30" i="45"/>
  <c r="K27" i="45"/>
  <c r="K34" i="45"/>
  <c r="K35" i="45"/>
  <c r="K38" i="45"/>
  <c r="K41" i="45"/>
  <c r="K43" i="45"/>
  <c r="K33" i="45"/>
  <c r="K39" i="45"/>
  <c r="K54" i="45"/>
  <c r="K29" i="45"/>
  <c r="K26" i="45"/>
  <c r="K37" i="45"/>
  <c r="M39" i="45"/>
  <c r="M43" i="45"/>
  <c r="M54" i="45"/>
  <c r="M36" i="45"/>
  <c r="M26" i="45"/>
  <c r="M30" i="45"/>
  <c r="M42" i="45"/>
  <c r="M35" i="45"/>
  <c r="M38" i="45"/>
  <c r="M37" i="45"/>
  <c r="M15" i="45"/>
  <c r="M29" i="45"/>
  <c r="M41" i="45"/>
  <c r="M28" i="45"/>
  <c r="M34" i="45"/>
  <c r="M33" i="45"/>
  <c r="M31" i="45"/>
  <c r="M32" i="45"/>
  <c r="M40" i="45"/>
  <c r="M27" i="45"/>
  <c r="AS31" i="29"/>
  <c r="E31" i="29" s="1"/>
  <c r="AJ31" i="29" s="1"/>
  <c r="B39" i="50"/>
  <c r="BF30" i="29"/>
  <c r="C50" i="30"/>
  <c r="Q29" i="48"/>
  <c r="C30" i="48"/>
  <c r="E30" i="48"/>
  <c r="AA30" i="48"/>
  <c r="AB30" i="48" s="1"/>
  <c r="S29" i="48"/>
  <c r="T29" i="48" s="1"/>
  <c r="K29" i="48"/>
  <c r="P29" i="48" s="1"/>
  <c r="J29" i="48"/>
  <c r="I29" i="48"/>
  <c r="H29" i="48"/>
  <c r="AC29" i="45"/>
  <c r="AC34" i="45"/>
  <c r="AC43" i="45"/>
  <c r="AC39" i="45"/>
  <c r="AC35" i="45"/>
  <c r="AC40" i="45"/>
  <c r="AC26" i="45"/>
  <c r="AC36" i="45"/>
  <c r="AC33" i="45"/>
  <c r="AC30" i="45"/>
  <c r="AC32" i="45"/>
  <c r="AC28" i="45"/>
  <c r="AC27" i="45"/>
  <c r="AC31" i="45"/>
  <c r="AC37" i="45"/>
  <c r="AC42" i="45"/>
  <c r="AC38" i="45"/>
  <c r="AC15" i="45"/>
  <c r="AC41" i="45"/>
  <c r="AC54" i="45"/>
  <c r="V22" i="46"/>
  <c r="D22" i="46" s="1"/>
  <c r="T22" i="46" s="1"/>
  <c r="U40" i="45"/>
  <c r="U38" i="45"/>
  <c r="U34" i="45"/>
  <c r="U28" i="45"/>
  <c r="U26" i="45"/>
  <c r="U42" i="45"/>
  <c r="U29" i="45"/>
  <c r="U30" i="45"/>
  <c r="U35" i="45"/>
  <c r="U39" i="45"/>
  <c r="U32" i="45"/>
  <c r="U27" i="45"/>
  <c r="U41" i="45"/>
  <c r="U54" i="45"/>
  <c r="U33" i="45"/>
  <c r="U43" i="45"/>
  <c r="U31" i="45"/>
  <c r="U15" i="45"/>
  <c r="U36" i="45"/>
  <c r="U37" i="45"/>
  <c r="S38" i="45"/>
  <c r="S43" i="45"/>
  <c r="S34" i="45"/>
  <c r="S39" i="45"/>
  <c r="S37" i="45"/>
  <c r="S29" i="45"/>
  <c r="S26" i="45"/>
  <c r="S41" i="45"/>
  <c r="S36" i="45"/>
  <c r="S42" i="45"/>
  <c r="S30" i="45"/>
  <c r="S32" i="45"/>
  <c r="S35" i="45"/>
  <c r="S54" i="45"/>
  <c r="S40" i="45"/>
  <c r="S27" i="45"/>
  <c r="S31" i="45"/>
  <c r="S28" i="45"/>
  <c r="S15" i="45"/>
  <c r="S33" i="45"/>
  <c r="G33" i="45"/>
  <c r="G26" i="45"/>
  <c r="G29" i="45"/>
  <c r="G35" i="45"/>
  <c r="G41" i="45"/>
  <c r="G43" i="45"/>
  <c r="G37" i="45"/>
  <c r="G31" i="45"/>
  <c r="G34" i="45"/>
  <c r="G30" i="45"/>
  <c r="G27" i="45"/>
  <c r="G36" i="45"/>
  <c r="G42" i="45"/>
  <c r="G38" i="45"/>
  <c r="G54" i="45"/>
  <c r="G40" i="45"/>
  <c r="G15" i="45"/>
  <c r="G28" i="45"/>
  <c r="G32" i="45"/>
  <c r="G39" i="45"/>
  <c r="O53" i="50"/>
  <c r="A54" i="50"/>
  <c r="BO29" i="29"/>
  <c r="DF29" i="29"/>
  <c r="L41" i="30" l="1"/>
  <c r="K30" i="50"/>
  <c r="BK8" i="29"/>
  <c r="P28" i="30" s="1"/>
  <c r="O28" i="30"/>
  <c r="BL8" i="29"/>
  <c r="Q28" i="30" s="1"/>
  <c r="BJ8" i="29"/>
  <c r="DM8" i="29"/>
  <c r="BR8" i="29" s="1"/>
  <c r="DL9" i="29"/>
  <c r="DO134" i="29"/>
  <c r="DP16" i="29"/>
  <c r="DO87" i="29"/>
  <c r="DO56" i="29"/>
  <c r="DO38" i="29"/>
  <c r="DO163" i="29"/>
  <c r="DO45" i="29"/>
  <c r="DO114" i="29"/>
  <c r="DO162" i="29"/>
  <c r="DO105" i="29"/>
  <c r="DO7" i="29"/>
  <c r="DO86" i="29"/>
  <c r="DO46" i="29"/>
  <c r="DO22" i="29"/>
  <c r="DO98" i="29"/>
  <c r="DO76" i="29"/>
  <c r="DO58" i="29"/>
  <c r="DP22" i="29"/>
  <c r="DO149" i="29"/>
  <c r="DO30" i="29"/>
  <c r="DO109" i="29"/>
  <c r="DO77" i="29"/>
  <c r="DO165" i="29"/>
  <c r="DO50" i="29"/>
  <c r="DO161" i="29"/>
  <c r="DO154" i="29"/>
  <c r="DO83" i="29"/>
  <c r="DO61" i="29"/>
  <c r="DO62" i="29"/>
  <c r="DO106" i="29"/>
  <c r="DO103" i="29"/>
  <c r="DO159" i="29"/>
  <c r="DO102" i="29"/>
  <c r="DO41" i="29"/>
  <c r="DO187" i="29"/>
  <c r="DO145" i="29"/>
  <c r="DO24" i="29"/>
  <c r="DO132" i="29"/>
  <c r="DP15" i="29"/>
  <c r="DO182" i="29"/>
  <c r="DO37" i="29"/>
  <c r="DP9" i="29"/>
  <c r="DP12" i="29"/>
  <c r="DO12" i="29"/>
  <c r="DO166" i="29"/>
  <c r="DO119" i="29"/>
  <c r="DO75" i="29"/>
  <c r="DO170" i="29"/>
  <c r="DO84" i="29"/>
  <c r="DO60" i="29"/>
  <c r="DP20" i="29"/>
  <c r="DO173" i="29"/>
  <c r="DO111" i="29"/>
  <c r="DO89" i="29"/>
  <c r="DO164" i="29"/>
  <c r="DO126" i="29"/>
  <c r="DO152" i="29"/>
  <c r="DP25" i="29"/>
  <c r="DO148" i="29"/>
  <c r="DO137" i="29"/>
  <c r="DO88" i="29"/>
  <c r="DO85" i="29"/>
  <c r="DO79" i="29"/>
  <c r="DP13" i="29"/>
  <c r="DO100" i="29"/>
  <c r="DO141" i="29"/>
  <c r="DO140" i="29"/>
  <c r="DP24" i="29"/>
  <c r="DO127" i="29"/>
  <c r="DO138" i="29"/>
  <c r="DP19" i="29"/>
  <c r="DO174" i="29"/>
  <c r="DO19" i="29"/>
  <c r="DO172" i="29"/>
  <c r="DO97" i="29"/>
  <c r="DP10" i="29"/>
  <c r="DO139" i="29"/>
  <c r="DO122" i="29"/>
  <c r="DO54" i="29"/>
  <c r="DO143" i="29"/>
  <c r="DO73" i="29"/>
  <c r="DO147" i="29"/>
  <c r="DO32" i="29"/>
  <c r="DP26" i="29"/>
  <c r="DO158" i="29"/>
  <c r="DO131" i="29"/>
  <c r="DO6" i="29"/>
  <c r="DP7" i="29"/>
  <c r="DO121" i="29"/>
  <c r="DO21" i="29"/>
  <c r="DO23" i="29"/>
  <c r="DO160" i="29"/>
  <c r="DO40" i="29"/>
  <c r="DO155" i="29"/>
  <c r="DO78" i="29"/>
  <c r="DO53" i="29"/>
  <c r="DO156" i="29"/>
  <c r="DO157" i="29"/>
  <c r="DO101" i="29"/>
  <c r="DO184" i="29"/>
  <c r="DO15" i="29"/>
  <c r="DO176" i="29"/>
  <c r="DO108" i="29"/>
  <c r="DP11" i="29"/>
  <c r="DO92" i="29"/>
  <c r="DO31" i="29"/>
  <c r="DO117" i="29"/>
  <c r="DO120" i="29"/>
  <c r="DO150" i="29"/>
  <c r="DO136" i="29"/>
  <c r="DO36" i="29"/>
  <c r="DQ7" i="29"/>
  <c r="DO91" i="29"/>
  <c r="DO49" i="29"/>
  <c r="DO27" i="29"/>
  <c r="DO94" i="29"/>
  <c r="DO16" i="29"/>
  <c r="DO146" i="29"/>
  <c r="DO82" i="29"/>
  <c r="DO104" i="29"/>
  <c r="DO64" i="29"/>
  <c r="DO179" i="29"/>
  <c r="DO188" i="29"/>
  <c r="DP27" i="29"/>
  <c r="DO43" i="29"/>
  <c r="DO72" i="29"/>
  <c r="DO118" i="29"/>
  <c r="DO55" i="29"/>
  <c r="DO8" i="29"/>
  <c r="DO67" i="29"/>
  <c r="DO129" i="29"/>
  <c r="DO185" i="29"/>
  <c r="DO151" i="29"/>
  <c r="DO26" i="29"/>
  <c r="DO178" i="29"/>
  <c r="DO183" i="29"/>
  <c r="DP23" i="29"/>
  <c r="DO35" i="29"/>
  <c r="DO29" i="29"/>
  <c r="DP8" i="29"/>
  <c r="DO33" i="29"/>
  <c r="DO112" i="29"/>
  <c r="DO47" i="29"/>
  <c r="DO142" i="29"/>
  <c r="DO180" i="29"/>
  <c r="DO66" i="29"/>
  <c r="DO10" i="29"/>
  <c r="DO113" i="29"/>
  <c r="DP21" i="29"/>
  <c r="DP14" i="29"/>
  <c r="DO95" i="29"/>
  <c r="DO133" i="29"/>
  <c r="DP17" i="29"/>
  <c r="DO125" i="29"/>
  <c r="DO135" i="29"/>
  <c r="DO11" i="29"/>
  <c r="DO52" i="29"/>
  <c r="DO99" i="29"/>
  <c r="DO25" i="29"/>
  <c r="DO153" i="29"/>
  <c r="DO93" i="29"/>
  <c r="DO17" i="29"/>
  <c r="DO169" i="29"/>
  <c r="DO42" i="29"/>
  <c r="DO123" i="29"/>
  <c r="DO80" i="29"/>
  <c r="DO107" i="29"/>
  <c r="DO130" i="29"/>
  <c r="DO177" i="29"/>
  <c r="DO186" i="29"/>
  <c r="DO28" i="29"/>
  <c r="DO68" i="29"/>
  <c r="DO18" i="29"/>
  <c r="DO81" i="29"/>
  <c r="DO13" i="29"/>
  <c r="DO144" i="29"/>
  <c r="DO71" i="29"/>
  <c r="DO48" i="29"/>
  <c r="DO167" i="29"/>
  <c r="DO51" i="29"/>
  <c r="DO34" i="29"/>
  <c r="DO65" i="29"/>
  <c r="DO14" i="29"/>
  <c r="DP18" i="29"/>
  <c r="DO90" i="29"/>
  <c r="DO96" i="29"/>
  <c r="DO69" i="29"/>
  <c r="DO181" i="29"/>
  <c r="DO115" i="29"/>
  <c r="DO110" i="29"/>
  <c r="DO57" i="29"/>
  <c r="DO128" i="29"/>
  <c r="DO116" i="29"/>
  <c r="DO44" i="29"/>
  <c r="DO70" i="29"/>
  <c r="DO74" i="29"/>
  <c r="DO9" i="29"/>
  <c r="DO124" i="29"/>
  <c r="DO168" i="29"/>
  <c r="DP28" i="29"/>
  <c r="DO39" i="29"/>
  <c r="DO20" i="29"/>
  <c r="DP6" i="29"/>
  <c r="DO175" i="29"/>
  <c r="DO59" i="29"/>
  <c r="DO171" i="29"/>
  <c r="DO63" i="29"/>
  <c r="BT7" i="29"/>
  <c r="BU7" i="29"/>
  <c r="BS7" i="29"/>
  <c r="DH9" i="29"/>
  <c r="BI9" i="29" s="1"/>
  <c r="DG10" i="29"/>
  <c r="DP29" i="29"/>
  <c r="N41" i="30"/>
  <c r="M30" i="50"/>
  <c r="Y22" i="29"/>
  <c r="AB22" i="29" s="1"/>
  <c r="Y23" i="29" s="1"/>
  <c r="AG21" i="29"/>
  <c r="CM32" i="29"/>
  <c r="CN32" i="29"/>
  <c r="CK34" i="29"/>
  <c r="CL33" i="29"/>
  <c r="R25" i="48"/>
  <c r="M26" i="48"/>
  <c r="O26" i="48"/>
  <c r="AB31" i="48"/>
  <c r="U22" i="46"/>
  <c r="BO30" i="29"/>
  <c r="DF30" i="29"/>
  <c r="AT31" i="29"/>
  <c r="CJ30" i="29"/>
  <c r="DK30" i="29"/>
  <c r="DP30" i="29"/>
  <c r="AK31" i="29"/>
  <c r="O54" i="50"/>
  <c r="A55" i="50"/>
  <c r="AS32" i="29"/>
  <c r="E32" i="29" s="1"/>
  <c r="AJ32" i="29" s="1"/>
  <c r="B40" i="50"/>
  <c r="R40" i="50" s="1"/>
  <c r="BF31" i="29"/>
  <c r="C51" i="30"/>
  <c r="U29" i="48"/>
  <c r="K30" i="48"/>
  <c r="P30" i="48" s="1"/>
  <c r="J30" i="48"/>
  <c r="I30" i="48"/>
  <c r="H30" i="48"/>
  <c r="R39" i="50"/>
  <c r="C31" i="48"/>
  <c r="AA31" i="48"/>
  <c r="S30" i="48"/>
  <c r="T30" i="48" s="1"/>
  <c r="Q30" i="48"/>
  <c r="E31" i="48"/>
  <c r="J8" i="45"/>
  <c r="H11" i="45"/>
  <c r="H12" i="45"/>
  <c r="BJ9" i="29" l="1"/>
  <c r="O29" i="30"/>
  <c r="BK9" i="29"/>
  <c r="P29" i="30" s="1"/>
  <c r="BL9" i="29"/>
  <c r="Q29" i="30" s="1"/>
  <c r="CA7" i="29"/>
  <c r="DQ8" i="29"/>
  <c r="DQ9" i="29" s="1"/>
  <c r="DQ10" i="29" s="1"/>
  <c r="DQ11" i="29" s="1"/>
  <c r="DQ12" i="29" s="1"/>
  <c r="DQ13" i="29" s="1"/>
  <c r="DQ14" i="29" s="1"/>
  <c r="DQ15" i="29" s="1"/>
  <c r="DQ16" i="29" s="1"/>
  <c r="DQ17" i="29" s="1"/>
  <c r="DQ18" i="29" s="1"/>
  <c r="DQ19" i="29" s="1"/>
  <c r="DQ20" i="29" s="1"/>
  <c r="DQ21" i="29" s="1"/>
  <c r="DQ22" i="29" s="1"/>
  <c r="DQ23" i="29" s="1"/>
  <c r="DQ24" i="29" s="1"/>
  <c r="DQ25" i="29" s="1"/>
  <c r="DQ26" i="29" s="1"/>
  <c r="DQ27" i="29" s="1"/>
  <c r="DQ28" i="29" s="1"/>
  <c r="DQ29" i="29" s="1"/>
  <c r="DQ30" i="29" s="1"/>
  <c r="DQ31" i="29" s="1"/>
  <c r="DQ32" i="29" s="1"/>
  <c r="DQ33" i="29" s="1"/>
  <c r="DQ34" i="29" s="1"/>
  <c r="DQ35" i="29" s="1"/>
  <c r="DQ36" i="29" s="1"/>
  <c r="DQ37" i="29" s="1"/>
  <c r="DQ38" i="29" s="1"/>
  <c r="DQ39" i="29" s="1"/>
  <c r="DQ40" i="29" s="1"/>
  <c r="DQ41" i="29" s="1"/>
  <c r="DQ42" i="29" s="1"/>
  <c r="DQ43" i="29" s="1"/>
  <c r="DQ44" i="29" s="1"/>
  <c r="DQ45" i="29" s="1"/>
  <c r="DQ46" i="29" s="1"/>
  <c r="DQ47" i="29" s="1"/>
  <c r="DQ48" i="29" s="1"/>
  <c r="DQ49" i="29" s="1"/>
  <c r="DQ50" i="29" s="1"/>
  <c r="DQ51" i="29" s="1"/>
  <c r="DQ52" i="29" s="1"/>
  <c r="DQ53" i="29" s="1"/>
  <c r="DQ54" i="29" s="1"/>
  <c r="DQ55" i="29" s="1"/>
  <c r="DQ56" i="29" s="1"/>
  <c r="DQ57" i="29" s="1"/>
  <c r="DQ58" i="29" s="1"/>
  <c r="DQ59" i="29" s="1"/>
  <c r="DL10" i="29"/>
  <c r="DM9" i="29"/>
  <c r="BR9" i="29" s="1"/>
  <c r="DG11" i="29"/>
  <c r="DH10" i="29"/>
  <c r="BI10" i="29" s="1"/>
  <c r="BT8" i="29"/>
  <c r="BS8" i="29"/>
  <c r="BU8" i="29"/>
  <c r="L42" i="30"/>
  <c r="K31" i="50"/>
  <c r="M31" i="50"/>
  <c r="AB23" i="29"/>
  <c r="N43" i="30" s="1"/>
  <c r="N42" i="30"/>
  <c r="AG22" i="29"/>
  <c r="CL34" i="29"/>
  <c r="CK35" i="29"/>
  <c r="CN33" i="29"/>
  <c r="CM33" i="29"/>
  <c r="BO31" i="29"/>
  <c r="DF31" i="29"/>
  <c r="V23" i="46"/>
  <c r="D23" i="46" s="1"/>
  <c r="T23" i="46" s="1"/>
  <c r="G22" i="46"/>
  <c r="H22" i="46" s="1"/>
  <c r="J22" i="46" s="1"/>
  <c r="N22" i="46" s="1"/>
  <c r="M27" i="48"/>
  <c r="O27" i="48"/>
  <c r="R26" i="48"/>
  <c r="J11" i="45"/>
  <c r="L8" i="45"/>
  <c r="J12" i="45"/>
  <c r="U30" i="48"/>
  <c r="AS33" i="29"/>
  <c r="E33" i="29" s="1"/>
  <c r="AJ33" i="29" s="1"/>
  <c r="B41" i="50"/>
  <c r="R41" i="50" s="1"/>
  <c r="BF32" i="29"/>
  <c r="C52" i="30"/>
  <c r="I31" i="48"/>
  <c r="J31" i="48"/>
  <c r="H31" i="48"/>
  <c r="K31" i="48" s="1"/>
  <c r="P31" i="48" s="1"/>
  <c r="E32" i="48"/>
  <c r="Q31" i="48"/>
  <c r="C32" i="48"/>
  <c r="AA32" i="48"/>
  <c r="AB32" i="48" s="1"/>
  <c r="S31" i="48"/>
  <c r="T31" i="48" s="1"/>
  <c r="O55" i="50"/>
  <c r="A56" i="50"/>
  <c r="AK32" i="29"/>
  <c r="CJ31" i="29"/>
  <c r="AT32" i="29"/>
  <c r="DK31" i="29"/>
  <c r="DP31" i="29"/>
  <c r="K32" i="50"/>
  <c r="L43" i="30"/>
  <c r="DL11" i="29" l="1"/>
  <c r="DM10" i="29"/>
  <c r="BR10" i="29" s="1"/>
  <c r="BT9" i="29"/>
  <c r="BU9" i="29"/>
  <c r="BS9" i="29"/>
  <c r="BJ10" i="29"/>
  <c r="O30" i="30"/>
  <c r="BK10" i="29"/>
  <c r="P30" i="30" s="1"/>
  <c r="BL10" i="29"/>
  <c r="Q30" i="30" s="1"/>
  <c r="CA59" i="29"/>
  <c r="DQ60" i="29"/>
  <c r="DH11" i="29"/>
  <c r="BI11" i="29" s="1"/>
  <c r="DG12" i="29"/>
  <c r="CD7" i="29"/>
  <c r="CD3" i="29" s="1"/>
  <c r="CC7" i="29"/>
  <c r="CC3" i="29" s="1"/>
  <c r="CB7" i="29"/>
  <c r="AG23" i="29"/>
  <c r="Y24" i="29"/>
  <c r="AB24" i="29" s="1"/>
  <c r="N44" i="30" s="1"/>
  <c r="M32" i="50"/>
  <c r="CK36" i="29"/>
  <c r="CL35" i="29"/>
  <c r="CM34" i="29"/>
  <c r="CN34" i="29"/>
  <c r="G23" i="46"/>
  <c r="H23" i="46" s="1"/>
  <c r="J23" i="46" s="1"/>
  <c r="N23" i="46" s="1"/>
  <c r="U23" i="46"/>
  <c r="CJ32" i="29"/>
  <c r="AT33" i="29"/>
  <c r="DK32" i="29"/>
  <c r="DP32" i="29"/>
  <c r="J32" i="48"/>
  <c r="I32" i="48"/>
  <c r="H32" i="48"/>
  <c r="K32" i="48" s="1"/>
  <c r="P32" i="48" s="1"/>
  <c r="U31" i="48"/>
  <c r="AK33" i="29"/>
  <c r="E33" i="48"/>
  <c r="C33" i="48"/>
  <c r="Q32" i="48"/>
  <c r="AA33" i="48"/>
  <c r="AB33" i="48" s="1"/>
  <c r="S32" i="48"/>
  <c r="T32" i="48" s="1"/>
  <c r="BO32" i="29"/>
  <c r="DF32" i="29"/>
  <c r="M28" i="48"/>
  <c r="O28" i="48" s="1"/>
  <c r="R27" i="48"/>
  <c r="AS34" i="29"/>
  <c r="E34" i="29" s="1"/>
  <c r="AJ34" i="29" s="1"/>
  <c r="BF33" i="29"/>
  <c r="C53" i="30"/>
  <c r="B42" i="50"/>
  <c r="R42" i="50" s="1"/>
  <c r="O56" i="50"/>
  <c r="A57" i="50"/>
  <c r="N8" i="45"/>
  <c r="L11" i="45"/>
  <c r="L12" i="45"/>
  <c r="AG24" i="29" l="1"/>
  <c r="K33" i="50"/>
  <c r="DQ61" i="29"/>
  <c r="CA60" i="29"/>
  <c r="CD59" i="29"/>
  <c r="CC59" i="29"/>
  <c r="BT10" i="29"/>
  <c r="BU10" i="29"/>
  <c r="BS10" i="29"/>
  <c r="O31" i="30"/>
  <c r="BL11" i="29"/>
  <c r="Q31" i="30" s="1"/>
  <c r="BJ11" i="29"/>
  <c r="BK11" i="29"/>
  <c r="P31" i="30" s="1"/>
  <c r="DH12" i="29"/>
  <c r="BI12" i="29" s="1"/>
  <c r="DG13" i="29"/>
  <c r="DM11" i="29"/>
  <c r="BR11" i="29" s="1"/>
  <c r="DL12" i="29"/>
  <c r="Y25" i="29"/>
  <c r="AB25" i="29" s="1"/>
  <c r="N45" i="30" s="1"/>
  <c r="M33" i="50"/>
  <c r="L44" i="30"/>
  <c r="CN35" i="29"/>
  <c r="CM35" i="29"/>
  <c r="CK37" i="29"/>
  <c r="CL36" i="29"/>
  <c r="M29" i="48"/>
  <c r="O29" i="48" s="1"/>
  <c r="R28" i="48"/>
  <c r="P8" i="45"/>
  <c r="N11" i="45"/>
  <c r="N12" i="45"/>
  <c r="O57" i="50"/>
  <c r="A58" i="50"/>
  <c r="S33" i="48"/>
  <c r="T33" i="48" s="1"/>
  <c r="C34" i="48"/>
  <c r="Q33" i="48"/>
  <c r="AA34" i="48"/>
  <c r="AB34" i="48" s="1"/>
  <c r="E34" i="48"/>
  <c r="J33" i="48"/>
  <c r="H33" i="48"/>
  <c r="K33" i="48"/>
  <c r="P33" i="48" s="1"/>
  <c r="I33" i="48"/>
  <c r="U32" i="48"/>
  <c r="U33" i="48" s="1"/>
  <c r="AT34" i="29"/>
  <c r="CJ33" i="29"/>
  <c r="DK33" i="29"/>
  <c r="DP33" i="29"/>
  <c r="BO33" i="29"/>
  <c r="DF33" i="29"/>
  <c r="AK34" i="29"/>
  <c r="AS35" i="29"/>
  <c r="E35" i="29" s="1"/>
  <c r="AJ35" i="29" s="1"/>
  <c r="C54" i="30"/>
  <c r="BF34" i="29"/>
  <c r="B43" i="50"/>
  <c r="R43" i="50" s="1"/>
  <c r="V24" i="46"/>
  <c r="D24" i="46" s="1"/>
  <c r="T24" i="46" s="1"/>
  <c r="DL13" i="29" l="1"/>
  <c r="DM12" i="29"/>
  <c r="BR12" i="29" s="1"/>
  <c r="BU11" i="29"/>
  <c r="BS11" i="29"/>
  <c r="BT11" i="29"/>
  <c r="CC60" i="29"/>
  <c r="CD60" i="29"/>
  <c r="M34" i="50"/>
  <c r="BK12" i="29"/>
  <c r="P32" i="30" s="1"/>
  <c r="BL12" i="29"/>
  <c r="Q32" i="30" s="1"/>
  <c r="BJ12" i="29"/>
  <c r="O32" i="30"/>
  <c r="AG25" i="29"/>
  <c r="Y26" i="29"/>
  <c r="L46" i="30" s="1"/>
  <c r="K34" i="50"/>
  <c r="L45" i="30"/>
  <c r="DH13" i="29"/>
  <c r="BI13" i="29" s="1"/>
  <c r="DG14" i="29"/>
  <c r="CA61" i="29"/>
  <c r="DQ62" i="29"/>
  <c r="CM36" i="29"/>
  <c r="CN36" i="29"/>
  <c r="CL37" i="29"/>
  <c r="CK38" i="29"/>
  <c r="U24" i="46"/>
  <c r="AB35" i="48"/>
  <c r="R29" i="48"/>
  <c r="M30" i="48"/>
  <c r="O30" i="48"/>
  <c r="I34" i="48"/>
  <c r="J34" i="48"/>
  <c r="H34" i="48"/>
  <c r="K34" i="48"/>
  <c r="P34" i="48" s="1"/>
  <c r="AS36" i="29"/>
  <c r="E36" i="29" s="1"/>
  <c r="AJ36" i="29" s="1"/>
  <c r="BF35" i="29"/>
  <c r="B44" i="50"/>
  <c r="R44" i="50" s="1"/>
  <c r="C55" i="30"/>
  <c r="AT35" i="29"/>
  <c r="CJ34" i="29"/>
  <c r="DK34" i="29"/>
  <c r="DP34" i="29"/>
  <c r="AA35" i="48"/>
  <c r="C35" i="48"/>
  <c r="S34" i="48"/>
  <c r="T34" i="48" s="1"/>
  <c r="E35" i="48"/>
  <c r="Q34" i="48"/>
  <c r="O58" i="50"/>
  <c r="A59" i="50"/>
  <c r="BO34" i="29"/>
  <c r="DF34" i="29"/>
  <c r="AK35" i="29"/>
  <c r="R8" i="45"/>
  <c r="P11" i="45"/>
  <c r="P12" i="45"/>
  <c r="K35" i="50" l="1"/>
  <c r="CD61" i="29"/>
  <c r="CC61" i="29"/>
  <c r="DG15" i="29"/>
  <c r="DH14" i="29"/>
  <c r="BI14" i="29" s="1"/>
  <c r="AB26" i="29"/>
  <c r="BL13" i="29"/>
  <c r="Q33" i="30" s="1"/>
  <c r="BJ13" i="29"/>
  <c r="O33" i="30"/>
  <c r="BK13" i="29"/>
  <c r="P33" i="30" s="1"/>
  <c r="BT12" i="29"/>
  <c r="BS12" i="29"/>
  <c r="BU12" i="29"/>
  <c r="CA62" i="29"/>
  <c r="DQ63" i="29"/>
  <c r="DL14" i="29"/>
  <c r="DM13" i="29"/>
  <c r="BR13" i="29" s="1"/>
  <c r="CL38" i="29"/>
  <c r="CK39" i="29"/>
  <c r="CN37" i="29"/>
  <c r="CM37" i="29"/>
  <c r="T8" i="45"/>
  <c r="R11" i="45"/>
  <c r="R12" i="45"/>
  <c r="AK36" i="29"/>
  <c r="AA36" i="48"/>
  <c r="E36" i="48"/>
  <c r="Q35" i="48"/>
  <c r="S35" i="48"/>
  <c r="T35" i="48" s="1"/>
  <c r="C36" i="48"/>
  <c r="U34" i="48"/>
  <c r="U35" i="48" s="1"/>
  <c r="R30" i="48"/>
  <c r="M31" i="48"/>
  <c r="O31" i="48"/>
  <c r="AB36" i="48"/>
  <c r="AS37" i="29"/>
  <c r="E37" i="29" s="1"/>
  <c r="C56" i="30"/>
  <c r="B45" i="50"/>
  <c r="R45" i="50" s="1"/>
  <c r="BF36" i="29"/>
  <c r="AT36" i="29"/>
  <c r="CJ35" i="29"/>
  <c r="DK35" i="29"/>
  <c r="DP35" i="29"/>
  <c r="V25" i="46"/>
  <c r="D25" i="46" s="1"/>
  <c r="T25" i="46"/>
  <c r="O59" i="50"/>
  <c r="A60" i="50"/>
  <c r="J35" i="48"/>
  <c r="I35" i="48"/>
  <c r="H35" i="48"/>
  <c r="K35" i="48"/>
  <c r="P35" i="48" s="1"/>
  <c r="BO35" i="29"/>
  <c r="DF35" i="29"/>
  <c r="G24" i="46"/>
  <c r="H24" i="46" s="1"/>
  <c r="J24" i="46" s="1"/>
  <c r="N24" i="46" s="1"/>
  <c r="AK37" i="29" l="1"/>
  <c r="BL14" i="29"/>
  <c r="Q34" i="30" s="1"/>
  <c r="BJ14" i="29"/>
  <c r="BK14" i="29"/>
  <c r="P34" i="30" s="1"/>
  <c r="O34" i="30"/>
  <c r="DQ64" i="29"/>
  <c r="CA63" i="29"/>
  <c r="BT13" i="29"/>
  <c r="BS13" i="29"/>
  <c r="BU13" i="29"/>
  <c r="DL15" i="29"/>
  <c r="DM14" i="29"/>
  <c r="BR14" i="29" s="1"/>
  <c r="DH15" i="29"/>
  <c r="BI15" i="29" s="1"/>
  <c r="DG16" i="29"/>
  <c r="CC62" i="29"/>
  <c r="CD62" i="29"/>
  <c r="N46" i="30"/>
  <c r="Y27" i="29"/>
  <c r="AG26" i="29"/>
  <c r="M35" i="50"/>
  <c r="CL39" i="29"/>
  <c r="CK40" i="29"/>
  <c r="CM38" i="29"/>
  <c r="CN38" i="29"/>
  <c r="BO36" i="29"/>
  <c r="DF36" i="29"/>
  <c r="O32" i="48"/>
  <c r="R31" i="48"/>
  <c r="M32" i="48"/>
  <c r="Q36" i="48"/>
  <c r="AA37" i="48"/>
  <c r="E37" i="48"/>
  <c r="S36" i="48"/>
  <c r="T36" i="48" s="1"/>
  <c r="C37" i="48"/>
  <c r="V8" i="45"/>
  <c r="T11" i="45"/>
  <c r="T12" i="45"/>
  <c r="AB37" i="48"/>
  <c r="K36" i="48"/>
  <c r="P36" i="48" s="1"/>
  <c r="J36" i="48"/>
  <c r="I36" i="48"/>
  <c r="H36" i="48"/>
  <c r="U25" i="46"/>
  <c r="G25" i="46" s="1"/>
  <c r="H25" i="46" s="1"/>
  <c r="J25" i="46" s="1"/>
  <c r="N25" i="46" s="1"/>
  <c r="A61" i="50"/>
  <c r="O60" i="50"/>
  <c r="AT37" i="29"/>
  <c r="CJ36" i="29"/>
  <c r="DK36" i="29"/>
  <c r="DP36" i="29"/>
  <c r="AS38" i="29"/>
  <c r="E38" i="29" s="1"/>
  <c r="B46" i="50"/>
  <c r="R46" i="50" s="1"/>
  <c r="BF37" i="29"/>
  <c r="C57" i="30"/>
  <c r="AJ37" i="29"/>
  <c r="O35" i="30" l="1"/>
  <c r="BL15" i="29"/>
  <c r="Q35" i="30" s="1"/>
  <c r="BJ15" i="29"/>
  <c r="BK15" i="29"/>
  <c r="P35" i="30" s="1"/>
  <c r="BS14" i="29"/>
  <c r="BU14" i="29"/>
  <c r="BT14" i="29"/>
  <c r="L47" i="30"/>
  <c r="K36" i="50"/>
  <c r="CC63" i="29"/>
  <c r="CD63" i="29"/>
  <c r="DM15" i="29"/>
  <c r="BR15" i="29" s="1"/>
  <c r="DL16" i="29"/>
  <c r="AB27" i="29"/>
  <c r="DG17" i="29"/>
  <c r="DH16" i="29"/>
  <c r="BI16" i="29" s="1"/>
  <c r="DQ65" i="29"/>
  <c r="CA64" i="29"/>
  <c r="CK41" i="29"/>
  <c r="CL40" i="29"/>
  <c r="CM39" i="29"/>
  <c r="CN39" i="29"/>
  <c r="H37" i="48"/>
  <c r="K37" i="48"/>
  <c r="P37" i="48" s="1"/>
  <c r="J37" i="48"/>
  <c r="I37" i="48"/>
  <c r="AJ38" i="29"/>
  <c r="AT38" i="29"/>
  <c r="CJ37" i="29"/>
  <c r="DK37" i="29"/>
  <c r="DP37" i="29"/>
  <c r="V11" i="45"/>
  <c r="X8" i="45"/>
  <c r="V12" i="45"/>
  <c r="R32" i="48"/>
  <c r="M33" i="48"/>
  <c r="O33" i="48" s="1"/>
  <c r="BO37" i="29"/>
  <c r="DF37" i="29"/>
  <c r="O61" i="50"/>
  <c r="A62" i="50"/>
  <c r="S37" i="48"/>
  <c r="T37" i="48" s="1"/>
  <c r="C38" i="48"/>
  <c r="Q37" i="48"/>
  <c r="AA38" i="48"/>
  <c r="E38" i="48"/>
  <c r="AS39" i="29"/>
  <c r="E39" i="29" s="1"/>
  <c r="C58" i="30"/>
  <c r="B47" i="50"/>
  <c r="R47" i="50" s="1"/>
  <c r="BF38" i="29"/>
  <c r="V26" i="46"/>
  <c r="D26" i="46" s="1"/>
  <c r="T26" i="46" s="1"/>
  <c r="AB38" i="48"/>
  <c r="AK38" i="29"/>
  <c r="U36" i="48"/>
  <c r="AK39" i="29" l="1"/>
  <c r="AJ39" i="29"/>
  <c r="BS15" i="29"/>
  <c r="BT15" i="29"/>
  <c r="BU15" i="29"/>
  <c r="DG18" i="29"/>
  <c r="DH17" i="29"/>
  <c r="BI17" i="29" s="1"/>
  <c r="BK16" i="29"/>
  <c r="P36" i="30" s="1"/>
  <c r="O36" i="30"/>
  <c r="BJ16" i="29"/>
  <c r="BL16" i="29"/>
  <c r="Q36" i="30" s="1"/>
  <c r="CC64" i="29"/>
  <c r="CD64" i="29"/>
  <c r="Y28" i="29"/>
  <c r="AB28" i="29" s="1"/>
  <c r="AG27" i="29"/>
  <c r="M36" i="50"/>
  <c r="N47" i="30"/>
  <c r="DQ66" i="29"/>
  <c r="CA65" i="29"/>
  <c r="DL17" i="29"/>
  <c r="DM16" i="29"/>
  <c r="BR16" i="29" s="1"/>
  <c r="CM40" i="29"/>
  <c r="CN40" i="29"/>
  <c r="CK42" i="29"/>
  <c r="CL41" i="29"/>
  <c r="U26" i="46"/>
  <c r="R33" i="48"/>
  <c r="M34" i="48"/>
  <c r="O34" i="48" s="1"/>
  <c r="CJ38" i="29"/>
  <c r="AT39" i="29"/>
  <c r="DK38" i="29"/>
  <c r="DP38" i="29"/>
  <c r="H38" i="48"/>
  <c r="K38" i="48"/>
  <c r="P38" i="48" s="1"/>
  <c r="J38" i="48"/>
  <c r="I38" i="48"/>
  <c r="Z8" i="45"/>
  <c r="X11" i="45"/>
  <c r="X12" i="45"/>
  <c r="AB39" i="48"/>
  <c r="O62" i="50"/>
  <c r="A63" i="50"/>
  <c r="BO38" i="29"/>
  <c r="DF38" i="29"/>
  <c r="U37" i="48"/>
  <c r="U38" i="48" s="1"/>
  <c r="AS40" i="29"/>
  <c r="E40" i="29" s="1"/>
  <c r="AJ40" i="29" s="1"/>
  <c r="C59" i="30"/>
  <c r="B48" i="50"/>
  <c r="R48" i="50" s="1"/>
  <c r="BF39" i="29"/>
  <c r="S38" i="48"/>
  <c r="T38" i="48" s="1"/>
  <c r="C39" i="48"/>
  <c r="E39" i="48"/>
  <c r="Q38" i="48"/>
  <c r="AA39" i="48"/>
  <c r="BT16" i="29" l="1"/>
  <c r="BU16" i="29"/>
  <c r="BS16" i="29"/>
  <c r="K37" i="50"/>
  <c r="L48" i="30"/>
  <c r="DG19" i="29"/>
  <c r="DH18" i="29"/>
  <c r="BI18" i="29" s="1"/>
  <c r="DL18" i="29"/>
  <c r="DM17" i="29"/>
  <c r="BR17" i="29" s="1"/>
  <c r="M37" i="50"/>
  <c r="Y29" i="29"/>
  <c r="AB29" i="29" s="1"/>
  <c r="AG28" i="29"/>
  <c r="N48" i="30"/>
  <c r="CC65" i="29"/>
  <c r="CD65" i="29"/>
  <c r="DQ67" i="29"/>
  <c r="CA66" i="29"/>
  <c r="BJ17" i="29"/>
  <c r="BK17" i="29"/>
  <c r="P37" i="30" s="1"/>
  <c r="BL17" i="29"/>
  <c r="Q37" i="30" s="1"/>
  <c r="O37" i="30"/>
  <c r="AK40" i="29"/>
  <c r="CN41" i="29"/>
  <c r="CM41" i="29"/>
  <c r="CL42" i="29"/>
  <c r="CK43" i="29"/>
  <c r="M35" i="48"/>
  <c r="O35" i="48"/>
  <c r="R34" i="48"/>
  <c r="I39" i="48"/>
  <c r="H39" i="48"/>
  <c r="K39" i="48"/>
  <c r="P39" i="48" s="1"/>
  <c r="J39" i="48"/>
  <c r="AT40" i="29"/>
  <c r="CJ39" i="29"/>
  <c r="DK39" i="29"/>
  <c r="DP39" i="29"/>
  <c r="E40" i="48"/>
  <c r="S39" i="48"/>
  <c r="T39" i="48" s="1"/>
  <c r="Q39" i="48"/>
  <c r="C40" i="48"/>
  <c r="AA40" i="48"/>
  <c r="AB40" i="48" s="1"/>
  <c r="AS41" i="29"/>
  <c r="E41" i="29" s="1"/>
  <c r="C60" i="30"/>
  <c r="BF40" i="29"/>
  <c r="B49" i="50"/>
  <c r="R49" i="50" s="1"/>
  <c r="V27" i="46"/>
  <c r="D27" i="46" s="1"/>
  <c r="T27" i="46"/>
  <c r="U39" i="48"/>
  <c r="O63" i="50"/>
  <c r="A64" i="50"/>
  <c r="AB8" i="45"/>
  <c r="Z11" i="45"/>
  <c r="Z12" i="45"/>
  <c r="BO39" i="29"/>
  <c r="DF39" i="29"/>
  <c r="G26" i="46"/>
  <c r="H26" i="46" s="1"/>
  <c r="J26" i="46" s="1"/>
  <c r="N26" i="46" s="1"/>
  <c r="AK41" i="29" l="1"/>
  <c r="M38" i="50"/>
  <c r="AG29" i="29"/>
  <c r="N49" i="30"/>
  <c r="Y30" i="29"/>
  <c r="AB30" i="29" s="1"/>
  <c r="BJ18" i="29"/>
  <c r="BL18" i="29"/>
  <c r="Q38" i="30" s="1"/>
  <c r="O38" i="30"/>
  <c r="BK18" i="29"/>
  <c r="P38" i="30" s="1"/>
  <c r="DH19" i="29"/>
  <c r="BI19" i="29" s="1"/>
  <c r="DG20" i="29"/>
  <c r="DL19" i="29"/>
  <c r="DM18" i="29"/>
  <c r="BR18" i="29" s="1"/>
  <c r="L49" i="30"/>
  <c r="K38" i="50"/>
  <c r="CD66" i="29"/>
  <c r="CC66" i="29"/>
  <c r="DQ68" i="29"/>
  <c r="CA67" i="29"/>
  <c r="BS17" i="29"/>
  <c r="BT17" i="29"/>
  <c r="BU17" i="29"/>
  <c r="CL43" i="29"/>
  <c r="CK44" i="29"/>
  <c r="CM42" i="29"/>
  <c r="CN42" i="29"/>
  <c r="AB12" i="45"/>
  <c r="C12" i="45" s="1"/>
  <c r="AB11" i="45"/>
  <c r="C11" i="45" s="1"/>
  <c r="M36" i="48"/>
  <c r="O36" i="48"/>
  <c r="R35" i="48"/>
  <c r="G27" i="46"/>
  <c r="H27" i="46" s="1"/>
  <c r="J27" i="46" s="1"/>
  <c r="N27" i="46" s="1"/>
  <c r="I40" i="48"/>
  <c r="H40" i="48"/>
  <c r="K40" i="48" s="1"/>
  <c r="P40" i="48" s="1"/>
  <c r="J40" i="48"/>
  <c r="AT41" i="29"/>
  <c r="CJ40" i="29"/>
  <c r="DK40" i="29"/>
  <c r="DP40" i="29"/>
  <c r="O64" i="50"/>
  <c r="A65" i="50"/>
  <c r="AS42" i="29"/>
  <c r="E42" i="29" s="1"/>
  <c r="BF41" i="29"/>
  <c r="C61" i="30"/>
  <c r="B50" i="50"/>
  <c r="R50" i="50" s="1"/>
  <c r="L50" i="30"/>
  <c r="U27" i="46"/>
  <c r="BO40" i="29"/>
  <c r="DF40" i="29"/>
  <c r="S40" i="48"/>
  <c r="T40" i="48" s="1"/>
  <c r="E41" i="48"/>
  <c r="C41" i="48"/>
  <c r="Q40" i="48"/>
  <c r="AA41" i="48"/>
  <c r="AB41" i="48" s="1"/>
  <c r="AJ41" i="29"/>
  <c r="K39" i="50" l="1"/>
  <c r="M39" i="50"/>
  <c r="Y31" i="29"/>
  <c r="AB31" i="29" s="1"/>
  <c r="M40" i="50" s="1"/>
  <c r="AG30" i="29"/>
  <c r="N50" i="30"/>
  <c r="DL20" i="29"/>
  <c r="DM19" i="29"/>
  <c r="BR19" i="29" s="1"/>
  <c r="DG21" i="29"/>
  <c r="DH20" i="29"/>
  <c r="BI20" i="29" s="1"/>
  <c r="CA68" i="29"/>
  <c r="DQ69" i="29"/>
  <c r="BL19" i="29"/>
  <c r="Q39" i="30" s="1"/>
  <c r="O39" i="30"/>
  <c r="BJ19" i="29"/>
  <c r="BK19" i="29"/>
  <c r="P39" i="30" s="1"/>
  <c r="CC67" i="29"/>
  <c r="CD67" i="29"/>
  <c r="BT18" i="29"/>
  <c r="BS18" i="29"/>
  <c r="BU18" i="29"/>
  <c r="CL44" i="29"/>
  <c r="CK45" i="29"/>
  <c r="CM43" i="29"/>
  <c r="CN43" i="29"/>
  <c r="M37" i="48"/>
  <c r="O37" i="48" s="1"/>
  <c r="R36" i="48"/>
  <c r="A66" i="50"/>
  <c r="O65" i="50"/>
  <c r="H41" i="48"/>
  <c r="K41" i="48"/>
  <c r="P41" i="48" s="1"/>
  <c r="J41" i="48"/>
  <c r="I41" i="48"/>
  <c r="AS43" i="29"/>
  <c r="E43" i="29" s="1"/>
  <c r="C62" i="30"/>
  <c r="B51" i="50"/>
  <c r="R51" i="50" s="1"/>
  <c r="BF42" i="29"/>
  <c r="AK42" i="29"/>
  <c r="S41" i="48"/>
  <c r="T41" i="48" s="1"/>
  <c r="AA42" i="48"/>
  <c r="AB42" i="48" s="1"/>
  <c r="C42" i="48"/>
  <c r="E42" i="48"/>
  <c r="Q41" i="48"/>
  <c r="AJ42" i="29"/>
  <c r="V28" i="46"/>
  <c r="D28" i="46" s="1"/>
  <c r="T28" i="46" s="1"/>
  <c r="CJ41" i="29"/>
  <c r="AT42" i="29"/>
  <c r="DK41" i="29"/>
  <c r="DP41" i="29"/>
  <c r="BO41" i="29"/>
  <c r="DF41" i="29"/>
  <c r="U40" i="48"/>
  <c r="U41" i="48" s="1"/>
  <c r="K40" i="50" l="1"/>
  <c r="AG31" i="29"/>
  <c r="L51" i="30"/>
  <c r="Y32" i="29"/>
  <c r="AB32" i="29" s="1"/>
  <c r="M41" i="50" s="1"/>
  <c r="N51" i="30"/>
  <c r="BK20" i="29"/>
  <c r="P40" i="30" s="1"/>
  <c r="BL20" i="29"/>
  <c r="Q40" i="30" s="1"/>
  <c r="O40" i="30"/>
  <c r="BJ20" i="29"/>
  <c r="DH21" i="29"/>
  <c r="BI21" i="29" s="1"/>
  <c r="DG22" i="29"/>
  <c r="CA69" i="29"/>
  <c r="DQ70" i="29"/>
  <c r="BT19" i="29"/>
  <c r="BS19" i="29"/>
  <c r="BU19" i="29"/>
  <c r="CC68" i="29"/>
  <c r="CD68" i="29"/>
  <c r="DM20" i="29"/>
  <c r="BR20" i="29" s="1"/>
  <c r="DL21" i="29"/>
  <c r="AJ43" i="29"/>
  <c r="CL45" i="29"/>
  <c r="CK46" i="29"/>
  <c r="CN44" i="29"/>
  <c r="CM44" i="29"/>
  <c r="U28" i="46"/>
  <c r="G28" i="46" s="1"/>
  <c r="H28" i="46" s="1"/>
  <c r="J28" i="46" s="1"/>
  <c r="N28" i="46" s="1"/>
  <c r="M38" i="48"/>
  <c r="O38" i="48" s="1"/>
  <c r="R37" i="48"/>
  <c r="J42" i="48"/>
  <c r="I42" i="48"/>
  <c r="H42" i="48"/>
  <c r="K42" i="48"/>
  <c r="P42" i="48" s="1"/>
  <c r="E43" i="48"/>
  <c r="S42" i="48"/>
  <c r="T42" i="48" s="1"/>
  <c r="C43" i="48"/>
  <c r="AA43" i="48"/>
  <c r="AB43" i="48" s="1"/>
  <c r="Q42" i="48"/>
  <c r="AS44" i="29"/>
  <c r="E44" i="29" s="1"/>
  <c r="BF43" i="29"/>
  <c r="B52" i="50"/>
  <c r="R52" i="50" s="1"/>
  <c r="C63" i="30"/>
  <c r="U42" i="48"/>
  <c r="O66" i="50"/>
  <c r="A67" i="50"/>
  <c r="AK43" i="29"/>
  <c r="AT43" i="29"/>
  <c r="CJ42" i="29"/>
  <c r="DK42" i="29"/>
  <c r="DP42" i="29"/>
  <c r="BO42" i="29"/>
  <c r="DF42" i="29"/>
  <c r="AG32" i="29" l="1"/>
  <c r="Y33" i="29"/>
  <c r="AB33" i="29" s="1"/>
  <c r="N53" i="30" s="1"/>
  <c r="L52" i="30"/>
  <c r="N52" i="30"/>
  <c r="K41" i="50"/>
  <c r="DQ71" i="29"/>
  <c r="CA70" i="29"/>
  <c r="DL22" i="29"/>
  <c r="DM21" i="29"/>
  <c r="BR21" i="29" s="1"/>
  <c r="CD69" i="29"/>
  <c r="CC69" i="29"/>
  <c r="BS20" i="29"/>
  <c r="BT20" i="29"/>
  <c r="BU20" i="29"/>
  <c r="DH22" i="29"/>
  <c r="BI22" i="29" s="1"/>
  <c r="DG23" i="29"/>
  <c r="BL21" i="29"/>
  <c r="Q41" i="30" s="1"/>
  <c r="O41" i="30"/>
  <c r="BK21" i="29"/>
  <c r="P41" i="30" s="1"/>
  <c r="BJ21" i="29"/>
  <c r="AK44" i="29"/>
  <c r="CL46" i="29"/>
  <c r="CK47" i="29"/>
  <c r="CM45" i="29"/>
  <c r="CN45" i="29"/>
  <c r="M39" i="48"/>
  <c r="R38" i="48"/>
  <c r="O39" i="48"/>
  <c r="U43" i="48"/>
  <c r="S43" i="48"/>
  <c r="T43" i="48" s="1"/>
  <c r="Q43" i="48"/>
  <c r="C44" i="48"/>
  <c r="E44" i="48"/>
  <c r="AA44" i="48"/>
  <c r="AB44" i="48" s="1"/>
  <c r="AT44" i="29"/>
  <c r="CJ43" i="29"/>
  <c r="DK43" i="29"/>
  <c r="DP43" i="29"/>
  <c r="AS45" i="29"/>
  <c r="E45" i="29" s="1"/>
  <c r="C64" i="30"/>
  <c r="B53" i="50"/>
  <c r="R53" i="50" s="1"/>
  <c r="BF44" i="29"/>
  <c r="I43" i="48"/>
  <c r="H43" i="48"/>
  <c r="K43" i="48"/>
  <c r="P43" i="48" s="1"/>
  <c r="J43" i="48"/>
  <c r="BO43" i="29"/>
  <c r="DF43" i="29"/>
  <c r="O67" i="50"/>
  <c r="A68" i="50"/>
  <c r="V29" i="46"/>
  <c r="D29" i="46" s="1"/>
  <c r="T29" i="46"/>
  <c r="AJ44" i="29"/>
  <c r="L53" i="30" l="1"/>
  <c r="K42" i="50"/>
  <c r="AG33" i="29"/>
  <c r="Y34" i="29"/>
  <c r="AB34" i="29" s="1"/>
  <c r="M43" i="50" s="1"/>
  <c r="M42" i="50"/>
  <c r="AJ45" i="29"/>
  <c r="AK45" i="29"/>
  <c r="DG24" i="29"/>
  <c r="DH23" i="29"/>
  <c r="BI23" i="29" s="1"/>
  <c r="DL23" i="29"/>
  <c r="DM22" i="29"/>
  <c r="BR22" i="29" s="1"/>
  <c r="BL22" i="29"/>
  <c r="Q42" i="30" s="1"/>
  <c r="BJ22" i="29"/>
  <c r="BK22" i="29"/>
  <c r="P42" i="30" s="1"/>
  <c r="O42" i="30"/>
  <c r="CD70" i="29"/>
  <c r="CC70" i="29"/>
  <c r="BS21" i="29"/>
  <c r="BT21" i="29"/>
  <c r="BU21" i="29"/>
  <c r="CA71" i="29"/>
  <c r="DQ72" i="29"/>
  <c r="CL47" i="29"/>
  <c r="CK48" i="29"/>
  <c r="CN46" i="29"/>
  <c r="CM46" i="29"/>
  <c r="G29" i="46"/>
  <c r="H29" i="46" s="1"/>
  <c r="J29" i="46" s="1"/>
  <c r="N29" i="46" s="1"/>
  <c r="E45" i="48"/>
  <c r="Q44" i="48"/>
  <c r="AA45" i="48"/>
  <c r="AB45" i="48" s="1"/>
  <c r="C45" i="48"/>
  <c r="S44" i="48"/>
  <c r="T44" i="48" s="1"/>
  <c r="AS46" i="29"/>
  <c r="E46" i="29" s="1"/>
  <c r="C65" i="30"/>
  <c r="B54" i="50"/>
  <c r="R54" i="50" s="1"/>
  <c r="BF45" i="29"/>
  <c r="H44" i="48"/>
  <c r="K44" i="48"/>
  <c r="P44" i="48" s="1"/>
  <c r="J44" i="48"/>
  <c r="I44" i="48"/>
  <c r="R39" i="48"/>
  <c r="M40" i="48"/>
  <c r="O40" i="48" s="1"/>
  <c r="U29" i="46"/>
  <c r="CJ44" i="29"/>
  <c r="AT45" i="29"/>
  <c r="DK44" i="29"/>
  <c r="DP44" i="29"/>
  <c r="A69" i="50"/>
  <c r="O68" i="50"/>
  <c r="BO44" i="29"/>
  <c r="DF44" i="29"/>
  <c r="L54" i="30" l="1"/>
  <c r="K43" i="50"/>
  <c r="AG34" i="29"/>
  <c r="N54" i="30"/>
  <c r="Y35" i="29"/>
  <c r="K44" i="50" s="1"/>
  <c r="CA72" i="29"/>
  <c r="DQ73" i="29"/>
  <c r="DM23" i="29"/>
  <c r="BR23" i="29" s="1"/>
  <c r="DL24" i="29"/>
  <c r="CC71" i="29"/>
  <c r="CD71" i="29"/>
  <c r="O43" i="30"/>
  <c r="BK23" i="29"/>
  <c r="P43" i="30" s="1"/>
  <c r="BJ23" i="29"/>
  <c r="BL23" i="29"/>
  <c r="Q43" i="30" s="1"/>
  <c r="BT22" i="29"/>
  <c r="BS22" i="29"/>
  <c r="BU22" i="29"/>
  <c r="DG25" i="29"/>
  <c r="DH24" i="29"/>
  <c r="BI24" i="29" s="1"/>
  <c r="CK49" i="29"/>
  <c r="CL48" i="29"/>
  <c r="CM47" i="29"/>
  <c r="CN47" i="29"/>
  <c r="M41" i="48"/>
  <c r="O41" i="48"/>
  <c r="R40" i="48"/>
  <c r="AS47" i="29"/>
  <c r="E47" i="29" s="1"/>
  <c r="BF46" i="29"/>
  <c r="C66" i="30"/>
  <c r="B55" i="50"/>
  <c r="R55" i="50" s="1"/>
  <c r="AK46" i="29"/>
  <c r="AT46" i="29"/>
  <c r="CJ45" i="29"/>
  <c r="DK45" i="29"/>
  <c r="DP45" i="29"/>
  <c r="T30" i="46"/>
  <c r="V30" i="46"/>
  <c r="D30" i="46" s="1"/>
  <c r="BO45" i="29"/>
  <c r="DF45" i="29"/>
  <c r="J45" i="48"/>
  <c r="I45" i="48"/>
  <c r="H45" i="48"/>
  <c r="K45" i="48"/>
  <c r="P45" i="48" s="1"/>
  <c r="AJ46" i="29"/>
  <c r="U44" i="48"/>
  <c r="A70" i="50"/>
  <c r="O69" i="50"/>
  <c r="AB35" i="29"/>
  <c r="C46" i="48"/>
  <c r="Q45" i="48"/>
  <c r="S45" i="48"/>
  <c r="T45" i="48" s="1"/>
  <c r="AA46" i="48"/>
  <c r="AB46" i="48" s="1"/>
  <c r="E46" i="48"/>
  <c r="AJ47" i="29" l="1"/>
  <c r="L55" i="30"/>
  <c r="BK24" i="29"/>
  <c r="P44" i="30" s="1"/>
  <c r="O44" i="30"/>
  <c r="BL24" i="29"/>
  <c r="Q44" i="30" s="1"/>
  <c r="BJ24" i="29"/>
  <c r="BS23" i="29"/>
  <c r="BT23" i="29"/>
  <c r="BU23" i="29"/>
  <c r="DG26" i="29"/>
  <c r="DH25" i="29"/>
  <c r="BI25" i="29" s="1"/>
  <c r="CA73" i="29"/>
  <c r="DQ74" i="29"/>
  <c r="DM24" i="29"/>
  <c r="BR24" i="29" s="1"/>
  <c r="DL25" i="29"/>
  <c r="CD72" i="29"/>
  <c r="CC72" i="29"/>
  <c r="AK47" i="29"/>
  <c r="CN48" i="29"/>
  <c r="CM48" i="29"/>
  <c r="CL49" i="29"/>
  <c r="CK50" i="29"/>
  <c r="AS48" i="29"/>
  <c r="E48" i="29" s="1"/>
  <c r="B56" i="50"/>
  <c r="R56" i="50" s="1"/>
  <c r="BF47" i="29"/>
  <c r="C67" i="30"/>
  <c r="R41" i="48"/>
  <c r="M42" i="48"/>
  <c r="O42" i="48" s="1"/>
  <c r="AT47" i="29"/>
  <c r="CJ46" i="29"/>
  <c r="DK46" i="29"/>
  <c r="DP46" i="29"/>
  <c r="N55" i="30"/>
  <c r="AG35" i="29"/>
  <c r="Y36" i="29"/>
  <c r="AB36" i="29" s="1"/>
  <c r="M44" i="50"/>
  <c r="BO46" i="29"/>
  <c r="DF46" i="29"/>
  <c r="O70" i="50"/>
  <c r="A71" i="50"/>
  <c r="H46" i="48"/>
  <c r="K46" i="48" s="1"/>
  <c r="P46" i="48" s="1"/>
  <c r="I46" i="48"/>
  <c r="J46" i="48"/>
  <c r="Q46" i="48"/>
  <c r="S46" i="48"/>
  <c r="T46" i="48" s="1"/>
  <c r="E47" i="48"/>
  <c r="C47" i="48"/>
  <c r="AA47" i="48"/>
  <c r="AB47" i="48" s="1"/>
  <c r="U45" i="48"/>
  <c r="U46" i="48" s="1"/>
  <c r="U30" i="46"/>
  <c r="BT24" i="29" l="1"/>
  <c r="BS24" i="29"/>
  <c r="BU24" i="29"/>
  <c r="DH26" i="29"/>
  <c r="BI26" i="29" s="1"/>
  <c r="DG27" i="29"/>
  <c r="CA74" i="29"/>
  <c r="DQ75" i="29"/>
  <c r="CD73" i="29"/>
  <c r="CC73" i="29"/>
  <c r="DL26" i="29"/>
  <c r="DM25" i="29"/>
  <c r="BR25" i="29" s="1"/>
  <c r="BJ25" i="29"/>
  <c r="BL25" i="29"/>
  <c r="Q45" i="30" s="1"/>
  <c r="BK25" i="29"/>
  <c r="P45" i="30" s="1"/>
  <c r="O45" i="30"/>
  <c r="CL50" i="29"/>
  <c r="CK51" i="29"/>
  <c r="CN49" i="29"/>
  <c r="CM49" i="29"/>
  <c r="R42" i="48"/>
  <c r="M43" i="48"/>
  <c r="O43" i="48"/>
  <c r="AS49" i="29"/>
  <c r="E49" i="29" s="1"/>
  <c r="B57" i="50"/>
  <c r="R57" i="50" s="1"/>
  <c r="BF48" i="29"/>
  <c r="C68" i="30"/>
  <c r="V31" i="46"/>
  <c r="D31" i="46" s="1"/>
  <c r="T31" i="46"/>
  <c r="U31" i="46" s="1"/>
  <c r="AK48" i="29"/>
  <c r="S47" i="48"/>
  <c r="T47" i="48" s="1"/>
  <c r="C48" i="48"/>
  <c r="E48" i="48"/>
  <c r="AA48" i="48"/>
  <c r="AB48" i="48" s="1"/>
  <c r="Q47" i="48"/>
  <c r="Y37" i="29"/>
  <c r="AB37" i="29" s="1"/>
  <c r="AG36" i="29"/>
  <c r="N56" i="30"/>
  <c r="M45" i="50"/>
  <c r="I47" i="48"/>
  <c r="H47" i="48"/>
  <c r="K47" i="48"/>
  <c r="P47" i="48" s="1"/>
  <c r="J47" i="48"/>
  <c r="L56" i="30"/>
  <c r="K45" i="50"/>
  <c r="AJ48" i="29"/>
  <c r="U47" i="48"/>
  <c r="O71" i="50"/>
  <c r="A72" i="50"/>
  <c r="G30" i="46"/>
  <c r="H30" i="46" s="1"/>
  <c r="J30" i="46" s="1"/>
  <c r="N30" i="46" s="1"/>
  <c r="CJ47" i="29"/>
  <c r="AT48" i="29"/>
  <c r="DK47" i="29"/>
  <c r="DP47" i="29"/>
  <c r="BO47" i="29"/>
  <c r="DF47" i="29"/>
  <c r="AJ49" i="29" l="1"/>
  <c r="AK49" i="29"/>
  <c r="CA75" i="29"/>
  <c r="DQ76" i="29"/>
  <c r="DM26" i="29"/>
  <c r="BR26" i="29" s="1"/>
  <c r="DL27" i="29"/>
  <c r="CC74" i="29"/>
  <c r="CD74" i="29"/>
  <c r="O46" i="30"/>
  <c r="BK26" i="29"/>
  <c r="P46" i="30" s="1"/>
  <c r="BL26" i="29"/>
  <c r="Q46" i="30" s="1"/>
  <c r="BJ26" i="29"/>
  <c r="BU25" i="29"/>
  <c r="BT25" i="29"/>
  <c r="BS25" i="29"/>
  <c r="DH27" i="29"/>
  <c r="BI27" i="29" s="1"/>
  <c r="DG28" i="29"/>
  <c r="CL51" i="29"/>
  <c r="CK52" i="29"/>
  <c r="CM50" i="29"/>
  <c r="CN50" i="29"/>
  <c r="V32" i="46"/>
  <c r="D32" i="46" s="1"/>
  <c r="T32" i="46" s="1"/>
  <c r="R43" i="48"/>
  <c r="M44" i="48"/>
  <c r="O44" i="48"/>
  <c r="M46" i="50"/>
  <c r="N57" i="30"/>
  <c r="Y38" i="29"/>
  <c r="AB38" i="29" s="1"/>
  <c r="AG37" i="29"/>
  <c r="I48" i="48"/>
  <c r="H48" i="48"/>
  <c r="K48" i="48"/>
  <c r="P48" i="48" s="1"/>
  <c r="J48" i="48"/>
  <c r="AS50" i="29"/>
  <c r="E50" i="29" s="1"/>
  <c r="AJ50" i="29" s="1"/>
  <c r="C69" i="30"/>
  <c r="BF49" i="29"/>
  <c r="B58" i="50"/>
  <c r="R58" i="50" s="1"/>
  <c r="CJ48" i="29"/>
  <c r="AT49" i="29"/>
  <c r="DK48" i="29"/>
  <c r="DP48" i="29"/>
  <c r="G31" i="46"/>
  <c r="H31" i="46" s="1"/>
  <c r="J31" i="46" s="1"/>
  <c r="N31" i="46" s="1"/>
  <c r="L57" i="30"/>
  <c r="K46" i="50"/>
  <c r="C49" i="48"/>
  <c r="AA49" i="48"/>
  <c r="AB49" i="48" s="1"/>
  <c r="E49" i="48"/>
  <c r="S48" i="48"/>
  <c r="T48" i="48" s="1"/>
  <c r="Q48" i="48"/>
  <c r="A73" i="50"/>
  <c r="O72" i="50"/>
  <c r="BO48" i="29"/>
  <c r="DF48" i="29"/>
  <c r="AK50" i="29" l="1"/>
  <c r="BS26" i="29"/>
  <c r="BT26" i="29"/>
  <c r="BU26" i="29"/>
  <c r="DL28" i="29"/>
  <c r="DM27" i="29"/>
  <c r="BR27" i="29" s="1"/>
  <c r="DH28" i="29"/>
  <c r="BI28" i="29" s="1"/>
  <c r="DG29" i="29"/>
  <c r="BK27" i="29"/>
  <c r="P47" i="30" s="1"/>
  <c r="BJ27" i="29"/>
  <c r="O47" i="30"/>
  <c r="BL27" i="29"/>
  <c r="Q47" i="30" s="1"/>
  <c r="DQ77" i="29"/>
  <c r="CA76" i="29"/>
  <c r="CC75" i="29"/>
  <c r="CD75" i="29"/>
  <c r="CK53" i="29"/>
  <c r="CL52" i="29"/>
  <c r="CM51" i="29"/>
  <c r="CN51" i="29"/>
  <c r="U32" i="46"/>
  <c r="C50" i="48"/>
  <c r="Q49" i="48"/>
  <c r="E50" i="48"/>
  <c r="S49" i="48"/>
  <c r="T49" i="48" s="1"/>
  <c r="AA50" i="48"/>
  <c r="AB50" i="48" s="1"/>
  <c r="N58" i="30"/>
  <c r="M47" i="50"/>
  <c r="Y39" i="29"/>
  <c r="AB39" i="29" s="1"/>
  <c r="AG38" i="29"/>
  <c r="BO49" i="29"/>
  <c r="DF49" i="29"/>
  <c r="A74" i="50"/>
  <c r="O73" i="50"/>
  <c r="M45" i="48"/>
  <c r="O45" i="48" s="1"/>
  <c r="R44" i="48"/>
  <c r="AT50" i="29"/>
  <c r="CJ49" i="29"/>
  <c r="DK49" i="29"/>
  <c r="DP49" i="29"/>
  <c r="L58" i="30"/>
  <c r="K47" i="50"/>
  <c r="I49" i="48"/>
  <c r="H49" i="48"/>
  <c r="K49" i="48" s="1"/>
  <c r="P49" i="48" s="1"/>
  <c r="J49" i="48"/>
  <c r="U48" i="48"/>
  <c r="AS51" i="29"/>
  <c r="E51" i="29" s="1"/>
  <c r="AK51" i="29" s="1"/>
  <c r="BF50" i="29"/>
  <c r="B59" i="50"/>
  <c r="R59" i="50" s="1"/>
  <c r="C70" i="30"/>
  <c r="DG30" i="29" l="1"/>
  <c r="DH29" i="29"/>
  <c r="BI29" i="29" s="1"/>
  <c r="CA77" i="29"/>
  <c r="DQ78" i="29"/>
  <c r="BJ28" i="29"/>
  <c r="BL28" i="29"/>
  <c r="Q48" i="30" s="1"/>
  <c r="BK28" i="29"/>
  <c r="P48" i="30" s="1"/>
  <c r="O48" i="30"/>
  <c r="DL29" i="29"/>
  <c r="DM28" i="29"/>
  <c r="BR28" i="29" s="1"/>
  <c r="CC76" i="29"/>
  <c r="CD76" i="29"/>
  <c r="BS27" i="29"/>
  <c r="BU27" i="29"/>
  <c r="BT27" i="29"/>
  <c r="AJ51" i="29"/>
  <c r="CM52" i="29"/>
  <c r="CN52" i="29"/>
  <c r="CK54" i="29"/>
  <c r="CL53" i="29"/>
  <c r="M46" i="48"/>
  <c r="O46" i="48"/>
  <c r="R45" i="48"/>
  <c r="Y40" i="29"/>
  <c r="AB40" i="29" s="1"/>
  <c r="M48" i="50"/>
  <c r="AG39" i="29"/>
  <c r="N59" i="30"/>
  <c r="O74" i="50"/>
  <c r="A75" i="50"/>
  <c r="V33" i="46"/>
  <c r="D33" i="46" s="1"/>
  <c r="T33" i="46" s="1"/>
  <c r="K48" i="50"/>
  <c r="L59" i="30"/>
  <c r="E51" i="48"/>
  <c r="S50" i="48"/>
  <c r="T50" i="48" s="1"/>
  <c r="Q50" i="48"/>
  <c r="C51" i="48"/>
  <c r="AA51" i="48"/>
  <c r="AB51" i="48" s="1"/>
  <c r="BO50" i="29"/>
  <c r="DF50" i="29"/>
  <c r="K50" i="48"/>
  <c r="P50" i="48" s="1"/>
  <c r="I50" i="48"/>
  <c r="H50" i="48"/>
  <c r="J50" i="48"/>
  <c r="G32" i="46"/>
  <c r="H32" i="46" s="1"/>
  <c r="J32" i="46" s="1"/>
  <c r="N32" i="46" s="1"/>
  <c r="AS52" i="29"/>
  <c r="E52" i="29" s="1"/>
  <c r="B60" i="50"/>
  <c r="R60" i="50" s="1"/>
  <c r="C71" i="30"/>
  <c r="BF51" i="29"/>
  <c r="U49" i="48"/>
  <c r="U50" i="48" s="1"/>
  <c r="CJ50" i="29"/>
  <c r="AT51" i="29"/>
  <c r="DK50" i="29"/>
  <c r="DP50" i="29"/>
  <c r="BJ29" i="29" l="1"/>
  <c r="BL29" i="29"/>
  <c r="Q49" i="30" s="1"/>
  <c r="O49" i="30"/>
  <c r="BK29" i="29"/>
  <c r="P49" i="30" s="1"/>
  <c r="DQ79" i="29"/>
  <c r="CA78" i="29"/>
  <c r="CC77" i="29"/>
  <c r="CD77" i="29"/>
  <c r="BS28" i="29"/>
  <c r="BT28" i="29"/>
  <c r="BU28" i="29"/>
  <c r="DM29" i="29"/>
  <c r="BR29" i="29" s="1"/>
  <c r="DL30" i="29"/>
  <c r="DG31" i="29"/>
  <c r="DH30" i="29"/>
  <c r="BI30" i="29" s="1"/>
  <c r="CN53" i="29"/>
  <c r="CM53" i="29"/>
  <c r="CL54" i="29"/>
  <c r="CK55" i="29"/>
  <c r="U33" i="46"/>
  <c r="H51" i="48"/>
  <c r="K51" i="48" s="1"/>
  <c r="P51" i="48" s="1"/>
  <c r="J51" i="48"/>
  <c r="I51" i="48"/>
  <c r="A76" i="50"/>
  <c r="O75" i="50"/>
  <c r="Y41" i="29"/>
  <c r="N60" i="30"/>
  <c r="M49" i="50"/>
  <c r="AG40" i="29"/>
  <c r="R46" i="48"/>
  <c r="M47" i="48"/>
  <c r="O47" i="48"/>
  <c r="E52" i="48"/>
  <c r="AA52" i="48"/>
  <c r="AB52" i="48" s="1"/>
  <c r="S51" i="48"/>
  <c r="T51" i="48" s="1"/>
  <c r="Q51" i="48"/>
  <c r="C52" i="48"/>
  <c r="AS53" i="29"/>
  <c r="E53" i="29" s="1"/>
  <c r="BF52" i="29"/>
  <c r="B61" i="50"/>
  <c r="R61" i="50" s="1"/>
  <c r="C72" i="30"/>
  <c r="AJ52" i="29"/>
  <c r="CJ51" i="29"/>
  <c r="AT52" i="29"/>
  <c r="DK51" i="29"/>
  <c r="DP51" i="29"/>
  <c r="U51" i="48"/>
  <c r="BO51" i="29"/>
  <c r="DF51" i="29"/>
  <c r="AK52" i="29"/>
  <c r="K49" i="50"/>
  <c r="L60" i="30"/>
  <c r="BS29" i="29" l="1"/>
  <c r="BU29" i="29"/>
  <c r="BT29" i="29"/>
  <c r="DG32" i="29"/>
  <c r="DH31" i="29"/>
  <c r="BI31" i="29" s="1"/>
  <c r="BK30" i="29"/>
  <c r="P50" i="30" s="1"/>
  <c r="BL30" i="29"/>
  <c r="Q50" i="30" s="1"/>
  <c r="O50" i="30"/>
  <c r="BJ30" i="29"/>
  <c r="CD78" i="29"/>
  <c r="CC78" i="29"/>
  <c r="DL31" i="29"/>
  <c r="DM30" i="29"/>
  <c r="BR30" i="29" s="1"/>
  <c r="CA79" i="29"/>
  <c r="DQ80" i="29"/>
  <c r="CL55" i="29"/>
  <c r="CK56" i="29"/>
  <c r="CM54" i="29"/>
  <c r="CN54" i="29"/>
  <c r="AT53" i="29"/>
  <c r="CJ52" i="29"/>
  <c r="DK52" i="29"/>
  <c r="DP52" i="29"/>
  <c r="E53" i="48"/>
  <c r="AA53" i="48"/>
  <c r="AB53" i="48" s="1"/>
  <c r="Q52" i="48"/>
  <c r="S52" i="48"/>
  <c r="T52" i="48" s="1"/>
  <c r="C53" i="48"/>
  <c r="V34" i="46"/>
  <c r="D34" i="46" s="1"/>
  <c r="T34" i="46" s="1"/>
  <c r="L61" i="30"/>
  <c r="K50" i="50"/>
  <c r="U52" i="48"/>
  <c r="AB41" i="29"/>
  <c r="AK53" i="29"/>
  <c r="O76" i="50"/>
  <c r="A77" i="50"/>
  <c r="G33" i="46"/>
  <c r="H33" i="46" s="1"/>
  <c r="J33" i="46" s="1"/>
  <c r="N33" i="46" s="1"/>
  <c r="AS54" i="29"/>
  <c r="E54" i="29" s="1"/>
  <c r="C73" i="30"/>
  <c r="BF53" i="29"/>
  <c r="B62" i="50"/>
  <c r="R62" i="50" s="1"/>
  <c r="I52" i="48"/>
  <c r="H52" i="48"/>
  <c r="K52" i="48" s="1"/>
  <c r="P52" i="48" s="1"/>
  <c r="J52" i="48"/>
  <c r="M48" i="48"/>
  <c r="O48" i="48"/>
  <c r="R47" i="48"/>
  <c r="AJ53" i="29"/>
  <c r="BO52" i="29"/>
  <c r="DF52" i="29"/>
  <c r="DM31" i="29" l="1"/>
  <c r="BR31" i="29" s="1"/>
  <c r="DL32" i="29"/>
  <c r="DH32" i="29"/>
  <c r="BI32" i="29" s="1"/>
  <c r="DG33" i="29"/>
  <c r="CC79" i="29"/>
  <c r="CD79" i="29"/>
  <c r="CA80" i="29"/>
  <c r="DQ81" i="29"/>
  <c r="BU30" i="29"/>
  <c r="BT30" i="29"/>
  <c r="BS30" i="29"/>
  <c r="BL31" i="29"/>
  <c r="Q51" i="30" s="1"/>
  <c r="BK31" i="29"/>
  <c r="P51" i="30" s="1"/>
  <c r="O51" i="30"/>
  <c r="BJ31" i="29"/>
  <c r="AJ54" i="29"/>
  <c r="CL56" i="29"/>
  <c r="CK57" i="29"/>
  <c r="CM55" i="29"/>
  <c r="CN55" i="29"/>
  <c r="U34" i="46"/>
  <c r="AB54" i="48"/>
  <c r="BO53" i="29"/>
  <c r="DF53" i="29"/>
  <c r="AA54" i="48"/>
  <c r="C54" i="48"/>
  <c r="S53" i="48"/>
  <c r="T53" i="48" s="1"/>
  <c r="Q53" i="48"/>
  <c r="E54" i="48"/>
  <c r="I53" i="48"/>
  <c r="H53" i="48"/>
  <c r="K53" i="48" s="1"/>
  <c r="P53" i="48" s="1"/>
  <c r="J53" i="48"/>
  <c r="CJ53" i="29"/>
  <c r="AT54" i="29"/>
  <c r="DK53" i="29"/>
  <c r="DP53" i="29"/>
  <c r="R48" i="48"/>
  <c r="M49" i="48"/>
  <c r="O49" i="48" s="1"/>
  <c r="N61" i="30"/>
  <c r="Y42" i="29"/>
  <c r="AB42" i="29" s="1"/>
  <c r="AG41" i="29"/>
  <c r="M50" i="50"/>
  <c r="A78" i="50"/>
  <c r="O77" i="50"/>
  <c r="AS55" i="29"/>
  <c r="E55" i="29" s="1"/>
  <c r="C74" i="30"/>
  <c r="BF54" i="29"/>
  <c r="B63" i="50"/>
  <c r="R63" i="50" s="1"/>
  <c r="AK54" i="29"/>
  <c r="AK55" i="29" s="1"/>
  <c r="BJ32" i="29" l="1"/>
  <c r="BL32" i="29"/>
  <c r="Q52" i="30" s="1"/>
  <c r="O52" i="30"/>
  <c r="BK32" i="29"/>
  <c r="P52" i="30" s="1"/>
  <c r="DM32" i="29"/>
  <c r="BR32" i="29" s="1"/>
  <c r="DL33" i="29"/>
  <c r="DQ82" i="29"/>
  <c r="CA81" i="29"/>
  <c r="DG34" i="29"/>
  <c r="DH33" i="29"/>
  <c r="BI33" i="29" s="1"/>
  <c r="CC80" i="29"/>
  <c r="CD80" i="29"/>
  <c r="BT31" i="29"/>
  <c r="BS31" i="29"/>
  <c r="BU31" i="29"/>
  <c r="CK58" i="29"/>
  <c r="CL57" i="29"/>
  <c r="CN56" i="29"/>
  <c r="CM56" i="29"/>
  <c r="M50" i="48"/>
  <c r="O50" i="48"/>
  <c r="R49" i="48"/>
  <c r="BO54" i="29"/>
  <c r="DF54" i="29"/>
  <c r="AG42" i="29"/>
  <c r="N62" i="30"/>
  <c r="M51" i="50"/>
  <c r="Y43" i="29"/>
  <c r="CJ54" i="29"/>
  <c r="AT55" i="29"/>
  <c r="DK54" i="29"/>
  <c r="DP54" i="29"/>
  <c r="U53" i="48"/>
  <c r="O78" i="50"/>
  <c r="A79" i="50"/>
  <c r="L62" i="30"/>
  <c r="K51" i="50"/>
  <c r="S54" i="48"/>
  <c r="T54" i="48" s="1"/>
  <c r="E55" i="48"/>
  <c r="C55" i="48"/>
  <c r="AA55" i="48"/>
  <c r="Q54" i="48"/>
  <c r="AB55" i="48"/>
  <c r="AS56" i="29"/>
  <c r="E56" i="29" s="1"/>
  <c r="AK56" i="29" s="1"/>
  <c r="BF55" i="29"/>
  <c r="B64" i="50"/>
  <c r="R64" i="50" s="1"/>
  <c r="C75" i="30"/>
  <c r="H54" i="48"/>
  <c r="K54" i="48" s="1"/>
  <c r="P54" i="48" s="1"/>
  <c r="J54" i="48"/>
  <c r="I54" i="48"/>
  <c r="V35" i="46"/>
  <c r="D35" i="46" s="1"/>
  <c r="T35" i="46" s="1"/>
  <c r="AJ55" i="29"/>
  <c r="G34" i="46"/>
  <c r="H34" i="46" s="1"/>
  <c r="J34" i="46" s="1"/>
  <c r="N34" i="46" s="1"/>
  <c r="CC81" i="29" l="1"/>
  <c r="CD81" i="29"/>
  <c r="BL33" i="29"/>
  <c r="Q53" i="30" s="1"/>
  <c r="O53" i="30"/>
  <c r="BJ33" i="29"/>
  <c r="BK33" i="29"/>
  <c r="P53" i="30" s="1"/>
  <c r="DL34" i="29"/>
  <c r="DM33" i="29"/>
  <c r="BR33" i="29" s="1"/>
  <c r="DQ83" i="29"/>
  <c r="CA82" i="29"/>
  <c r="DH34" i="29"/>
  <c r="BI34" i="29" s="1"/>
  <c r="DG35" i="29"/>
  <c r="BT32" i="29"/>
  <c r="BS32" i="29"/>
  <c r="BU32" i="29"/>
  <c r="AJ56" i="29"/>
  <c r="CM57" i="29"/>
  <c r="CN57" i="29"/>
  <c r="CL58" i="29"/>
  <c r="CK59" i="29"/>
  <c r="U35" i="46"/>
  <c r="U54" i="48"/>
  <c r="U55" i="48" s="1"/>
  <c r="L63" i="30"/>
  <c r="K52" i="50"/>
  <c r="BO55" i="29"/>
  <c r="DF55" i="29"/>
  <c r="Q55" i="48"/>
  <c r="C56" i="48"/>
  <c r="E56" i="48"/>
  <c r="AA56" i="48"/>
  <c r="AB56" i="48" s="1"/>
  <c r="S55" i="48"/>
  <c r="T55" i="48" s="1"/>
  <c r="CJ55" i="29"/>
  <c r="AT56" i="29"/>
  <c r="DK55" i="29"/>
  <c r="DP55" i="29"/>
  <c r="AB43" i="29"/>
  <c r="R50" i="48"/>
  <c r="M51" i="48"/>
  <c r="O51" i="48" s="1"/>
  <c r="AS57" i="29"/>
  <c r="E57" i="29" s="1"/>
  <c r="BF56" i="29"/>
  <c r="C76" i="30"/>
  <c r="B65" i="50"/>
  <c r="R65" i="50" s="1"/>
  <c r="H55" i="48"/>
  <c r="K55" i="48" s="1"/>
  <c r="P55" i="48" s="1"/>
  <c r="I55" i="48"/>
  <c r="J55" i="48"/>
  <c r="O79" i="50"/>
  <c r="A80" i="50"/>
  <c r="BT33" i="29" l="1"/>
  <c r="BS33" i="29"/>
  <c r="BU33" i="29"/>
  <c r="DG36" i="29"/>
  <c r="DH35" i="29"/>
  <c r="BI35" i="29" s="1"/>
  <c r="BJ34" i="29"/>
  <c r="O54" i="30"/>
  <c r="BK34" i="29"/>
  <c r="P54" i="30" s="1"/>
  <c r="BL34" i="29"/>
  <c r="Q54" i="30" s="1"/>
  <c r="DL35" i="29"/>
  <c r="DM34" i="29"/>
  <c r="BR34" i="29" s="1"/>
  <c r="AJ57" i="29"/>
  <c r="CC82" i="29"/>
  <c r="CD82" i="29"/>
  <c r="DQ84" i="29"/>
  <c r="CA83" i="29"/>
  <c r="CK60" i="29"/>
  <c r="CL59" i="29"/>
  <c r="CN58" i="29"/>
  <c r="CM58" i="29"/>
  <c r="M52" i="48"/>
  <c r="R51" i="48"/>
  <c r="O52" i="48"/>
  <c r="AK57" i="29"/>
  <c r="E57" i="48"/>
  <c r="S56" i="48"/>
  <c r="T56" i="48" s="1"/>
  <c r="Q56" i="48"/>
  <c r="AA57" i="48"/>
  <c r="AB57" i="48" s="1"/>
  <c r="C57" i="48"/>
  <c r="AT57" i="29"/>
  <c r="CJ56" i="29"/>
  <c r="DK56" i="29"/>
  <c r="DP56" i="29"/>
  <c r="A81" i="50"/>
  <c r="O80" i="50"/>
  <c r="BO56" i="29"/>
  <c r="DF56" i="29"/>
  <c r="N63" i="30"/>
  <c r="Y44" i="29"/>
  <c r="AB44" i="29" s="1"/>
  <c r="AG43" i="29"/>
  <c r="M52" i="50"/>
  <c r="T36" i="46"/>
  <c r="U36" i="46"/>
  <c r="V36" i="46"/>
  <c r="D36" i="46" s="1"/>
  <c r="AS58" i="29"/>
  <c r="E58" i="29" s="1"/>
  <c r="C77" i="30"/>
  <c r="B66" i="50"/>
  <c r="R66" i="50" s="1"/>
  <c r="BF57" i="29"/>
  <c r="H56" i="48"/>
  <c r="K56" i="48" s="1"/>
  <c r="P56" i="48" s="1"/>
  <c r="I56" i="48"/>
  <c r="J56" i="48"/>
  <c r="G35" i="46"/>
  <c r="H35" i="46" s="1"/>
  <c r="J35" i="46" s="1"/>
  <c r="N35" i="46" s="1"/>
  <c r="CD83" i="29" l="1"/>
  <c r="CC83" i="29"/>
  <c r="DH36" i="29"/>
  <c r="BI36" i="29" s="1"/>
  <c r="DG37" i="29"/>
  <c r="CA84" i="29"/>
  <c r="DQ85" i="29"/>
  <c r="BU34" i="29"/>
  <c r="BT34" i="29"/>
  <c r="BS34" i="29"/>
  <c r="DM35" i="29"/>
  <c r="BR35" i="29" s="1"/>
  <c r="DL36" i="29"/>
  <c r="O55" i="30"/>
  <c r="BJ35" i="29"/>
  <c r="BK35" i="29"/>
  <c r="P55" i="30" s="1"/>
  <c r="BL35" i="29"/>
  <c r="Q55" i="30" s="1"/>
  <c r="CM59" i="29"/>
  <c r="CN59" i="29"/>
  <c r="CK61" i="29"/>
  <c r="CL60" i="29"/>
  <c r="AG44" i="29"/>
  <c r="Y45" i="29"/>
  <c r="AB45" i="29" s="1"/>
  <c r="N64" i="30"/>
  <c r="M53" i="50"/>
  <c r="V37" i="46"/>
  <c r="D37" i="46" s="1"/>
  <c r="T37" i="46"/>
  <c r="O53" i="48"/>
  <c r="R52" i="48"/>
  <c r="M53" i="48"/>
  <c r="L64" i="30"/>
  <c r="K53" i="50"/>
  <c r="C58" i="48"/>
  <c r="S57" i="48"/>
  <c r="T57" i="48" s="1"/>
  <c r="AA58" i="48"/>
  <c r="AB58" i="48" s="1"/>
  <c r="E58" i="48"/>
  <c r="Q57" i="48"/>
  <c r="AS59" i="29"/>
  <c r="E59" i="29" s="1"/>
  <c r="B67" i="50"/>
  <c r="R67" i="50" s="1"/>
  <c r="BF58" i="29"/>
  <c r="C78" i="30"/>
  <c r="BO57" i="29"/>
  <c r="DF57" i="29"/>
  <c r="J57" i="48"/>
  <c r="H57" i="48"/>
  <c r="K57" i="48" s="1"/>
  <c r="P57" i="48" s="1"/>
  <c r="I57" i="48"/>
  <c r="O81" i="50"/>
  <c r="A82" i="50"/>
  <c r="CJ57" i="29"/>
  <c r="AT58" i="29"/>
  <c r="DK57" i="29"/>
  <c r="DP57" i="29"/>
  <c r="AK58" i="29"/>
  <c r="U56" i="48"/>
  <c r="U57" i="48" s="1"/>
  <c r="G36" i="46"/>
  <c r="H36" i="46" s="1"/>
  <c r="J36" i="46" s="1"/>
  <c r="N36" i="46" s="1"/>
  <c r="AJ58" i="29"/>
  <c r="AJ59" i="29" l="1"/>
  <c r="DQ86" i="29"/>
  <c r="CA85" i="29"/>
  <c r="DH37" i="29"/>
  <c r="BI37" i="29" s="1"/>
  <c r="DG38" i="29"/>
  <c r="DM36" i="29"/>
  <c r="BR36" i="29" s="1"/>
  <c r="DL37" i="29"/>
  <c r="BL36" i="29"/>
  <c r="Q56" i="30" s="1"/>
  <c r="BJ36" i="29"/>
  <c r="BK36" i="29"/>
  <c r="P56" i="30" s="1"/>
  <c r="O56" i="30"/>
  <c r="BT35" i="29"/>
  <c r="BS35" i="29"/>
  <c r="BU35" i="29"/>
  <c r="CD84" i="29"/>
  <c r="CC84" i="29"/>
  <c r="AK59" i="29"/>
  <c r="CK62" i="29"/>
  <c r="CL61" i="29"/>
  <c r="CM60" i="29"/>
  <c r="CN60" i="29"/>
  <c r="Y46" i="29"/>
  <c r="AB46" i="29" s="1"/>
  <c r="N65" i="30"/>
  <c r="AG45" i="29"/>
  <c r="M54" i="50"/>
  <c r="CJ58" i="29"/>
  <c r="AT59" i="29"/>
  <c r="DK58" i="29"/>
  <c r="DP58" i="29"/>
  <c r="U58" i="48"/>
  <c r="E59" i="48"/>
  <c r="C59" i="48"/>
  <c r="AA59" i="48"/>
  <c r="AB59" i="48" s="1"/>
  <c r="S58" i="48"/>
  <c r="T58" i="48" s="1"/>
  <c r="Q58" i="48"/>
  <c r="BO58" i="29"/>
  <c r="DF58" i="29"/>
  <c r="L65" i="30"/>
  <c r="K54" i="50"/>
  <c r="H58" i="48"/>
  <c r="I58" i="48"/>
  <c r="K58" i="48"/>
  <c r="P58" i="48" s="1"/>
  <c r="J58" i="48"/>
  <c r="O82" i="50"/>
  <c r="A83" i="50"/>
  <c r="U37" i="46"/>
  <c r="G37" i="46" s="1"/>
  <c r="H37" i="46" s="1"/>
  <c r="J37" i="46" s="1"/>
  <c r="N37" i="46" s="1"/>
  <c r="M54" i="48"/>
  <c r="O54" i="48"/>
  <c r="R53" i="48"/>
  <c r="AS60" i="29"/>
  <c r="E60" i="29" s="1"/>
  <c r="C79" i="30"/>
  <c r="BF59" i="29"/>
  <c r="B68" i="50"/>
  <c r="R68" i="50" s="1"/>
  <c r="BL37" i="29" l="1"/>
  <c r="Q57" i="30" s="1"/>
  <c r="BJ37" i="29"/>
  <c r="BK37" i="29"/>
  <c r="P57" i="30" s="1"/>
  <c r="O57" i="30"/>
  <c r="DM37" i="29"/>
  <c r="BR37" i="29" s="1"/>
  <c r="DL38" i="29"/>
  <c r="CD85" i="29"/>
  <c r="CC85" i="29"/>
  <c r="DG39" i="29"/>
  <c r="DH38" i="29"/>
  <c r="BI38" i="29" s="1"/>
  <c r="AK60" i="29"/>
  <c r="BU36" i="29"/>
  <c r="BT36" i="29"/>
  <c r="BS36" i="29"/>
  <c r="DQ87" i="29"/>
  <c r="CA86" i="29"/>
  <c r="CN61" i="29"/>
  <c r="CM61" i="29"/>
  <c r="CL62" i="29"/>
  <c r="CK63" i="29"/>
  <c r="M55" i="48"/>
  <c r="O55" i="48"/>
  <c r="R54" i="48"/>
  <c r="BO59" i="29"/>
  <c r="DF59" i="29"/>
  <c r="O83" i="50"/>
  <c r="A84" i="50"/>
  <c r="AA60" i="48"/>
  <c r="AB60" i="48" s="1"/>
  <c r="S59" i="48"/>
  <c r="T59" i="48" s="1"/>
  <c r="C60" i="48"/>
  <c r="E60" i="48"/>
  <c r="Q59" i="48"/>
  <c r="U59" i="48"/>
  <c r="Y47" i="29"/>
  <c r="AB47" i="29" s="1"/>
  <c r="AG46" i="29"/>
  <c r="N66" i="30"/>
  <c r="M55" i="50"/>
  <c r="CJ59" i="29"/>
  <c r="AT60" i="29"/>
  <c r="DK59" i="29"/>
  <c r="DP59" i="29"/>
  <c r="H59" i="48"/>
  <c r="K59" i="48" s="1"/>
  <c r="P59" i="48" s="1"/>
  <c r="J59" i="48"/>
  <c r="I59" i="48"/>
  <c r="L66" i="30"/>
  <c r="K55" i="50"/>
  <c r="T38" i="46"/>
  <c r="U38" i="46" s="1"/>
  <c r="V38" i="46"/>
  <c r="D38" i="46" s="1"/>
  <c r="AS61" i="29"/>
  <c r="E61" i="29" s="1"/>
  <c r="C80" i="30"/>
  <c r="B69" i="50"/>
  <c r="R69" i="50" s="1"/>
  <c r="BF60" i="29"/>
  <c r="AJ60" i="29"/>
  <c r="AK61" i="29" l="1"/>
  <c r="DQ88" i="29"/>
  <c r="CA87" i="29"/>
  <c r="CD86" i="29"/>
  <c r="CC86" i="29"/>
  <c r="BK38" i="29"/>
  <c r="P58" i="30" s="1"/>
  <c r="BL38" i="29"/>
  <c r="Q58" i="30" s="1"/>
  <c r="BJ38" i="29"/>
  <c r="O58" i="30"/>
  <c r="DL39" i="29"/>
  <c r="DM38" i="29"/>
  <c r="BR38" i="29" s="1"/>
  <c r="DH39" i="29"/>
  <c r="BI39" i="29" s="1"/>
  <c r="DG40" i="29"/>
  <c r="BS37" i="29"/>
  <c r="BT37" i="29"/>
  <c r="BU37" i="29"/>
  <c r="CM62" i="29"/>
  <c r="CN62" i="29"/>
  <c r="CK64" i="29"/>
  <c r="CL63" i="29"/>
  <c r="V39" i="46"/>
  <c r="D39" i="46" s="1"/>
  <c r="T39" i="46" s="1"/>
  <c r="R55" i="48"/>
  <c r="M56" i="48"/>
  <c r="O56" i="48" s="1"/>
  <c r="BO60" i="29"/>
  <c r="DF60" i="29"/>
  <c r="CJ60" i="29"/>
  <c r="AT61" i="29"/>
  <c r="DK60" i="29"/>
  <c r="DP60" i="29"/>
  <c r="J60" i="48"/>
  <c r="H60" i="48"/>
  <c r="I60" i="48"/>
  <c r="K60" i="48"/>
  <c r="P60" i="48" s="1"/>
  <c r="A85" i="50"/>
  <c r="O84" i="50"/>
  <c r="G38" i="46"/>
  <c r="H38" i="46" s="1"/>
  <c r="J38" i="46" s="1"/>
  <c r="N38" i="46" s="1"/>
  <c r="AG47" i="29"/>
  <c r="Y48" i="29"/>
  <c r="M56" i="50"/>
  <c r="N67" i="30"/>
  <c r="AS62" i="29"/>
  <c r="E62" i="29" s="1"/>
  <c r="BF61" i="29"/>
  <c r="B70" i="50"/>
  <c r="R70" i="50" s="1"/>
  <c r="C81" i="30"/>
  <c r="AJ61" i="29"/>
  <c r="L67" i="30"/>
  <c r="K56" i="50"/>
  <c r="AA61" i="48"/>
  <c r="AB61" i="48" s="1"/>
  <c r="E61" i="48"/>
  <c r="Q60" i="48"/>
  <c r="S60" i="48"/>
  <c r="T60" i="48" s="1"/>
  <c r="C61" i="48"/>
  <c r="DG41" i="29" l="1"/>
  <c r="DH40" i="29"/>
  <c r="BI40" i="29" s="1"/>
  <c r="BK39" i="29"/>
  <c r="P59" i="30" s="1"/>
  <c r="BJ39" i="29"/>
  <c r="O59" i="30"/>
  <c r="BL39" i="29"/>
  <c r="Q59" i="30" s="1"/>
  <c r="CC87" i="29"/>
  <c r="CD87" i="29"/>
  <c r="BT38" i="29"/>
  <c r="BU38" i="29"/>
  <c r="BS38" i="29"/>
  <c r="DM39" i="29"/>
  <c r="BR39" i="29" s="1"/>
  <c r="DL40" i="29"/>
  <c r="DQ89" i="29"/>
  <c r="CA88" i="29"/>
  <c r="CN63" i="29"/>
  <c r="CM63" i="29"/>
  <c r="CK65" i="29"/>
  <c r="CL64" i="29"/>
  <c r="R56" i="48"/>
  <c r="M57" i="48"/>
  <c r="O57" i="48"/>
  <c r="U39" i="46"/>
  <c r="Q61" i="48"/>
  <c r="C62" i="48"/>
  <c r="AA62" i="48"/>
  <c r="AB62" i="48" s="1"/>
  <c r="S61" i="48"/>
  <c r="T61" i="48" s="1"/>
  <c r="E62" i="48"/>
  <c r="AJ62" i="29"/>
  <c r="L68" i="30"/>
  <c r="K57" i="50"/>
  <c r="AB48" i="29"/>
  <c r="AT62" i="29"/>
  <c r="CJ61" i="29"/>
  <c r="DK61" i="29"/>
  <c r="DP61" i="29"/>
  <c r="U60" i="48"/>
  <c r="U61" i="48" s="1"/>
  <c r="BO61" i="29"/>
  <c r="DF61" i="29"/>
  <c r="AS63" i="29"/>
  <c r="E63" i="29" s="1"/>
  <c r="C82" i="30"/>
  <c r="B71" i="50"/>
  <c r="R71" i="50" s="1"/>
  <c r="BF62" i="29"/>
  <c r="K61" i="48"/>
  <c r="P61" i="48" s="1"/>
  <c r="I61" i="48"/>
  <c r="J61" i="48"/>
  <c r="H61" i="48"/>
  <c r="O85" i="50"/>
  <c r="A86" i="50"/>
  <c r="AK62" i="29"/>
  <c r="BJ40" i="29" l="1"/>
  <c r="BL40" i="29"/>
  <c r="Q60" i="30" s="1"/>
  <c r="BK40" i="29"/>
  <c r="P60" i="30" s="1"/>
  <c r="O60" i="30"/>
  <c r="BU39" i="29"/>
  <c r="BS39" i="29"/>
  <c r="BT39" i="29"/>
  <c r="CC88" i="29"/>
  <c r="CD88" i="29"/>
  <c r="CA89" i="29"/>
  <c r="DQ90" i="29"/>
  <c r="DL41" i="29"/>
  <c r="DM40" i="29"/>
  <c r="BR40" i="29" s="1"/>
  <c r="DG42" i="29"/>
  <c r="DH41" i="29"/>
  <c r="BI41" i="29" s="1"/>
  <c r="CL65" i="29"/>
  <c r="CK66" i="29"/>
  <c r="CN64" i="29"/>
  <c r="CM64" i="29"/>
  <c r="AS64" i="29"/>
  <c r="E64" i="29" s="1"/>
  <c r="B72" i="50"/>
  <c r="R72" i="50" s="1"/>
  <c r="BF63" i="29"/>
  <c r="C83" i="30"/>
  <c r="AK63" i="29"/>
  <c r="M57" i="50"/>
  <c r="N68" i="30"/>
  <c r="Y49" i="29"/>
  <c r="AB49" i="29" s="1"/>
  <c r="AG48" i="29"/>
  <c r="M58" i="48"/>
  <c r="O58" i="48"/>
  <c r="R57" i="48"/>
  <c r="A87" i="50"/>
  <c r="O86" i="50"/>
  <c r="V40" i="46"/>
  <c r="D40" i="46" s="1"/>
  <c r="T40" i="46" s="1"/>
  <c r="I62" i="48"/>
  <c r="H62" i="48"/>
  <c r="K62" i="48" s="1"/>
  <c r="P62" i="48" s="1"/>
  <c r="J62" i="48"/>
  <c r="BO62" i="29"/>
  <c r="DF62" i="29"/>
  <c r="CJ62" i="29"/>
  <c r="AT63" i="29"/>
  <c r="DK62" i="29"/>
  <c r="DP62" i="29"/>
  <c r="AJ63" i="29"/>
  <c r="Q62" i="48"/>
  <c r="AA63" i="48"/>
  <c r="AB63" i="48" s="1"/>
  <c r="C63" i="48"/>
  <c r="S62" i="48"/>
  <c r="T62" i="48" s="1"/>
  <c r="E63" i="48"/>
  <c r="G39" i="46"/>
  <c r="H39" i="46" s="1"/>
  <c r="J39" i="46" s="1"/>
  <c r="N39" i="46" s="1"/>
  <c r="AJ64" i="29" l="1"/>
  <c r="AK64" i="29"/>
  <c r="DQ91" i="29"/>
  <c r="CA90" i="29"/>
  <c r="DG43" i="29"/>
  <c r="DH42" i="29"/>
  <c r="BI42" i="29" s="1"/>
  <c r="DL42" i="29"/>
  <c r="DM41" i="29"/>
  <c r="BR41" i="29" s="1"/>
  <c r="O61" i="30"/>
  <c r="BJ41" i="29"/>
  <c r="BK41" i="29"/>
  <c r="P61" i="30" s="1"/>
  <c r="BL41" i="29"/>
  <c r="Q61" i="30" s="1"/>
  <c r="CC89" i="29"/>
  <c r="CD89" i="29"/>
  <c r="BT40" i="29"/>
  <c r="BU40" i="29"/>
  <c r="BS40" i="29"/>
  <c r="CK67" i="29"/>
  <c r="CL66" i="29"/>
  <c r="CN65" i="29"/>
  <c r="CM65" i="29"/>
  <c r="U40" i="46"/>
  <c r="AB64" i="48"/>
  <c r="BO63" i="29"/>
  <c r="DF63" i="29"/>
  <c r="J63" i="48"/>
  <c r="H63" i="48"/>
  <c r="I63" i="48"/>
  <c r="K63" i="48"/>
  <c r="P63" i="48" s="1"/>
  <c r="U62" i="48"/>
  <c r="U63" i="48" s="1"/>
  <c r="M59" i="48"/>
  <c r="O59" i="48"/>
  <c r="R58" i="48"/>
  <c r="AG49" i="29"/>
  <c r="Y50" i="29"/>
  <c r="AB50" i="29" s="1"/>
  <c r="N69" i="30"/>
  <c r="M58" i="50"/>
  <c r="AS65" i="29"/>
  <c r="E65" i="29" s="1"/>
  <c r="AJ65" i="29" s="1"/>
  <c r="C84" i="30"/>
  <c r="BF64" i="29"/>
  <c r="B73" i="50"/>
  <c r="R73" i="50" s="1"/>
  <c r="CJ63" i="29"/>
  <c r="AT64" i="29"/>
  <c r="DK63" i="29"/>
  <c r="DP63" i="29"/>
  <c r="AA64" i="48"/>
  <c r="E64" i="48"/>
  <c r="S63" i="48"/>
  <c r="T63" i="48" s="1"/>
  <c r="C64" i="48"/>
  <c r="Q63" i="48"/>
  <c r="A88" i="50"/>
  <c r="O87" i="50"/>
  <c r="K58" i="50"/>
  <c r="L69" i="30"/>
  <c r="O62" i="30" l="1"/>
  <c r="BL42" i="29"/>
  <c r="Q62" i="30" s="1"/>
  <c r="BK42" i="29"/>
  <c r="P62" i="30" s="1"/>
  <c r="BJ42" i="29"/>
  <c r="BT41" i="29"/>
  <c r="BU41" i="29"/>
  <c r="BS41" i="29"/>
  <c r="CC90" i="29"/>
  <c r="CD90" i="29"/>
  <c r="DH43" i="29"/>
  <c r="BI43" i="29" s="1"/>
  <c r="DG44" i="29"/>
  <c r="DL43" i="29"/>
  <c r="DM42" i="29"/>
  <c r="BR42" i="29" s="1"/>
  <c r="CA91" i="29"/>
  <c r="DQ92" i="29"/>
  <c r="CM66" i="29"/>
  <c r="CN66" i="29"/>
  <c r="CL67" i="29"/>
  <c r="CK68" i="29"/>
  <c r="U64" i="48"/>
  <c r="AS66" i="29"/>
  <c r="E66" i="29" s="1"/>
  <c r="B74" i="50"/>
  <c r="R74" i="50" s="1"/>
  <c r="BF65" i="29"/>
  <c r="C85" i="30"/>
  <c r="R59" i="48"/>
  <c r="M60" i="48"/>
  <c r="O60" i="48" s="1"/>
  <c r="V41" i="46"/>
  <c r="D41" i="46" s="1"/>
  <c r="T41" i="46"/>
  <c r="S64" i="48"/>
  <c r="T64" i="48" s="1"/>
  <c r="E65" i="48"/>
  <c r="Q64" i="48"/>
  <c r="AA65" i="48"/>
  <c r="AB65" i="48" s="1"/>
  <c r="C65" i="48"/>
  <c r="BO64" i="29"/>
  <c r="DF64" i="29"/>
  <c r="AG50" i="29"/>
  <c r="M59" i="50"/>
  <c r="Y51" i="29"/>
  <c r="AB51" i="29" s="1"/>
  <c r="N70" i="30"/>
  <c r="O88" i="50"/>
  <c r="A89" i="50"/>
  <c r="I64" i="48"/>
  <c r="H64" i="48"/>
  <c r="K64" i="48"/>
  <c r="P64" i="48" s="1"/>
  <c r="J64" i="48"/>
  <c r="CJ64" i="29"/>
  <c r="AT65" i="29"/>
  <c r="DK64" i="29"/>
  <c r="DP64" i="29"/>
  <c r="AK65" i="29"/>
  <c r="L70" i="30"/>
  <c r="K59" i="50"/>
  <c r="G40" i="46"/>
  <c r="H40" i="46" s="1"/>
  <c r="J40" i="46" s="1"/>
  <c r="N40" i="46" s="1"/>
  <c r="DG45" i="29" l="1"/>
  <c r="DH44" i="29"/>
  <c r="BI44" i="29" s="1"/>
  <c r="O63" i="30"/>
  <c r="BL43" i="29"/>
  <c r="Q63" i="30" s="1"/>
  <c r="BK43" i="29"/>
  <c r="P63" i="30" s="1"/>
  <c r="BJ43" i="29"/>
  <c r="DL44" i="29"/>
  <c r="DM43" i="29"/>
  <c r="BR43" i="29" s="1"/>
  <c r="CA92" i="29"/>
  <c r="DQ93" i="29"/>
  <c r="CD91" i="29"/>
  <c r="CC91" i="29"/>
  <c r="BU42" i="29"/>
  <c r="BT42" i="29"/>
  <c r="BS42" i="29"/>
  <c r="AK66" i="29"/>
  <c r="CL68" i="29"/>
  <c r="CK69" i="29"/>
  <c r="CN67" i="29"/>
  <c r="CM67" i="29"/>
  <c r="R60" i="48"/>
  <c r="M61" i="48"/>
  <c r="O61" i="48"/>
  <c r="A90" i="50"/>
  <c r="O89" i="50"/>
  <c r="AS67" i="29"/>
  <c r="E67" i="29" s="1"/>
  <c r="C86" i="30"/>
  <c r="BF66" i="29"/>
  <c r="B75" i="50"/>
  <c r="R75" i="50" s="1"/>
  <c r="N71" i="30"/>
  <c r="Y52" i="29"/>
  <c r="M60" i="50"/>
  <c r="AG51" i="29"/>
  <c r="U41" i="46"/>
  <c r="K60" i="50"/>
  <c r="L71" i="30"/>
  <c r="I65" i="48"/>
  <c r="H65" i="48"/>
  <c r="K65" i="48" s="1"/>
  <c r="P65" i="48" s="1"/>
  <c r="J65" i="48"/>
  <c r="CJ65" i="29"/>
  <c r="AT66" i="29"/>
  <c r="DK65" i="29"/>
  <c r="DP65" i="29"/>
  <c r="S65" i="48"/>
  <c r="T65" i="48" s="1"/>
  <c r="C66" i="48"/>
  <c r="Q65" i="48"/>
  <c r="AA66" i="48"/>
  <c r="AB66" i="48" s="1"/>
  <c r="E66" i="48"/>
  <c r="BO65" i="29"/>
  <c r="DF65" i="29"/>
  <c r="AJ66" i="29"/>
  <c r="AJ67" i="29" l="1"/>
  <c r="BU43" i="29"/>
  <c r="BS43" i="29"/>
  <c r="BT43" i="29"/>
  <c r="DQ94" i="29"/>
  <c r="CA93" i="29"/>
  <c r="BJ44" i="29"/>
  <c r="O64" i="30"/>
  <c r="BK44" i="29"/>
  <c r="P64" i="30" s="1"/>
  <c r="BL44" i="29"/>
  <c r="Q64" i="30" s="1"/>
  <c r="DL45" i="29"/>
  <c r="DM44" i="29"/>
  <c r="BR44" i="29" s="1"/>
  <c r="AK67" i="29"/>
  <c r="CC92" i="29"/>
  <c r="CD92" i="29"/>
  <c r="DH45" i="29"/>
  <c r="BI45" i="29" s="1"/>
  <c r="DG46" i="29"/>
  <c r="CK70" i="29"/>
  <c r="CL69" i="29"/>
  <c r="CN68" i="29"/>
  <c r="CM68" i="29"/>
  <c r="J66" i="48"/>
  <c r="I66" i="48"/>
  <c r="H66" i="48"/>
  <c r="K66" i="48" s="1"/>
  <c r="P66" i="48" s="1"/>
  <c r="K61" i="50"/>
  <c r="L72" i="30"/>
  <c r="AT67" i="29"/>
  <c r="CJ66" i="29"/>
  <c r="DK66" i="29"/>
  <c r="DP66" i="29"/>
  <c r="M62" i="48"/>
  <c r="O62" i="48"/>
  <c r="R61" i="48"/>
  <c r="AS68" i="29"/>
  <c r="E68" i="29" s="1"/>
  <c r="AJ68" i="29" s="1"/>
  <c r="BF67" i="29"/>
  <c r="B76" i="50"/>
  <c r="R76" i="50" s="1"/>
  <c r="AA67" i="48"/>
  <c r="AB67" i="48" s="1"/>
  <c r="C67" i="48"/>
  <c r="S66" i="48"/>
  <c r="T66" i="48" s="1"/>
  <c r="E67" i="48"/>
  <c r="Q66" i="48"/>
  <c r="BO66" i="29"/>
  <c r="DF66" i="29"/>
  <c r="O90" i="50"/>
  <c r="A91" i="50"/>
  <c r="T42" i="46"/>
  <c r="V42" i="46"/>
  <c r="D42" i="46" s="1"/>
  <c r="AB52" i="29"/>
  <c r="U65" i="48"/>
  <c r="G41" i="46"/>
  <c r="H41" i="46" s="1"/>
  <c r="J41" i="46" s="1"/>
  <c r="N41" i="46" s="1"/>
  <c r="DG47" i="29" l="1"/>
  <c r="DH46" i="29"/>
  <c r="BI46" i="29" s="1"/>
  <c r="DM45" i="29"/>
  <c r="BR45" i="29" s="1"/>
  <c r="DL46" i="29"/>
  <c r="CA94" i="29"/>
  <c r="DQ95" i="29"/>
  <c r="BL45" i="29"/>
  <c r="Q65" i="30" s="1"/>
  <c r="BK45" i="29"/>
  <c r="P65" i="30" s="1"/>
  <c r="O65" i="30"/>
  <c r="BJ45" i="29"/>
  <c r="BT44" i="29"/>
  <c r="BU44" i="29"/>
  <c r="BS44" i="29"/>
  <c r="CD93" i="29"/>
  <c r="CC93" i="29"/>
  <c r="CN69" i="29"/>
  <c r="CM69" i="29"/>
  <c r="CL70" i="29"/>
  <c r="CK71" i="29"/>
  <c r="AT68" i="29"/>
  <c r="CJ67" i="29"/>
  <c r="DK67" i="29"/>
  <c r="DP67" i="29"/>
  <c r="BO67" i="29"/>
  <c r="DF67" i="29"/>
  <c r="M63" i="48"/>
  <c r="O63" i="48"/>
  <c r="R62" i="48"/>
  <c r="U42" i="46"/>
  <c r="AS69" i="29"/>
  <c r="E69" i="29" s="1"/>
  <c r="BF68" i="29"/>
  <c r="B77" i="50"/>
  <c r="R77" i="50" s="1"/>
  <c r="J67" i="48"/>
  <c r="I67" i="48"/>
  <c r="H67" i="48"/>
  <c r="K67" i="48"/>
  <c r="P67" i="48" s="1"/>
  <c r="O91" i="50"/>
  <c r="A92" i="50"/>
  <c r="U66" i="48"/>
  <c r="S67" i="48"/>
  <c r="T67" i="48" s="1"/>
  <c r="C68" i="48"/>
  <c r="E68" i="48"/>
  <c r="AA68" i="48"/>
  <c r="AB68" i="48" s="1"/>
  <c r="Q67" i="48"/>
  <c r="M61" i="50"/>
  <c r="Y53" i="29"/>
  <c r="AB53" i="29" s="1"/>
  <c r="N72" i="30"/>
  <c r="AG52" i="29"/>
  <c r="AK68" i="29"/>
  <c r="DM46" i="29" l="1"/>
  <c r="BR46" i="29" s="1"/>
  <c r="DL47" i="29"/>
  <c r="BS45" i="29"/>
  <c r="BT45" i="29"/>
  <c r="BU45" i="29"/>
  <c r="CA95" i="29"/>
  <c r="DQ96" i="29"/>
  <c r="O66" i="30"/>
  <c r="BK46" i="29"/>
  <c r="P66" i="30" s="1"/>
  <c r="BL46" i="29"/>
  <c r="Q66" i="30" s="1"/>
  <c r="BJ46" i="29"/>
  <c r="CD94" i="29"/>
  <c r="CC94" i="29"/>
  <c r="DG48" i="29"/>
  <c r="DH47" i="29"/>
  <c r="BI47" i="29" s="1"/>
  <c r="AK69" i="29"/>
  <c r="CM70" i="29"/>
  <c r="CN70" i="29"/>
  <c r="CK72" i="29"/>
  <c r="CL71" i="29"/>
  <c r="E69" i="48"/>
  <c r="C69" i="48"/>
  <c r="AA69" i="48"/>
  <c r="AB69" i="48" s="1"/>
  <c r="S68" i="48"/>
  <c r="T68" i="48" s="1"/>
  <c r="Q68" i="48"/>
  <c r="R63" i="48"/>
  <c r="M64" i="48"/>
  <c r="O64" i="48"/>
  <c r="V43" i="46"/>
  <c r="D43" i="46" s="1"/>
  <c r="T43" i="46"/>
  <c r="AG53" i="29"/>
  <c r="Y54" i="29"/>
  <c r="M62" i="50"/>
  <c r="N73" i="30"/>
  <c r="U67" i="48"/>
  <c r="U68" i="48" s="1"/>
  <c r="BO68" i="29"/>
  <c r="DF68" i="29"/>
  <c r="L73" i="30"/>
  <c r="K62" i="50"/>
  <c r="J68" i="48"/>
  <c r="I68" i="48"/>
  <c r="H68" i="48"/>
  <c r="K68" i="48"/>
  <c r="P68" i="48" s="1"/>
  <c r="O92" i="50"/>
  <c r="A93" i="50"/>
  <c r="AS70" i="29"/>
  <c r="E70" i="29" s="1"/>
  <c r="B78" i="50"/>
  <c r="R78" i="50" s="1"/>
  <c r="BF69" i="29"/>
  <c r="G42" i="46"/>
  <c r="H42" i="46" s="1"/>
  <c r="J42" i="46" s="1"/>
  <c r="N42" i="46" s="1"/>
  <c r="AT69" i="29"/>
  <c r="CJ68" i="29"/>
  <c r="DK68" i="29"/>
  <c r="DP68" i="29"/>
  <c r="AJ69" i="29"/>
  <c r="DM47" i="29" l="1"/>
  <c r="BR47" i="29" s="1"/>
  <c r="DL48" i="29"/>
  <c r="BK47" i="29"/>
  <c r="P67" i="30" s="1"/>
  <c r="O67" i="30"/>
  <c r="BJ47" i="29"/>
  <c r="BL47" i="29"/>
  <c r="Q67" i="30" s="1"/>
  <c r="DQ97" i="29"/>
  <c r="CA96" i="29"/>
  <c r="DG49" i="29"/>
  <c r="DH48" i="29"/>
  <c r="BI48" i="29" s="1"/>
  <c r="CD95" i="29"/>
  <c r="CC95" i="29"/>
  <c r="BU46" i="29"/>
  <c r="BS46" i="29"/>
  <c r="BT46" i="29"/>
  <c r="CM71" i="29"/>
  <c r="CN71" i="29"/>
  <c r="CK73" i="29"/>
  <c r="CL72" i="29"/>
  <c r="R64" i="48"/>
  <c r="M65" i="48"/>
  <c r="O65" i="48"/>
  <c r="S69" i="48"/>
  <c r="T69" i="48" s="1"/>
  <c r="AA70" i="48"/>
  <c r="AB70" i="48" s="1"/>
  <c r="Q69" i="48"/>
  <c r="E70" i="48"/>
  <c r="C70" i="48"/>
  <c r="AS71" i="29"/>
  <c r="E71" i="29" s="1"/>
  <c r="B79" i="50"/>
  <c r="R79" i="50" s="1"/>
  <c r="BF70" i="29"/>
  <c r="U69" i="48"/>
  <c r="O93" i="50"/>
  <c r="A94" i="50"/>
  <c r="U43" i="46"/>
  <c r="G43" i="46" s="1"/>
  <c r="H43" i="46" s="1"/>
  <c r="J43" i="46" s="1"/>
  <c r="N43" i="46" s="1"/>
  <c r="K69" i="48"/>
  <c r="P69" i="48" s="1"/>
  <c r="J69" i="48"/>
  <c r="I69" i="48"/>
  <c r="H69" i="48"/>
  <c r="L74" i="30"/>
  <c r="K63" i="50"/>
  <c r="AK70" i="29"/>
  <c r="AJ70" i="29"/>
  <c r="AT70" i="29"/>
  <c r="CJ69" i="29"/>
  <c r="DK69" i="29"/>
  <c r="DP69" i="29"/>
  <c r="BO69" i="29"/>
  <c r="DF69" i="29"/>
  <c r="AB54" i="29"/>
  <c r="O68" i="30" l="1"/>
  <c r="BJ48" i="29"/>
  <c r="BL48" i="29"/>
  <c r="Q68" i="30" s="1"/>
  <c r="BK48" i="29"/>
  <c r="P68" i="30" s="1"/>
  <c r="DM48" i="29"/>
  <c r="BR48" i="29" s="1"/>
  <c r="DL49" i="29"/>
  <c r="CC96" i="29"/>
  <c r="CD96" i="29"/>
  <c r="DQ98" i="29"/>
  <c r="CA97" i="29"/>
  <c r="DH49" i="29"/>
  <c r="BI49" i="29" s="1"/>
  <c r="DG50" i="29"/>
  <c r="BT47" i="29"/>
  <c r="BS47" i="29"/>
  <c r="BU47" i="29"/>
  <c r="AJ71" i="29"/>
  <c r="AK71" i="29"/>
  <c r="CN72" i="29"/>
  <c r="CM72" i="29"/>
  <c r="CK74" i="29"/>
  <c r="CL73" i="29"/>
  <c r="BO70" i="29"/>
  <c r="DF70" i="29"/>
  <c r="AG54" i="29"/>
  <c r="N74" i="30"/>
  <c r="M63" i="50"/>
  <c r="Y55" i="29"/>
  <c r="M66" i="48"/>
  <c r="O66" i="48"/>
  <c r="R65" i="48"/>
  <c r="H70" i="48"/>
  <c r="J70" i="48"/>
  <c r="K70" i="48"/>
  <c r="P70" i="48" s="1"/>
  <c r="I70" i="48"/>
  <c r="AS72" i="29"/>
  <c r="E72" i="29" s="1"/>
  <c r="B80" i="50"/>
  <c r="R80" i="50" s="1"/>
  <c r="BF71" i="29"/>
  <c r="V44" i="46"/>
  <c r="D44" i="46" s="1"/>
  <c r="T44" i="46" s="1"/>
  <c r="O94" i="50"/>
  <c r="A95" i="50"/>
  <c r="CJ70" i="29"/>
  <c r="AT71" i="29"/>
  <c r="DK70" i="29"/>
  <c r="DP70" i="29"/>
  <c r="AA71" i="48"/>
  <c r="AB71" i="48" s="1"/>
  <c r="C71" i="48"/>
  <c r="E71" i="48"/>
  <c r="S70" i="48"/>
  <c r="T70" i="48" s="1"/>
  <c r="Q70" i="48"/>
  <c r="AK72" i="29" l="1"/>
  <c r="AJ72" i="29"/>
  <c r="BJ49" i="29"/>
  <c r="BK49" i="29"/>
  <c r="P69" i="30" s="1"/>
  <c r="O69" i="30"/>
  <c r="BL49" i="29"/>
  <c r="Q69" i="30" s="1"/>
  <c r="CD97" i="29"/>
  <c r="CC97" i="29"/>
  <c r="DG51" i="29"/>
  <c r="DH50" i="29"/>
  <c r="BI50" i="29" s="1"/>
  <c r="DM49" i="29"/>
  <c r="BR49" i="29" s="1"/>
  <c r="DL50" i="29"/>
  <c r="CA98" i="29"/>
  <c r="DQ99" i="29"/>
  <c r="BS48" i="29"/>
  <c r="BU48" i="29"/>
  <c r="BT48" i="29"/>
  <c r="CM73" i="29"/>
  <c r="CN73" i="29"/>
  <c r="CK75" i="29"/>
  <c r="CL74" i="29"/>
  <c r="U44" i="46"/>
  <c r="L75" i="30"/>
  <c r="K64" i="50"/>
  <c r="I71" i="48"/>
  <c r="H71" i="48"/>
  <c r="K71" i="48"/>
  <c r="P71" i="48" s="1"/>
  <c r="J71" i="48"/>
  <c r="AT72" i="29"/>
  <c r="CJ71" i="29"/>
  <c r="DK71" i="29"/>
  <c r="DP71" i="29"/>
  <c r="S71" i="48"/>
  <c r="T71" i="48" s="1"/>
  <c r="C72" i="48"/>
  <c r="E72" i="48"/>
  <c r="AA72" i="48"/>
  <c r="AB72" i="48" s="1"/>
  <c r="Q71" i="48"/>
  <c r="M67" i="48"/>
  <c r="O67" i="48"/>
  <c r="R66" i="48"/>
  <c r="AB55" i="29"/>
  <c r="BO71" i="29"/>
  <c r="DF71" i="29"/>
  <c r="U70" i="48"/>
  <c r="O95" i="50"/>
  <c r="A96" i="50"/>
  <c r="AS73" i="29"/>
  <c r="E73" i="29" s="1"/>
  <c r="AK73" i="29" s="1"/>
  <c r="BF72" i="29"/>
  <c r="B81" i="50"/>
  <c r="R81" i="50" s="1"/>
  <c r="DQ100" i="29" l="1"/>
  <c r="CA99" i="29"/>
  <c r="BL50" i="29"/>
  <c r="Q70" i="30" s="1"/>
  <c r="O70" i="30"/>
  <c r="BK50" i="29"/>
  <c r="P70" i="30" s="1"/>
  <c r="BJ50" i="29"/>
  <c r="CC98" i="29"/>
  <c r="CD98" i="29"/>
  <c r="DH51" i="29"/>
  <c r="BI51" i="29" s="1"/>
  <c r="DG52" i="29"/>
  <c r="DL51" i="29"/>
  <c r="DM50" i="29"/>
  <c r="BR50" i="29" s="1"/>
  <c r="BS49" i="29"/>
  <c r="BT49" i="29"/>
  <c r="BU49" i="29"/>
  <c r="AJ73" i="29"/>
  <c r="CM74" i="29"/>
  <c r="CN74" i="29"/>
  <c r="CL75" i="29"/>
  <c r="CK76" i="29"/>
  <c r="R67" i="48"/>
  <c r="M68" i="48"/>
  <c r="O68" i="48"/>
  <c r="J72" i="48"/>
  <c r="I72" i="48"/>
  <c r="H72" i="48"/>
  <c r="K72" i="48"/>
  <c r="P72" i="48" s="1"/>
  <c r="V45" i="46"/>
  <c r="D45" i="46" s="1"/>
  <c r="T45" i="46"/>
  <c r="CJ72" i="29"/>
  <c r="AT73" i="29"/>
  <c r="DK72" i="29"/>
  <c r="DP72" i="29"/>
  <c r="BO72" i="29"/>
  <c r="DF72" i="29"/>
  <c r="M64" i="50"/>
  <c r="Y56" i="29"/>
  <c r="N75" i="30"/>
  <c r="AG55" i="29"/>
  <c r="AS74" i="29"/>
  <c r="E74" i="29" s="1"/>
  <c r="B82" i="50"/>
  <c r="R82" i="50" s="1"/>
  <c r="BF73" i="29"/>
  <c r="A97" i="50"/>
  <c r="O96" i="50"/>
  <c r="U71" i="48"/>
  <c r="S72" i="48"/>
  <c r="T72" i="48" s="1"/>
  <c r="E73" i="48"/>
  <c r="Q72" i="48"/>
  <c r="AA73" i="48"/>
  <c r="AB73" i="48" s="1"/>
  <c r="C73" i="48"/>
  <c r="G44" i="46"/>
  <c r="H44" i="46" s="1"/>
  <c r="J44" i="46" s="1"/>
  <c r="N44" i="46" s="1"/>
  <c r="DM51" i="29" l="1"/>
  <c r="BR51" i="29" s="1"/>
  <c r="DL52" i="29"/>
  <c r="DH52" i="29"/>
  <c r="BI52" i="29" s="1"/>
  <c r="DG53" i="29"/>
  <c r="CC99" i="29"/>
  <c r="CD99" i="29"/>
  <c r="BT50" i="29"/>
  <c r="BS50" i="29"/>
  <c r="BU50" i="29"/>
  <c r="BJ51" i="29"/>
  <c r="BK51" i="29"/>
  <c r="P71" i="30" s="1"/>
  <c r="O71" i="30"/>
  <c r="BL51" i="29"/>
  <c r="Q71" i="30" s="1"/>
  <c r="CA100" i="29"/>
  <c r="DQ101" i="29"/>
  <c r="CL76" i="29"/>
  <c r="CK77" i="29"/>
  <c r="CM75" i="29"/>
  <c r="CN75" i="29"/>
  <c r="AS75" i="29"/>
  <c r="E75" i="29" s="1"/>
  <c r="BF74" i="29"/>
  <c r="B83" i="50"/>
  <c r="R83" i="50" s="1"/>
  <c r="AK74" i="29"/>
  <c r="A98" i="50"/>
  <c r="O97" i="50"/>
  <c r="BO73" i="29"/>
  <c r="DF73" i="29"/>
  <c r="S73" i="48"/>
  <c r="T73" i="48" s="1"/>
  <c r="C74" i="48"/>
  <c r="E74" i="48"/>
  <c r="AA74" i="48"/>
  <c r="AB74" i="48" s="1"/>
  <c r="Q73" i="48"/>
  <c r="M69" i="48"/>
  <c r="O69" i="48"/>
  <c r="R68" i="48"/>
  <c r="L76" i="30"/>
  <c r="K65" i="50"/>
  <c r="AB56" i="29"/>
  <c r="U45" i="46"/>
  <c r="J73" i="48"/>
  <c r="I73" i="48"/>
  <c r="H73" i="48"/>
  <c r="K73" i="48"/>
  <c r="P73" i="48" s="1"/>
  <c r="U72" i="48"/>
  <c r="U73" i="48" s="1"/>
  <c r="CJ73" i="29"/>
  <c r="AT74" i="29"/>
  <c r="DK73" i="29"/>
  <c r="DP73" i="29"/>
  <c r="AJ74" i="29"/>
  <c r="AJ75" i="29" l="1"/>
  <c r="DQ102" i="29"/>
  <c r="CA101" i="29"/>
  <c r="BL52" i="29"/>
  <c r="Q72" i="30" s="1"/>
  <c r="BJ52" i="29"/>
  <c r="O72" i="30"/>
  <c r="BK52" i="29"/>
  <c r="P72" i="30" s="1"/>
  <c r="DM52" i="29"/>
  <c r="BR52" i="29" s="1"/>
  <c r="DL53" i="29"/>
  <c r="DG54" i="29"/>
  <c r="DH53" i="29"/>
  <c r="BI53" i="29" s="1"/>
  <c r="CD100" i="29"/>
  <c r="CC100" i="29"/>
  <c r="BS51" i="29"/>
  <c r="BT51" i="29"/>
  <c r="BU51" i="29"/>
  <c r="CL77" i="29"/>
  <c r="CK78" i="29"/>
  <c r="CN76" i="29"/>
  <c r="CM76" i="29"/>
  <c r="T46" i="46"/>
  <c r="U46" i="46"/>
  <c r="V46" i="46"/>
  <c r="D46" i="46" s="1"/>
  <c r="R69" i="48"/>
  <c r="M70" i="48"/>
  <c r="O70" i="48" s="1"/>
  <c r="BO74" i="29"/>
  <c r="DF74" i="29"/>
  <c r="AS76" i="29"/>
  <c r="E76" i="29" s="1"/>
  <c r="BF75" i="29"/>
  <c r="B84" i="50"/>
  <c r="R84" i="50" s="1"/>
  <c r="J74" i="48"/>
  <c r="I74" i="48"/>
  <c r="H74" i="48"/>
  <c r="K74" i="48" s="1"/>
  <c r="P74" i="48" s="1"/>
  <c r="O98" i="50"/>
  <c r="A99" i="50"/>
  <c r="CJ74" i="29"/>
  <c r="AT75" i="29"/>
  <c r="DK74" i="29"/>
  <c r="DP74" i="29"/>
  <c r="Y57" i="29"/>
  <c r="AB57" i="29" s="1"/>
  <c r="N76" i="30"/>
  <c r="M65" i="50"/>
  <c r="AG56" i="29"/>
  <c r="Q74" i="48"/>
  <c r="AA75" i="48"/>
  <c r="AB75" i="48" s="1"/>
  <c r="C75" i="48"/>
  <c r="S74" i="48"/>
  <c r="T74" i="48" s="1"/>
  <c r="E75" i="48"/>
  <c r="G45" i="46"/>
  <c r="H45" i="46" s="1"/>
  <c r="J45" i="46" s="1"/>
  <c r="N45" i="46" s="1"/>
  <c r="AK75" i="29"/>
  <c r="BJ53" i="29" l="1"/>
  <c r="O73" i="30"/>
  <c r="BL53" i="29"/>
  <c r="Q73" i="30" s="1"/>
  <c r="BK53" i="29"/>
  <c r="P73" i="30" s="1"/>
  <c r="DM53" i="29"/>
  <c r="BR53" i="29" s="1"/>
  <c r="DL54" i="29"/>
  <c r="BT52" i="29"/>
  <c r="BU52" i="29"/>
  <c r="BS52" i="29"/>
  <c r="CD101" i="29"/>
  <c r="CC101" i="29"/>
  <c r="DH54" i="29"/>
  <c r="BI54" i="29" s="1"/>
  <c r="DG55" i="29"/>
  <c r="DQ103" i="29"/>
  <c r="CA102" i="29"/>
  <c r="AK76" i="29"/>
  <c r="CL78" i="29"/>
  <c r="CK79" i="29"/>
  <c r="CM77" i="29"/>
  <c r="CN77" i="29"/>
  <c r="R70" i="48"/>
  <c r="M71" i="48"/>
  <c r="O71" i="48" s="1"/>
  <c r="G46" i="46"/>
  <c r="H46" i="46" s="1"/>
  <c r="J46" i="46" s="1"/>
  <c r="N46" i="46" s="1"/>
  <c r="Y58" i="29"/>
  <c r="AB58" i="29" s="1"/>
  <c r="N77" i="30"/>
  <c r="M66" i="50"/>
  <c r="AG57" i="29"/>
  <c r="V47" i="46"/>
  <c r="D47" i="46" s="1"/>
  <c r="T47" i="46"/>
  <c r="U47" i="46" s="1"/>
  <c r="O99" i="50"/>
  <c r="A100" i="50"/>
  <c r="K66" i="50"/>
  <c r="L77" i="30"/>
  <c r="AS77" i="29"/>
  <c r="E77" i="29" s="1"/>
  <c r="B85" i="50"/>
  <c r="R85" i="50" s="1"/>
  <c r="BF76" i="29"/>
  <c r="U74" i="48"/>
  <c r="J75" i="48"/>
  <c r="I75" i="48"/>
  <c r="H75" i="48"/>
  <c r="K75" i="48"/>
  <c r="P75" i="48" s="1"/>
  <c r="AT76" i="29"/>
  <c r="CJ75" i="29"/>
  <c r="DK75" i="29"/>
  <c r="DP75" i="29"/>
  <c r="BO75" i="29"/>
  <c r="DF75" i="29"/>
  <c r="AA76" i="48"/>
  <c r="AB76" i="48" s="1"/>
  <c r="Q75" i="48"/>
  <c r="S75" i="48"/>
  <c r="T75" i="48" s="1"/>
  <c r="C76" i="48"/>
  <c r="E76" i="48"/>
  <c r="AJ76" i="29"/>
  <c r="BL54" i="29" l="1"/>
  <c r="Q74" i="30" s="1"/>
  <c r="BK54" i="29"/>
  <c r="P74" i="30" s="1"/>
  <c r="O74" i="30"/>
  <c r="BJ54" i="29"/>
  <c r="CA103" i="29"/>
  <c r="DQ104" i="29"/>
  <c r="DL55" i="29"/>
  <c r="DM54" i="29"/>
  <c r="BR54" i="29" s="1"/>
  <c r="CD102" i="29"/>
  <c r="CC102" i="29"/>
  <c r="AK77" i="29"/>
  <c r="DG56" i="29"/>
  <c r="DH55" i="29"/>
  <c r="BI55" i="29" s="1"/>
  <c r="BU53" i="29"/>
  <c r="BS53" i="29"/>
  <c r="BT53" i="29"/>
  <c r="AJ77" i="29"/>
  <c r="CL79" i="29"/>
  <c r="CK80" i="29"/>
  <c r="CN78" i="29"/>
  <c r="CM78" i="29"/>
  <c r="O72" i="48"/>
  <c r="R71" i="48"/>
  <c r="M72" i="48"/>
  <c r="V48" i="46"/>
  <c r="D48" i="46" s="1"/>
  <c r="T48" i="46" s="1"/>
  <c r="AG58" i="29"/>
  <c r="N78" i="30"/>
  <c r="Y59" i="29"/>
  <c r="M67" i="50"/>
  <c r="G47" i="46"/>
  <c r="H47" i="46" s="1"/>
  <c r="J47" i="46" s="1"/>
  <c r="N47" i="46" s="1"/>
  <c r="AS78" i="29"/>
  <c r="E78" i="29" s="1"/>
  <c r="BF77" i="29"/>
  <c r="B86" i="50"/>
  <c r="R86" i="50" s="1"/>
  <c r="AT77" i="29"/>
  <c r="CJ76" i="29"/>
  <c r="DK76" i="29"/>
  <c r="DP76" i="29"/>
  <c r="O100" i="50"/>
  <c r="A101" i="50"/>
  <c r="H76" i="48"/>
  <c r="K76" i="48"/>
  <c r="P76" i="48" s="1"/>
  <c r="J76" i="48"/>
  <c r="I76" i="48"/>
  <c r="U75" i="48"/>
  <c r="U76" i="48" s="1"/>
  <c r="Q76" i="48"/>
  <c r="E77" i="48"/>
  <c r="C77" i="48"/>
  <c r="AA77" i="48"/>
  <c r="AB77" i="48" s="1"/>
  <c r="S76" i="48"/>
  <c r="T76" i="48" s="1"/>
  <c r="BO76" i="29"/>
  <c r="DF76" i="29"/>
  <c r="K67" i="50"/>
  <c r="L78" i="30"/>
  <c r="AJ78" i="29" l="1"/>
  <c r="DG57" i="29"/>
  <c r="DH56" i="29"/>
  <c r="BI56" i="29" s="1"/>
  <c r="DL56" i="29"/>
  <c r="DM55" i="29"/>
  <c r="BR55" i="29" s="1"/>
  <c r="CA104" i="29"/>
  <c r="DQ105" i="29"/>
  <c r="BS54" i="29"/>
  <c r="BT54" i="29"/>
  <c r="BU54" i="29"/>
  <c r="O75" i="30"/>
  <c r="BK55" i="29"/>
  <c r="P75" i="30" s="1"/>
  <c r="BJ55" i="29"/>
  <c r="BL55" i="29"/>
  <c r="Q75" i="30" s="1"/>
  <c r="CC103" i="29"/>
  <c r="CD103" i="29"/>
  <c r="CK81" i="29"/>
  <c r="CL80" i="29"/>
  <c r="CM79" i="29"/>
  <c r="CN79" i="29"/>
  <c r="U48" i="46"/>
  <c r="AB78" i="48"/>
  <c r="L79" i="30"/>
  <c r="K68" i="50"/>
  <c r="AA78" i="48"/>
  <c r="C78" i="48"/>
  <c r="E78" i="48"/>
  <c r="Q77" i="48"/>
  <c r="S77" i="48"/>
  <c r="T77" i="48" s="1"/>
  <c r="AB59" i="29"/>
  <c r="U77" i="48"/>
  <c r="BO77" i="29"/>
  <c r="DF77" i="29"/>
  <c r="AS79" i="29"/>
  <c r="E79" i="29" s="1"/>
  <c r="AJ79" i="29" s="1"/>
  <c r="BF78" i="29"/>
  <c r="B87" i="50"/>
  <c r="R87" i="50" s="1"/>
  <c r="M73" i="48"/>
  <c r="O73" i="48" s="1"/>
  <c r="R72" i="48"/>
  <c r="K77" i="48"/>
  <c r="P77" i="48" s="1"/>
  <c r="J77" i="48"/>
  <c r="I77" i="48"/>
  <c r="H77" i="48"/>
  <c r="O101" i="50"/>
  <c r="A102" i="50"/>
  <c r="CJ77" i="29"/>
  <c r="AT78" i="29"/>
  <c r="DK77" i="29"/>
  <c r="DP77" i="29"/>
  <c r="AK78" i="29"/>
  <c r="BS55" i="29" l="1"/>
  <c r="BU55" i="29"/>
  <c r="BT55" i="29"/>
  <c r="O76" i="30"/>
  <c r="BL56" i="29"/>
  <c r="Q76" i="30" s="1"/>
  <c r="BK56" i="29"/>
  <c r="P76" i="30" s="1"/>
  <c r="BJ56" i="29"/>
  <c r="DL57" i="29"/>
  <c r="DM56" i="29"/>
  <c r="BR56" i="29" s="1"/>
  <c r="CA105" i="29"/>
  <c r="DQ106" i="29"/>
  <c r="CD104" i="29"/>
  <c r="CC104" i="29"/>
  <c r="DH57" i="29"/>
  <c r="BI57" i="29" s="1"/>
  <c r="DG58" i="29"/>
  <c r="AK79" i="29"/>
  <c r="CM80" i="29"/>
  <c r="CN80" i="29"/>
  <c r="CL81" i="29"/>
  <c r="CK82" i="29"/>
  <c r="R73" i="48"/>
  <c r="M74" i="48"/>
  <c r="O74" i="48" s="1"/>
  <c r="AT79" i="29"/>
  <c r="CJ78" i="29"/>
  <c r="DK78" i="29"/>
  <c r="DP78" i="29"/>
  <c r="E79" i="48"/>
  <c r="C79" i="48"/>
  <c r="Q78" i="48"/>
  <c r="AA79" i="48"/>
  <c r="AB79" i="48" s="1"/>
  <c r="S78" i="48"/>
  <c r="T78" i="48" s="1"/>
  <c r="O102" i="50"/>
  <c r="A103" i="50"/>
  <c r="BO78" i="29"/>
  <c r="DF78" i="29"/>
  <c r="U78" i="48"/>
  <c r="V49" i="46"/>
  <c r="D49" i="46" s="1"/>
  <c r="T49" i="46"/>
  <c r="K78" i="48"/>
  <c r="P78" i="48" s="1"/>
  <c r="J78" i="48"/>
  <c r="I78" i="48"/>
  <c r="H78" i="48"/>
  <c r="AS80" i="29"/>
  <c r="E80" i="29" s="1"/>
  <c r="AJ80" i="29" s="1"/>
  <c r="B88" i="50"/>
  <c r="R88" i="50" s="1"/>
  <c r="BF79" i="29"/>
  <c r="N79" i="30"/>
  <c r="AG59" i="29"/>
  <c r="M68" i="50"/>
  <c r="Y60" i="29"/>
  <c r="G48" i="46"/>
  <c r="H48" i="46" s="1"/>
  <c r="J48" i="46" s="1"/>
  <c r="N48" i="46" s="1"/>
  <c r="DM57" i="29" l="1"/>
  <c r="BR57" i="29" s="1"/>
  <c r="DL58" i="29"/>
  <c r="O77" i="30"/>
  <c r="BJ57" i="29"/>
  <c r="BK57" i="29"/>
  <c r="P77" i="30" s="1"/>
  <c r="BL57" i="29"/>
  <c r="Q77" i="30" s="1"/>
  <c r="CC105" i="29"/>
  <c r="CD105" i="29"/>
  <c r="DG59" i="29"/>
  <c r="DH58" i="29"/>
  <c r="BI58" i="29" s="1"/>
  <c r="DQ107" i="29"/>
  <c r="CA106" i="29"/>
  <c r="BS56" i="29"/>
  <c r="BU56" i="29"/>
  <c r="BT56" i="29"/>
  <c r="AK80" i="29"/>
  <c r="CK83" i="29"/>
  <c r="CL82" i="29"/>
  <c r="CM81" i="29"/>
  <c r="CN81" i="29"/>
  <c r="R74" i="48"/>
  <c r="O75" i="48"/>
  <c r="M75" i="48"/>
  <c r="CJ79" i="29"/>
  <c r="AT80" i="29"/>
  <c r="DK79" i="29"/>
  <c r="DP79" i="29"/>
  <c r="K69" i="50"/>
  <c r="L80" i="30"/>
  <c r="AS81" i="29"/>
  <c r="E81" i="29" s="1"/>
  <c r="BF80" i="29"/>
  <c r="B89" i="50"/>
  <c r="R89" i="50" s="1"/>
  <c r="O103" i="50"/>
  <c r="A104" i="50"/>
  <c r="S79" i="48"/>
  <c r="T79" i="48" s="1"/>
  <c r="E80" i="48"/>
  <c r="C80" i="48"/>
  <c r="Q79" i="48"/>
  <c r="AA80" i="48"/>
  <c r="AB80" i="48" s="1"/>
  <c r="AB60" i="29"/>
  <c r="U49" i="46"/>
  <c r="G49" i="46" s="1"/>
  <c r="H49" i="46" s="1"/>
  <c r="J49" i="46" s="1"/>
  <c r="N49" i="46" s="1"/>
  <c r="BO79" i="29"/>
  <c r="DF79" i="29"/>
  <c r="U79" i="48"/>
  <c r="K79" i="48"/>
  <c r="P79" i="48" s="1"/>
  <c r="J79" i="48"/>
  <c r="I79" i="48"/>
  <c r="H79" i="48"/>
  <c r="AK81" i="29" l="1"/>
  <c r="O78" i="30"/>
  <c r="BK58" i="29"/>
  <c r="P78" i="30" s="1"/>
  <c r="BL58" i="29"/>
  <c r="Q78" i="30" s="1"/>
  <c r="BJ58" i="29"/>
  <c r="CD106" i="29"/>
  <c r="CC106" i="29"/>
  <c r="DQ108" i="29"/>
  <c r="CA107" i="29"/>
  <c r="DL59" i="29"/>
  <c r="DM58" i="29"/>
  <c r="BR58" i="29" s="1"/>
  <c r="DH59" i="29"/>
  <c r="BI59" i="29" s="1"/>
  <c r="DG60" i="29"/>
  <c r="BU57" i="29"/>
  <c r="BS57" i="29"/>
  <c r="BT57" i="29"/>
  <c r="CN82" i="29"/>
  <c r="CM82" i="29"/>
  <c r="CK84" i="29"/>
  <c r="CL83" i="29"/>
  <c r="I80" i="48"/>
  <c r="H80" i="48"/>
  <c r="K80" i="48"/>
  <c r="P80" i="48" s="1"/>
  <c r="J80" i="48"/>
  <c r="O104" i="50"/>
  <c r="A105" i="50"/>
  <c r="M76" i="48"/>
  <c r="O76" i="48"/>
  <c r="R75" i="48"/>
  <c r="T50" i="46"/>
  <c r="V50" i="46"/>
  <c r="D50" i="46" s="1"/>
  <c r="BO80" i="29"/>
  <c r="DF80" i="29"/>
  <c r="AS82" i="29"/>
  <c r="E82" i="29" s="1"/>
  <c r="AK82" i="29" s="1"/>
  <c r="B90" i="50"/>
  <c r="R90" i="50" s="1"/>
  <c r="BF81" i="29"/>
  <c r="M69" i="50"/>
  <c r="Y61" i="29"/>
  <c r="AB61" i="29" s="1"/>
  <c r="AG60" i="29"/>
  <c r="N80" i="30"/>
  <c r="C81" i="48"/>
  <c r="AA81" i="48"/>
  <c r="AB81" i="48" s="1"/>
  <c r="S80" i="48"/>
  <c r="T80" i="48" s="1"/>
  <c r="Q80" i="48"/>
  <c r="E81" i="48"/>
  <c r="CJ80" i="29"/>
  <c r="AT81" i="29"/>
  <c r="DK80" i="29"/>
  <c r="DP80" i="29"/>
  <c r="AJ81" i="29"/>
  <c r="CD107" i="29" l="1"/>
  <c r="CC107" i="29"/>
  <c r="BL59" i="29"/>
  <c r="Q79" i="30" s="1"/>
  <c r="BJ59" i="29"/>
  <c r="BK59" i="29"/>
  <c r="P79" i="30" s="1"/>
  <c r="O79" i="30"/>
  <c r="BU58" i="29"/>
  <c r="BT58" i="29"/>
  <c r="BS58" i="29"/>
  <c r="DH60" i="29"/>
  <c r="BI60" i="29" s="1"/>
  <c r="DG61" i="29"/>
  <c r="DQ109" i="29"/>
  <c r="CA108" i="29"/>
  <c r="BR59" i="29"/>
  <c r="DL60" i="29"/>
  <c r="CM83" i="29"/>
  <c r="CN83" i="29"/>
  <c r="CL84" i="29"/>
  <c r="CK85" i="29"/>
  <c r="CJ81" i="29"/>
  <c r="AT82" i="29"/>
  <c r="DK81" i="29"/>
  <c r="DP81" i="29"/>
  <c r="AS83" i="29"/>
  <c r="E83" i="29" s="1"/>
  <c r="AK83" i="29" s="1"/>
  <c r="BF82" i="29"/>
  <c r="B91" i="50"/>
  <c r="R91" i="50" s="1"/>
  <c r="AJ82" i="29"/>
  <c r="U50" i="46"/>
  <c r="G50" i="46" s="1"/>
  <c r="H50" i="46" s="1"/>
  <c r="J50" i="46" s="1"/>
  <c r="N50" i="46" s="1"/>
  <c r="M77" i="48"/>
  <c r="O77" i="48" s="1"/>
  <c r="R76" i="48"/>
  <c r="AG61" i="29"/>
  <c r="Y62" i="29"/>
  <c r="AB62" i="29" s="1"/>
  <c r="M70" i="50"/>
  <c r="N81" i="30"/>
  <c r="J81" i="48"/>
  <c r="K81" i="48"/>
  <c r="P81" i="48" s="1"/>
  <c r="I81" i="48"/>
  <c r="H81" i="48"/>
  <c r="AA82" i="48"/>
  <c r="AB82" i="48" s="1"/>
  <c r="C82" i="48"/>
  <c r="E82" i="48"/>
  <c r="S81" i="48"/>
  <c r="T81" i="48" s="1"/>
  <c r="Q81" i="48"/>
  <c r="L81" i="30"/>
  <c r="K70" i="50"/>
  <c r="BO81" i="29"/>
  <c r="DF81" i="29"/>
  <c r="A106" i="50"/>
  <c r="O105" i="50"/>
  <c r="U80" i="48"/>
  <c r="U81" i="48" s="1"/>
  <c r="AJ83" i="29" l="1"/>
  <c r="DQ110" i="29"/>
  <c r="CA109" i="29"/>
  <c r="BS59" i="29"/>
  <c r="BU59" i="29"/>
  <c r="BT59" i="29"/>
  <c r="BK60" i="29"/>
  <c r="P80" i="30" s="1"/>
  <c r="BL60" i="29"/>
  <c r="Q80" i="30" s="1"/>
  <c r="BJ60" i="29"/>
  <c r="O80" i="30"/>
  <c r="BR60" i="29"/>
  <c r="DL61" i="29"/>
  <c r="DH61" i="29"/>
  <c r="BI61" i="29" s="1"/>
  <c r="DG62" i="29"/>
  <c r="CC108" i="29"/>
  <c r="CD108" i="29"/>
  <c r="CN84" i="29"/>
  <c r="CM84" i="29"/>
  <c r="CK86" i="29"/>
  <c r="CL85" i="29"/>
  <c r="R77" i="48"/>
  <c r="M78" i="48"/>
  <c r="O78" i="48"/>
  <c r="AB83" i="48"/>
  <c r="I82" i="48"/>
  <c r="H82" i="48"/>
  <c r="J82" i="48"/>
  <c r="K82" i="48"/>
  <c r="P82" i="48" s="1"/>
  <c r="AG62" i="29"/>
  <c r="N82" i="30"/>
  <c r="Y63" i="29"/>
  <c r="AB63" i="29" s="1"/>
  <c r="M71" i="50"/>
  <c r="K71" i="50"/>
  <c r="L82" i="30"/>
  <c r="BO82" i="29"/>
  <c r="DF82" i="29"/>
  <c r="AT83" i="29"/>
  <c r="CJ82" i="29"/>
  <c r="DK82" i="29"/>
  <c r="DP82" i="29"/>
  <c r="AA83" i="48"/>
  <c r="S82" i="48"/>
  <c r="T82" i="48" s="1"/>
  <c r="C83" i="48"/>
  <c r="E83" i="48"/>
  <c r="Q82" i="48"/>
  <c r="A107" i="50"/>
  <c r="O106" i="50"/>
  <c r="V51" i="46"/>
  <c r="D51" i="46" s="1"/>
  <c r="T51" i="46"/>
  <c r="AS84" i="29"/>
  <c r="E84" i="29" s="1"/>
  <c r="AK84" i="29" s="1"/>
  <c r="B92" i="50"/>
  <c r="R92" i="50" s="1"/>
  <c r="BF83" i="29"/>
  <c r="DL62" i="29" l="1"/>
  <c r="BR61" i="29"/>
  <c r="BU60" i="29"/>
  <c r="BS60" i="29"/>
  <c r="BT60" i="29"/>
  <c r="BJ61" i="29"/>
  <c r="BK61" i="29"/>
  <c r="P81" i="30" s="1"/>
  <c r="O81" i="30"/>
  <c r="BL61" i="29"/>
  <c r="Q81" i="30" s="1"/>
  <c r="CD109" i="29"/>
  <c r="CC109" i="29"/>
  <c r="DH62" i="29"/>
  <c r="BI62" i="29" s="1"/>
  <c r="DG63" i="29"/>
  <c r="DQ111" i="29"/>
  <c r="CA110" i="29"/>
  <c r="CM85" i="29"/>
  <c r="CN85" i="29"/>
  <c r="CL86" i="29"/>
  <c r="CK87" i="29"/>
  <c r="BO83" i="29"/>
  <c r="DF83" i="29"/>
  <c r="R78" i="48"/>
  <c r="M79" i="48"/>
  <c r="O79" i="48" s="1"/>
  <c r="N83" i="30"/>
  <c r="M72" i="50"/>
  <c r="Y64" i="29"/>
  <c r="AB64" i="29" s="1"/>
  <c r="AG63" i="29"/>
  <c r="AS85" i="29"/>
  <c r="E85" i="29" s="1"/>
  <c r="AK85" i="29" s="1"/>
  <c r="BF84" i="29"/>
  <c r="B93" i="50"/>
  <c r="R93" i="50" s="1"/>
  <c r="U51" i="46"/>
  <c r="I83" i="48"/>
  <c r="J83" i="48"/>
  <c r="H83" i="48"/>
  <c r="K83" i="48"/>
  <c r="P83" i="48" s="1"/>
  <c r="U82" i="48"/>
  <c r="O107" i="50"/>
  <c r="A108" i="50"/>
  <c r="S83" i="48"/>
  <c r="T83" i="48" s="1"/>
  <c r="Q83" i="48"/>
  <c r="AA84" i="48"/>
  <c r="AB84" i="48" s="1"/>
  <c r="C84" i="48"/>
  <c r="E84" i="48"/>
  <c r="AT84" i="29"/>
  <c r="CJ83" i="29"/>
  <c r="DK83" i="29"/>
  <c r="DP83" i="29"/>
  <c r="AJ84" i="29"/>
  <c r="K72" i="50"/>
  <c r="L83" i="30"/>
  <c r="BU61" i="29" l="1"/>
  <c r="BS61" i="29"/>
  <c r="BT61" i="29"/>
  <c r="BL62" i="29"/>
  <c r="Q82" i="30" s="1"/>
  <c r="BK62" i="29"/>
  <c r="P82" i="30" s="1"/>
  <c r="O82" i="30"/>
  <c r="BJ62" i="29"/>
  <c r="CC110" i="29"/>
  <c r="CD110" i="29"/>
  <c r="DQ112" i="29"/>
  <c r="CA111" i="29"/>
  <c r="DG64" i="29"/>
  <c r="DH63" i="29"/>
  <c r="BI63" i="29" s="1"/>
  <c r="DL63" i="29"/>
  <c r="BR62" i="29"/>
  <c r="AJ85" i="29"/>
  <c r="CK88" i="29"/>
  <c r="CL87" i="29"/>
  <c r="CM86" i="29"/>
  <c r="CN86" i="29"/>
  <c r="R79" i="48"/>
  <c r="M80" i="48"/>
  <c r="O80" i="48" s="1"/>
  <c r="V52" i="46"/>
  <c r="D52" i="46" s="1"/>
  <c r="T52" i="46" s="1"/>
  <c r="AT85" i="29"/>
  <c r="CJ84" i="29"/>
  <c r="DK84" i="29"/>
  <c r="DP84" i="29"/>
  <c r="I84" i="48"/>
  <c r="H84" i="48"/>
  <c r="J84" i="48"/>
  <c r="K84" i="48"/>
  <c r="P84" i="48" s="1"/>
  <c r="Q84" i="48"/>
  <c r="S84" i="48"/>
  <c r="T84" i="48" s="1"/>
  <c r="C85" i="48"/>
  <c r="AA85" i="48"/>
  <c r="AB85" i="48" s="1"/>
  <c r="E85" i="48"/>
  <c r="A109" i="50"/>
  <c r="O108" i="50"/>
  <c r="BO84" i="29"/>
  <c r="DF84" i="29"/>
  <c r="L84" i="30"/>
  <c r="K73" i="50"/>
  <c r="G51" i="46"/>
  <c r="H51" i="46" s="1"/>
  <c r="J51" i="46" s="1"/>
  <c r="N51" i="46" s="1"/>
  <c r="M73" i="50"/>
  <c r="N84" i="30"/>
  <c r="AG64" i="29"/>
  <c r="Y65" i="29"/>
  <c r="U83" i="48"/>
  <c r="U84" i="48" s="1"/>
  <c r="AS86" i="29"/>
  <c r="E86" i="29" s="1"/>
  <c r="AK86" i="29" s="1"/>
  <c r="B94" i="50"/>
  <c r="R94" i="50" s="1"/>
  <c r="BF85" i="29"/>
  <c r="DG65" i="29" l="1"/>
  <c r="DH64" i="29"/>
  <c r="BI64" i="29" s="1"/>
  <c r="DQ113" i="29"/>
  <c r="CA112" i="29"/>
  <c r="BT62" i="29"/>
  <c r="BU62" i="29"/>
  <c r="BS62" i="29"/>
  <c r="CC111" i="29"/>
  <c r="CD111" i="29"/>
  <c r="BR63" i="29"/>
  <c r="DL64" i="29"/>
  <c r="BK63" i="29"/>
  <c r="P83" i="30" s="1"/>
  <c r="O83" i="30"/>
  <c r="BJ63" i="29"/>
  <c r="BL63" i="29"/>
  <c r="Q83" i="30" s="1"/>
  <c r="AJ86" i="29"/>
  <c r="CN87" i="29"/>
  <c r="CM87" i="29"/>
  <c r="CK89" i="29"/>
  <c r="CL88" i="29"/>
  <c r="U52" i="46"/>
  <c r="G52" i="46" s="1"/>
  <c r="H52" i="46" s="1"/>
  <c r="J52" i="46" s="1"/>
  <c r="N52" i="46" s="1"/>
  <c r="O81" i="48"/>
  <c r="R80" i="48"/>
  <c r="M81" i="48"/>
  <c r="U85" i="48"/>
  <c r="L85" i="30"/>
  <c r="K74" i="50"/>
  <c r="J85" i="48"/>
  <c r="H85" i="48"/>
  <c r="K85" i="48" s="1"/>
  <c r="P85" i="48" s="1"/>
  <c r="I85" i="48"/>
  <c r="BO85" i="29"/>
  <c r="DF85" i="29"/>
  <c r="S85" i="48"/>
  <c r="T85" i="48" s="1"/>
  <c r="C86" i="48"/>
  <c r="Q85" i="48"/>
  <c r="AA86" i="48"/>
  <c r="AB86" i="48" s="1"/>
  <c r="E86" i="48"/>
  <c r="AS87" i="29"/>
  <c r="E87" i="29" s="1"/>
  <c r="BF86" i="29"/>
  <c r="B95" i="50"/>
  <c r="R95" i="50" s="1"/>
  <c r="AB65" i="29"/>
  <c r="A110" i="50"/>
  <c r="O109" i="50"/>
  <c r="CJ85" i="29"/>
  <c r="AT86" i="29"/>
  <c r="DK85" i="29"/>
  <c r="DP85" i="29"/>
  <c r="BU63" i="29" l="1"/>
  <c r="BS63" i="29"/>
  <c r="BT63" i="29"/>
  <c r="BK64" i="29"/>
  <c r="P84" i="30" s="1"/>
  <c r="O84" i="30"/>
  <c r="BL64" i="29"/>
  <c r="Q84" i="30" s="1"/>
  <c r="BJ64" i="29"/>
  <c r="CC112" i="29"/>
  <c r="CD112" i="29"/>
  <c r="BR64" i="29"/>
  <c r="DL65" i="29"/>
  <c r="DQ114" i="29"/>
  <c r="CA113" i="29"/>
  <c r="DG66" i="29"/>
  <c r="DH65" i="29"/>
  <c r="BI65" i="29" s="1"/>
  <c r="CM88" i="29"/>
  <c r="CN88" i="29"/>
  <c r="CK90" i="29"/>
  <c r="CL89" i="29"/>
  <c r="A111" i="50"/>
  <c r="O110" i="50"/>
  <c r="Y66" i="29"/>
  <c r="AB66" i="29" s="1"/>
  <c r="N85" i="30"/>
  <c r="M74" i="50"/>
  <c r="AG65" i="29"/>
  <c r="AS88" i="29"/>
  <c r="E88" i="29" s="1"/>
  <c r="B96" i="50"/>
  <c r="R96" i="50" s="1"/>
  <c r="BF87" i="29"/>
  <c r="U86" i="48"/>
  <c r="AJ87" i="29"/>
  <c r="M82" i="48"/>
  <c r="O82" i="48" s="1"/>
  <c r="R81" i="48"/>
  <c r="V53" i="46"/>
  <c r="D53" i="46" s="1"/>
  <c r="T53" i="46"/>
  <c r="S86" i="48"/>
  <c r="T86" i="48" s="1"/>
  <c r="Q86" i="48"/>
  <c r="E87" i="48"/>
  <c r="AA87" i="48"/>
  <c r="AB87" i="48" s="1"/>
  <c r="C87" i="48"/>
  <c r="AT87" i="29"/>
  <c r="CJ86" i="29"/>
  <c r="DK86" i="29"/>
  <c r="DP86" i="29"/>
  <c r="BO86" i="29"/>
  <c r="DF86" i="29"/>
  <c r="K86" i="48"/>
  <c r="P86" i="48" s="1"/>
  <c r="J86" i="48"/>
  <c r="H86" i="48"/>
  <c r="I86" i="48"/>
  <c r="AK87" i="29"/>
  <c r="DQ115" i="29" l="1"/>
  <c r="CA114" i="29"/>
  <c r="BJ65" i="29"/>
  <c r="BK65" i="29"/>
  <c r="P85" i="30" s="1"/>
  <c r="O85" i="30"/>
  <c r="BL65" i="29"/>
  <c r="Q85" i="30" s="1"/>
  <c r="DL66" i="29"/>
  <c r="BR65" i="29"/>
  <c r="BS64" i="29"/>
  <c r="BT64" i="29"/>
  <c r="BU64" i="29"/>
  <c r="DH66" i="29"/>
  <c r="BI66" i="29" s="1"/>
  <c r="DG67" i="29"/>
  <c r="CC113" i="29"/>
  <c r="CD113" i="29"/>
  <c r="AJ88" i="29"/>
  <c r="AK88" i="29"/>
  <c r="CM89" i="29"/>
  <c r="CN89" i="29"/>
  <c r="CL90" i="29"/>
  <c r="CK91" i="29"/>
  <c r="R82" i="48"/>
  <c r="M83" i="48"/>
  <c r="O83" i="48"/>
  <c r="AB88" i="48"/>
  <c r="BO87" i="29"/>
  <c r="DF87" i="29"/>
  <c r="I87" i="48"/>
  <c r="J87" i="48"/>
  <c r="H87" i="48"/>
  <c r="K87" i="48" s="1"/>
  <c r="P87" i="48" s="1"/>
  <c r="O111" i="50"/>
  <c r="A112" i="50"/>
  <c r="S87" i="48"/>
  <c r="T87" i="48" s="1"/>
  <c r="C88" i="48"/>
  <c r="AA88" i="48"/>
  <c r="E88" i="48"/>
  <c r="Q87" i="48"/>
  <c r="U53" i="46"/>
  <c r="K75" i="50"/>
  <c r="L86" i="30"/>
  <c r="AG66" i="29"/>
  <c r="Y67" i="29"/>
  <c r="K76" i="50" s="1"/>
  <c r="M75" i="50"/>
  <c r="N86" i="30"/>
  <c r="AT88" i="29"/>
  <c r="CJ87" i="29"/>
  <c r="DK87" i="29"/>
  <c r="DP87" i="29"/>
  <c r="AS89" i="29"/>
  <c r="E89" i="29" s="1"/>
  <c r="AK89" i="29" s="1"/>
  <c r="BF88" i="29"/>
  <c r="B97" i="50"/>
  <c r="R97" i="50" s="1"/>
  <c r="BT65" i="29" l="1"/>
  <c r="BS65" i="29"/>
  <c r="BU65" i="29"/>
  <c r="CC114" i="29"/>
  <c r="CD114" i="29"/>
  <c r="BK66" i="29"/>
  <c r="P86" i="30" s="1"/>
  <c r="O86" i="30"/>
  <c r="BJ66" i="29"/>
  <c r="BL66" i="29"/>
  <c r="Q86" i="30" s="1"/>
  <c r="BR66" i="29"/>
  <c r="DL67" i="29"/>
  <c r="DG68" i="29"/>
  <c r="DH67" i="29"/>
  <c r="BI67" i="29" s="1"/>
  <c r="DQ116" i="29"/>
  <c r="CA115" i="29"/>
  <c r="CK92" i="29"/>
  <c r="CL91" i="29"/>
  <c r="CN90" i="29"/>
  <c r="CM90" i="29"/>
  <c r="R83" i="48"/>
  <c r="M84" i="48"/>
  <c r="O84" i="48" s="1"/>
  <c r="AS90" i="29"/>
  <c r="E90" i="29" s="1"/>
  <c r="BF89" i="29"/>
  <c r="B98" i="50"/>
  <c r="R98" i="50" s="1"/>
  <c r="K88" i="48"/>
  <c r="P88" i="48" s="1"/>
  <c r="J88" i="48"/>
  <c r="I88" i="48"/>
  <c r="H88" i="48"/>
  <c r="CJ88" i="29"/>
  <c r="AT89" i="29"/>
  <c r="DK88" i="29"/>
  <c r="DP88" i="29"/>
  <c r="AJ89" i="29"/>
  <c r="U87" i="48"/>
  <c r="BO88" i="29"/>
  <c r="DF88" i="29"/>
  <c r="AB67" i="29"/>
  <c r="T54" i="46"/>
  <c r="V54" i="46"/>
  <c r="D54" i="46" s="1"/>
  <c r="AA89" i="48"/>
  <c r="AB89" i="48" s="1"/>
  <c r="C89" i="48"/>
  <c r="Q88" i="48"/>
  <c r="E89" i="48"/>
  <c r="S88" i="48"/>
  <c r="T88" i="48" s="1"/>
  <c r="O112" i="50"/>
  <c r="A113" i="50"/>
  <c r="G53" i="46"/>
  <c r="H53" i="46" s="1"/>
  <c r="J53" i="46" s="1"/>
  <c r="N53" i="46" s="1"/>
  <c r="AJ90" i="29" l="1"/>
  <c r="DH68" i="29"/>
  <c r="BI68" i="29" s="1"/>
  <c r="DG69" i="29"/>
  <c r="CC115" i="29"/>
  <c r="CD115" i="29"/>
  <c r="BR67" i="29"/>
  <c r="DL68" i="29"/>
  <c r="CA116" i="29"/>
  <c r="DQ117" i="29"/>
  <c r="BT66" i="29"/>
  <c r="BU66" i="29"/>
  <c r="BS66" i="29"/>
  <c r="BK67" i="29"/>
  <c r="BJ67" i="29"/>
  <c r="BL67" i="29"/>
  <c r="CM91" i="29"/>
  <c r="CN91" i="29"/>
  <c r="CL92" i="29"/>
  <c r="CK93" i="29"/>
  <c r="R84" i="48"/>
  <c r="M85" i="48"/>
  <c r="O85" i="48" s="1"/>
  <c r="U54" i="46"/>
  <c r="U88" i="48"/>
  <c r="U89" i="48" s="1"/>
  <c r="BO89" i="29"/>
  <c r="DF89" i="29"/>
  <c r="E90" i="48"/>
  <c r="C90" i="48"/>
  <c r="Q89" i="48"/>
  <c r="AA90" i="48"/>
  <c r="AB90" i="48" s="1"/>
  <c r="S89" i="48"/>
  <c r="T89" i="48" s="1"/>
  <c r="I89" i="48"/>
  <c r="J89" i="48"/>
  <c r="K89" i="48"/>
  <c r="P89" i="48" s="1"/>
  <c r="H89" i="48"/>
  <c r="A114" i="50"/>
  <c r="O113" i="50"/>
  <c r="M76" i="50"/>
  <c r="AG67" i="29"/>
  <c r="Y68" i="29"/>
  <c r="K77" i="50" s="1"/>
  <c r="CJ89" i="29"/>
  <c r="AT90" i="29"/>
  <c r="DK89" i="29"/>
  <c r="DP89" i="29"/>
  <c r="AS91" i="29"/>
  <c r="E91" i="29" s="1"/>
  <c r="BF90" i="29"/>
  <c r="B99" i="50"/>
  <c r="R99" i="50" s="1"/>
  <c r="AK90" i="29"/>
  <c r="AK91" i="29" l="1"/>
  <c r="DQ118" i="29"/>
  <c r="CA117" i="29"/>
  <c r="BR68" i="29"/>
  <c r="DL69" i="29"/>
  <c r="DH69" i="29"/>
  <c r="BI69" i="29" s="1"/>
  <c r="DG70" i="29"/>
  <c r="CC116" i="29"/>
  <c r="CD116" i="29"/>
  <c r="BU67" i="29"/>
  <c r="BT67" i="29"/>
  <c r="BS67" i="29"/>
  <c r="BK68" i="29"/>
  <c r="BJ68" i="29"/>
  <c r="BL68" i="29"/>
  <c r="CK94" i="29"/>
  <c r="CL93" i="29"/>
  <c r="CN92" i="29"/>
  <c r="CM92" i="29"/>
  <c r="M86" i="48"/>
  <c r="O86" i="48"/>
  <c r="R85" i="48"/>
  <c r="AB91" i="48"/>
  <c r="BO90" i="29"/>
  <c r="DF90" i="29"/>
  <c r="AT91" i="29"/>
  <c r="CJ90" i="29"/>
  <c r="DK90" i="29"/>
  <c r="DP90" i="29"/>
  <c r="Q90" i="48"/>
  <c r="S90" i="48"/>
  <c r="T90" i="48" s="1"/>
  <c r="AA91" i="48"/>
  <c r="E91" i="48"/>
  <c r="C91" i="48"/>
  <c r="V55" i="46"/>
  <c r="D55" i="46" s="1"/>
  <c r="T55" i="46"/>
  <c r="U55" i="46" s="1"/>
  <c r="AS92" i="29"/>
  <c r="E92" i="29" s="1"/>
  <c r="AK92" i="29" s="1"/>
  <c r="BF91" i="29"/>
  <c r="B100" i="50"/>
  <c r="R100" i="50" s="1"/>
  <c r="AB68" i="29"/>
  <c r="O114" i="50"/>
  <c r="A115" i="50"/>
  <c r="H90" i="48"/>
  <c r="K90" i="48" s="1"/>
  <c r="P90" i="48" s="1"/>
  <c r="I90" i="48"/>
  <c r="J90" i="48"/>
  <c r="AJ91" i="29"/>
  <c r="G54" i="46"/>
  <c r="H54" i="46" s="1"/>
  <c r="J54" i="46" s="1"/>
  <c r="N54" i="46" s="1"/>
  <c r="BS68" i="29" l="1"/>
  <c r="BT68" i="29"/>
  <c r="BU68" i="29"/>
  <c r="BR69" i="29"/>
  <c r="DL70" i="29"/>
  <c r="DH70" i="29"/>
  <c r="BI70" i="29" s="1"/>
  <c r="DG71" i="29"/>
  <c r="CC117" i="29"/>
  <c r="CD117" i="29"/>
  <c r="BK69" i="29"/>
  <c r="BJ69" i="29"/>
  <c r="BL69" i="29"/>
  <c r="CA118" i="29"/>
  <c r="DQ119" i="29"/>
  <c r="AJ92" i="29"/>
  <c r="CM93" i="29"/>
  <c r="CN93" i="29"/>
  <c r="CK95" i="29"/>
  <c r="CL94" i="29"/>
  <c r="V56" i="46"/>
  <c r="D56" i="46" s="1"/>
  <c r="T56" i="46" s="1"/>
  <c r="Y69" i="29"/>
  <c r="K78" i="50" s="1"/>
  <c r="M77" i="50"/>
  <c r="AG68" i="29"/>
  <c r="I91" i="48"/>
  <c r="J91" i="48"/>
  <c r="K91" i="48"/>
  <c r="P91" i="48" s="1"/>
  <c r="H91" i="48"/>
  <c r="AB92" i="48"/>
  <c r="M87" i="48"/>
  <c r="R86" i="48"/>
  <c r="O87" i="48"/>
  <c r="G55" i="46"/>
  <c r="H55" i="46" s="1"/>
  <c r="J55" i="46" s="1"/>
  <c r="N55" i="46" s="1"/>
  <c r="O115" i="50"/>
  <c r="A116" i="50"/>
  <c r="BO91" i="29"/>
  <c r="DF91" i="29"/>
  <c r="AS93" i="29"/>
  <c r="E93" i="29" s="1"/>
  <c r="BF92" i="29"/>
  <c r="B101" i="50"/>
  <c r="R101" i="50" s="1"/>
  <c r="Q91" i="48"/>
  <c r="E92" i="48"/>
  <c r="C92" i="48"/>
  <c r="S91" i="48"/>
  <c r="T91" i="48" s="1"/>
  <c r="AA92" i="48"/>
  <c r="CJ91" i="29"/>
  <c r="AT92" i="29"/>
  <c r="DK91" i="29"/>
  <c r="DP91" i="29"/>
  <c r="U90" i="48"/>
  <c r="BU69" i="29" l="1"/>
  <c r="BS69" i="29"/>
  <c r="BT69" i="29"/>
  <c r="DH71" i="29"/>
  <c r="BI71" i="29" s="1"/>
  <c r="DG72" i="29"/>
  <c r="CA119" i="29"/>
  <c r="DQ120" i="29"/>
  <c r="BJ70" i="29"/>
  <c r="BK70" i="29"/>
  <c r="BL70" i="29"/>
  <c r="CC118" i="29"/>
  <c r="CD118" i="29"/>
  <c r="DL71" i="29"/>
  <c r="BR70" i="29"/>
  <c r="CM94" i="29"/>
  <c r="CN94" i="29"/>
  <c r="CL95" i="29"/>
  <c r="CK96" i="29"/>
  <c r="U56" i="46"/>
  <c r="A117" i="50"/>
  <c r="O116" i="50"/>
  <c r="AB69" i="29"/>
  <c r="AS94" i="29"/>
  <c r="E94" i="29" s="1"/>
  <c r="B102" i="50"/>
  <c r="R102" i="50" s="1"/>
  <c r="BF93" i="29"/>
  <c r="AJ93" i="29"/>
  <c r="R87" i="48"/>
  <c r="M88" i="48"/>
  <c r="O88" i="48"/>
  <c r="AA93" i="48"/>
  <c r="AB93" i="48" s="1"/>
  <c r="C93" i="48"/>
  <c r="E93" i="48"/>
  <c r="Q92" i="48"/>
  <c r="S92" i="48"/>
  <c r="T92" i="48" s="1"/>
  <c r="CJ92" i="29"/>
  <c r="AT93" i="29"/>
  <c r="DK92" i="29"/>
  <c r="DP92" i="29"/>
  <c r="J92" i="48"/>
  <c r="H92" i="48"/>
  <c r="K92" i="48" s="1"/>
  <c r="P92" i="48" s="1"/>
  <c r="I92" i="48"/>
  <c r="U91" i="48"/>
  <c r="BO92" i="29"/>
  <c r="DF92" i="29"/>
  <c r="AK93" i="29"/>
  <c r="BK71" i="29" l="1"/>
  <c r="BJ71" i="29"/>
  <c r="BL71" i="29"/>
  <c r="BT70" i="29"/>
  <c r="BU70" i="29"/>
  <c r="BS70" i="29"/>
  <c r="CC119" i="29"/>
  <c r="CD119" i="29"/>
  <c r="DQ121" i="29"/>
  <c r="CA120" i="29"/>
  <c r="BR71" i="29"/>
  <c r="DL72" i="29"/>
  <c r="DH72" i="29"/>
  <c r="BI72" i="29" s="1"/>
  <c r="DG73" i="29"/>
  <c r="AK94" i="29"/>
  <c r="CK97" i="29"/>
  <c r="CL96" i="29"/>
  <c r="CM95" i="29"/>
  <c r="CN95" i="29"/>
  <c r="CJ93" i="29"/>
  <c r="AT94" i="29"/>
  <c r="DK93" i="29"/>
  <c r="DP93" i="29"/>
  <c r="H93" i="48"/>
  <c r="K93" i="48"/>
  <c r="P93" i="48" s="1"/>
  <c r="I93" i="48"/>
  <c r="J93" i="48"/>
  <c r="V57" i="46"/>
  <c r="D57" i="46" s="1"/>
  <c r="T57" i="46" s="1"/>
  <c r="BO93" i="29"/>
  <c r="DF93" i="29"/>
  <c r="U92" i="48"/>
  <c r="U93" i="48" s="1"/>
  <c r="O89" i="48"/>
  <c r="R88" i="48"/>
  <c r="M89" i="48"/>
  <c r="AS95" i="29"/>
  <c r="E95" i="29" s="1"/>
  <c r="B103" i="50"/>
  <c r="R103" i="50" s="1"/>
  <c r="BF94" i="29"/>
  <c r="A118" i="50"/>
  <c r="O117" i="50"/>
  <c r="C94" i="48"/>
  <c r="AA94" i="48"/>
  <c r="AB94" i="48" s="1"/>
  <c r="S93" i="48"/>
  <c r="T93" i="48" s="1"/>
  <c r="Q93" i="48"/>
  <c r="E94" i="48"/>
  <c r="AJ94" i="29"/>
  <c r="AG69" i="29"/>
  <c r="M78" i="50"/>
  <c r="Y70" i="29"/>
  <c r="K79" i="50" s="1"/>
  <c r="G56" i="46"/>
  <c r="H56" i="46" s="1"/>
  <c r="J56" i="46" s="1"/>
  <c r="N56" i="46" s="1"/>
  <c r="AB70" i="29" l="1"/>
  <c r="AG70" i="29" s="1"/>
  <c r="AJ95" i="29"/>
  <c r="BR72" i="29"/>
  <c r="DL73" i="29"/>
  <c r="BT71" i="29"/>
  <c r="BU71" i="29"/>
  <c r="BS71" i="29"/>
  <c r="DH73" i="29"/>
  <c r="BI73" i="29" s="1"/>
  <c r="DG74" i="29"/>
  <c r="CC120" i="29"/>
  <c r="CD120" i="29"/>
  <c r="BL72" i="29"/>
  <c r="BK72" i="29"/>
  <c r="BJ72" i="29"/>
  <c r="CA121" i="29"/>
  <c r="DQ122" i="29"/>
  <c r="CM96" i="29"/>
  <c r="CN96" i="29"/>
  <c r="CL97" i="29"/>
  <c r="CK98" i="29"/>
  <c r="U57" i="46"/>
  <c r="BO94" i="29"/>
  <c r="DF94" i="29"/>
  <c r="R89" i="48"/>
  <c r="M90" i="48"/>
  <c r="O90" i="48" s="1"/>
  <c r="AS96" i="29"/>
  <c r="E96" i="29" s="1"/>
  <c r="BF95" i="29"/>
  <c r="B104" i="50"/>
  <c r="R104" i="50" s="1"/>
  <c r="AK95" i="29"/>
  <c r="Y71" i="29"/>
  <c r="K80" i="50" s="1"/>
  <c r="J94" i="48"/>
  <c r="H94" i="48"/>
  <c r="I94" i="48"/>
  <c r="K94" i="48"/>
  <c r="P94" i="48" s="1"/>
  <c r="S94" i="48"/>
  <c r="T94" i="48" s="1"/>
  <c r="Q94" i="48"/>
  <c r="C95" i="48"/>
  <c r="AA95" i="48"/>
  <c r="AB95" i="48" s="1"/>
  <c r="E95" i="48"/>
  <c r="O118" i="50"/>
  <c r="A119" i="50"/>
  <c r="CJ94" i="29"/>
  <c r="AT95" i="29"/>
  <c r="DK94" i="29"/>
  <c r="DP94" i="29"/>
  <c r="M79" i="50" l="1"/>
  <c r="CA122" i="29"/>
  <c r="DQ123" i="29"/>
  <c r="BJ73" i="29"/>
  <c r="BL73" i="29"/>
  <c r="BK73" i="29"/>
  <c r="BR73" i="29"/>
  <c r="DL74" i="29"/>
  <c r="DG75" i="29"/>
  <c r="DH74" i="29"/>
  <c r="BI74" i="29" s="1"/>
  <c r="CC121" i="29"/>
  <c r="CD121" i="29"/>
  <c r="BS72" i="29"/>
  <c r="BU72" i="29"/>
  <c r="BT72" i="29"/>
  <c r="CN97" i="29"/>
  <c r="CM97" i="29"/>
  <c r="CK99" i="29"/>
  <c r="CL98" i="29"/>
  <c r="AB71" i="29"/>
  <c r="M80" i="50" s="1"/>
  <c r="R90" i="48"/>
  <c r="M91" i="48"/>
  <c r="O91" i="48" s="1"/>
  <c r="AS97" i="29"/>
  <c r="E97" i="29" s="1"/>
  <c r="BF96" i="29"/>
  <c r="B105" i="50"/>
  <c r="R105" i="50" s="1"/>
  <c r="T58" i="46"/>
  <c r="U58" i="46" s="1"/>
  <c r="V58" i="46"/>
  <c r="D58" i="46" s="1"/>
  <c r="E96" i="48"/>
  <c r="C96" i="48"/>
  <c r="AA96" i="48"/>
  <c r="AB96" i="48" s="1"/>
  <c r="Q95" i="48"/>
  <c r="S95" i="48"/>
  <c r="T95" i="48" s="1"/>
  <c r="AK96" i="29"/>
  <c r="AJ96" i="29"/>
  <c r="U94" i="48"/>
  <c r="G57" i="46"/>
  <c r="H57" i="46" s="1"/>
  <c r="J57" i="46" s="1"/>
  <c r="N57" i="46" s="1"/>
  <c r="BO95" i="29"/>
  <c r="DF95" i="29"/>
  <c r="A120" i="50"/>
  <c r="O119" i="50"/>
  <c r="AT96" i="29"/>
  <c r="CJ95" i="29"/>
  <c r="DK95" i="29"/>
  <c r="DP95" i="29"/>
  <c r="K95" i="48"/>
  <c r="P95" i="48" s="1"/>
  <c r="I95" i="48"/>
  <c r="J95" i="48"/>
  <c r="H95" i="48"/>
  <c r="AJ97" i="29" l="1"/>
  <c r="Y72" i="29"/>
  <c r="K81" i="50" s="1"/>
  <c r="DL75" i="29"/>
  <c r="BR74" i="29"/>
  <c r="DH75" i="29"/>
  <c r="BI75" i="29" s="1"/>
  <c r="DG76" i="29"/>
  <c r="AG71" i="29"/>
  <c r="BS73" i="29"/>
  <c r="BU73" i="29"/>
  <c r="BT73" i="29"/>
  <c r="DQ124" i="29"/>
  <c r="CA123" i="29"/>
  <c r="BK74" i="29"/>
  <c r="BJ74" i="29"/>
  <c r="BL74" i="29"/>
  <c r="CC122" i="29"/>
  <c r="CD122" i="29"/>
  <c r="AK97" i="29"/>
  <c r="CL99" i="29"/>
  <c r="CK100" i="29"/>
  <c r="CM98" i="29"/>
  <c r="CN98" i="29"/>
  <c r="V59" i="46"/>
  <c r="D59" i="46" s="1"/>
  <c r="T59" i="46"/>
  <c r="M92" i="48"/>
  <c r="O92" i="48" s="1"/>
  <c r="R91" i="48"/>
  <c r="J96" i="48"/>
  <c r="I96" i="48"/>
  <c r="H96" i="48"/>
  <c r="K96" i="48"/>
  <c r="P96" i="48" s="1"/>
  <c r="C97" i="48"/>
  <c r="S96" i="48"/>
  <c r="T96" i="48" s="1"/>
  <c r="AA97" i="48"/>
  <c r="AB97" i="48" s="1"/>
  <c r="E97" i="48"/>
  <c r="Q96" i="48"/>
  <c r="AT97" i="29"/>
  <c r="CJ96" i="29"/>
  <c r="DK96" i="29"/>
  <c r="DP96" i="29"/>
  <c r="A121" i="50"/>
  <c r="O120" i="50"/>
  <c r="BO96" i="29"/>
  <c r="DF96" i="29"/>
  <c r="G58" i="46"/>
  <c r="H58" i="46" s="1"/>
  <c r="J58" i="46" s="1"/>
  <c r="N58" i="46" s="1"/>
  <c r="U95" i="48"/>
  <c r="AS98" i="29"/>
  <c r="E98" i="29" s="1"/>
  <c r="BF97" i="29"/>
  <c r="B106" i="50"/>
  <c r="R106" i="50" s="1"/>
  <c r="AB72" i="29" l="1"/>
  <c r="M81" i="50" s="1"/>
  <c r="BJ75" i="29"/>
  <c r="BL75" i="29"/>
  <c r="BK75" i="29"/>
  <c r="DL76" i="29"/>
  <c r="BR75" i="29"/>
  <c r="CD123" i="29"/>
  <c r="CC123" i="29"/>
  <c r="BS74" i="29"/>
  <c r="BU74" i="29"/>
  <c r="BT74" i="29"/>
  <c r="CA124" i="29"/>
  <c r="DQ125" i="29"/>
  <c r="DH76" i="29"/>
  <c r="BI76" i="29" s="1"/>
  <c r="DG77" i="29"/>
  <c r="CK101" i="29"/>
  <c r="CL100" i="29"/>
  <c r="CN99" i="29"/>
  <c r="CM99" i="29"/>
  <c r="R92" i="48"/>
  <c r="M93" i="48"/>
  <c r="O93" i="48"/>
  <c r="AB98" i="48"/>
  <c r="AS99" i="29"/>
  <c r="E99" i="29" s="1"/>
  <c r="BF98" i="29"/>
  <c r="B107" i="50"/>
  <c r="R107" i="50" s="1"/>
  <c r="G59" i="46"/>
  <c r="H59" i="46" s="1"/>
  <c r="J59" i="46" s="1"/>
  <c r="N59" i="46" s="1"/>
  <c r="Y73" i="29"/>
  <c r="K82" i="50" s="1"/>
  <c r="AG72" i="29"/>
  <c r="E98" i="48"/>
  <c r="C98" i="48"/>
  <c r="AA98" i="48"/>
  <c r="S97" i="48"/>
  <c r="T97" i="48" s="1"/>
  <c r="Q97" i="48"/>
  <c r="U59" i="46"/>
  <c r="U96" i="48"/>
  <c r="H97" i="48"/>
  <c r="K97" i="48"/>
  <c r="P97" i="48" s="1"/>
  <c r="J97" i="48"/>
  <c r="I97" i="48"/>
  <c r="AK98" i="29"/>
  <c r="BO97" i="29"/>
  <c r="DF97" i="29"/>
  <c r="AJ98" i="29"/>
  <c r="A122" i="50"/>
  <c r="O121" i="50"/>
  <c r="CJ97" i="29"/>
  <c r="AT98" i="29"/>
  <c r="DK97" i="29"/>
  <c r="DP97" i="29"/>
  <c r="AJ99" i="29" l="1"/>
  <c r="AK99" i="29"/>
  <c r="DQ126" i="29"/>
  <c r="CA125" i="29"/>
  <c r="DG78" i="29"/>
  <c r="DH77" i="29"/>
  <c r="BI77" i="29" s="1"/>
  <c r="DL77" i="29"/>
  <c r="BR76" i="29"/>
  <c r="CC124" i="29"/>
  <c r="CD124" i="29"/>
  <c r="BK76" i="29"/>
  <c r="BL76" i="29"/>
  <c r="BJ76" i="29"/>
  <c r="BU75" i="29"/>
  <c r="BS75" i="29"/>
  <c r="BT75" i="29"/>
  <c r="CM100" i="29"/>
  <c r="CN100" i="29"/>
  <c r="CL101" i="29"/>
  <c r="CK102" i="29"/>
  <c r="O122" i="50"/>
  <c r="A123" i="50"/>
  <c r="R93" i="48"/>
  <c r="M94" i="48"/>
  <c r="O94" i="48" s="1"/>
  <c r="AT99" i="29"/>
  <c r="CJ98" i="29"/>
  <c r="DK98" i="29"/>
  <c r="DP98" i="29"/>
  <c r="BO98" i="29"/>
  <c r="DF98" i="29"/>
  <c r="U97" i="48"/>
  <c r="AA99" i="48"/>
  <c r="AB99" i="48" s="1"/>
  <c r="S98" i="48"/>
  <c r="T98" i="48" s="1"/>
  <c r="C99" i="48"/>
  <c r="E99" i="48"/>
  <c r="Q98" i="48"/>
  <c r="V60" i="46"/>
  <c r="D60" i="46" s="1"/>
  <c r="T60" i="46" s="1"/>
  <c r="I98" i="48"/>
  <c r="H98" i="48"/>
  <c r="K98" i="48"/>
  <c r="P98" i="48" s="1"/>
  <c r="J98" i="48"/>
  <c r="AB73" i="29"/>
  <c r="AS100" i="29"/>
  <c r="E100" i="29" s="1"/>
  <c r="B108" i="50"/>
  <c r="R108" i="50" s="1"/>
  <c r="BF99" i="29"/>
  <c r="BS76" i="29" l="1"/>
  <c r="BT76" i="29"/>
  <c r="BU76" i="29"/>
  <c r="BK77" i="29"/>
  <c r="BJ77" i="29"/>
  <c r="BL77" i="29"/>
  <c r="DG79" i="29"/>
  <c r="DH78" i="29"/>
  <c r="BI78" i="29" s="1"/>
  <c r="CD125" i="29"/>
  <c r="CC125" i="29"/>
  <c r="DL78" i="29"/>
  <c r="BR77" i="29"/>
  <c r="DQ127" i="29"/>
  <c r="CA126" i="29"/>
  <c r="CK103" i="29"/>
  <c r="CL102" i="29"/>
  <c r="CM101" i="29"/>
  <c r="CN101" i="29"/>
  <c r="U60" i="46"/>
  <c r="M95" i="48"/>
  <c r="O95" i="48" s="1"/>
  <c r="R94" i="48"/>
  <c r="AS101" i="29"/>
  <c r="E101" i="29" s="1"/>
  <c r="B109" i="50"/>
  <c r="R109" i="50" s="1"/>
  <c r="BF100" i="29"/>
  <c r="I99" i="48"/>
  <c r="J99" i="48"/>
  <c r="H99" i="48"/>
  <c r="K99" i="48" s="1"/>
  <c r="P99" i="48" s="1"/>
  <c r="U98" i="48"/>
  <c r="AT100" i="29"/>
  <c r="CJ99" i="29"/>
  <c r="DK99" i="29"/>
  <c r="DP99" i="29"/>
  <c r="O123" i="50"/>
  <c r="A124" i="50"/>
  <c r="Y74" i="29"/>
  <c r="K83" i="50" s="1"/>
  <c r="AG73" i="29"/>
  <c r="M82" i="50"/>
  <c r="AK100" i="29"/>
  <c r="BO99" i="29"/>
  <c r="DF99" i="29"/>
  <c r="C100" i="48"/>
  <c r="Q99" i="48"/>
  <c r="E100" i="48"/>
  <c r="AA100" i="48"/>
  <c r="AB100" i="48" s="1"/>
  <c r="S99" i="48"/>
  <c r="T99" i="48" s="1"/>
  <c r="AJ100" i="29"/>
  <c r="AJ101" i="29" l="1"/>
  <c r="AK101" i="29"/>
  <c r="BL78" i="29"/>
  <c r="BK78" i="29"/>
  <c r="BJ78" i="29"/>
  <c r="CC126" i="29"/>
  <c r="CD126" i="29"/>
  <c r="BU77" i="29"/>
  <c r="BT77" i="29"/>
  <c r="BS77" i="29"/>
  <c r="BR78" i="29"/>
  <c r="DL79" i="29"/>
  <c r="DH79" i="29"/>
  <c r="BI79" i="29" s="1"/>
  <c r="DG80" i="29"/>
  <c r="CA127" i="29"/>
  <c r="DQ128" i="29"/>
  <c r="CM102" i="29"/>
  <c r="CN102" i="29"/>
  <c r="CL103" i="29"/>
  <c r="CK104" i="29"/>
  <c r="R95" i="48"/>
  <c r="M96" i="48"/>
  <c r="O96" i="48" s="1"/>
  <c r="CJ100" i="29"/>
  <c r="AT101" i="29"/>
  <c r="DK100" i="29"/>
  <c r="DP100" i="29"/>
  <c r="Q100" i="48"/>
  <c r="S100" i="48"/>
  <c r="T100" i="48" s="1"/>
  <c r="AA101" i="48"/>
  <c r="AB101" i="48" s="1"/>
  <c r="E101" i="48"/>
  <c r="C101" i="48"/>
  <c r="O124" i="50"/>
  <c r="A125" i="50"/>
  <c r="I100" i="48"/>
  <c r="K100" i="48"/>
  <c r="P100" i="48" s="1"/>
  <c r="J100" i="48"/>
  <c r="H100" i="48"/>
  <c r="U99" i="48"/>
  <c r="U100" i="48" s="1"/>
  <c r="V61" i="46"/>
  <c r="D61" i="46" s="1"/>
  <c r="T61" i="46"/>
  <c r="BO100" i="29"/>
  <c r="DF100" i="29"/>
  <c r="AB74" i="29"/>
  <c r="AS102" i="29"/>
  <c r="E102" i="29" s="1"/>
  <c r="AK102" i="29" s="1"/>
  <c r="BF101" i="29"/>
  <c r="B110" i="50"/>
  <c r="R110" i="50" s="1"/>
  <c r="G60" i="46"/>
  <c r="H60" i="46" s="1"/>
  <c r="J60" i="46" s="1"/>
  <c r="N60" i="46" s="1"/>
  <c r="CA128" i="29" l="1"/>
  <c r="DQ129" i="29"/>
  <c r="DL80" i="29"/>
  <c r="BR79" i="29"/>
  <c r="DH80" i="29"/>
  <c r="BI80" i="29" s="1"/>
  <c r="DG81" i="29"/>
  <c r="BK79" i="29"/>
  <c r="BJ79" i="29"/>
  <c r="BL79" i="29"/>
  <c r="CC127" i="29"/>
  <c r="CD127" i="29"/>
  <c r="BT78" i="29"/>
  <c r="BU78" i="29"/>
  <c r="BS78" i="29"/>
  <c r="AJ102" i="29"/>
  <c r="CK105" i="29"/>
  <c r="CL104" i="29"/>
  <c r="CM103" i="29"/>
  <c r="CN103" i="29"/>
  <c r="M97" i="48"/>
  <c r="O97" i="48"/>
  <c r="R96" i="48"/>
  <c r="G61" i="46"/>
  <c r="H61" i="46" s="1"/>
  <c r="J61" i="46" s="1"/>
  <c r="N61" i="46" s="1"/>
  <c r="BO101" i="29"/>
  <c r="DF101" i="29"/>
  <c r="M83" i="50"/>
  <c r="AG74" i="29"/>
  <c r="Y75" i="29"/>
  <c r="K84" i="50" s="1"/>
  <c r="E102" i="48"/>
  <c r="C102" i="48"/>
  <c r="AA102" i="48"/>
  <c r="AB102" i="48" s="1"/>
  <c r="S101" i="48"/>
  <c r="T101" i="48" s="1"/>
  <c r="Q101" i="48"/>
  <c r="U61" i="46"/>
  <c r="K101" i="48"/>
  <c r="P101" i="48" s="1"/>
  <c r="I101" i="48"/>
  <c r="J101" i="48"/>
  <c r="H101" i="48"/>
  <c r="CJ101" i="29"/>
  <c r="AT102" i="29"/>
  <c r="DK101" i="29"/>
  <c r="DP101" i="29"/>
  <c r="U101" i="48"/>
  <c r="AS103" i="29"/>
  <c r="E103" i="29" s="1"/>
  <c r="B111" i="50"/>
  <c r="R111" i="50" s="1"/>
  <c r="BF102" i="29"/>
  <c r="A126" i="50"/>
  <c r="O125" i="50"/>
  <c r="AJ103" i="29" l="1"/>
  <c r="BS79" i="29"/>
  <c r="BU79" i="29"/>
  <c r="BT79" i="29"/>
  <c r="DH81" i="29"/>
  <c r="BI81" i="29" s="1"/>
  <c r="DG82" i="29"/>
  <c r="CA129" i="29"/>
  <c r="DQ130" i="29"/>
  <c r="BR80" i="29"/>
  <c r="DL81" i="29"/>
  <c r="AB75" i="29"/>
  <c r="M84" i="50" s="1"/>
  <c r="BK80" i="29"/>
  <c r="BJ80" i="29"/>
  <c r="BL80" i="29"/>
  <c r="CD128" i="29"/>
  <c r="CC128" i="29"/>
  <c r="CN104" i="29"/>
  <c r="CM104" i="29"/>
  <c r="CL105" i="29"/>
  <c r="CK106" i="29"/>
  <c r="CJ102" i="29"/>
  <c r="AT103" i="29"/>
  <c r="DK102" i="29"/>
  <c r="DP102" i="29"/>
  <c r="R97" i="48"/>
  <c r="M98" i="48"/>
  <c r="O98" i="48"/>
  <c r="C103" i="48"/>
  <c r="Q102" i="48"/>
  <c r="E103" i="48"/>
  <c r="AA103" i="48"/>
  <c r="AB103" i="48" s="1"/>
  <c r="S102" i="48"/>
  <c r="T102" i="48" s="1"/>
  <c r="O126" i="50"/>
  <c r="A127" i="50"/>
  <c r="BO102" i="29"/>
  <c r="DF102" i="29"/>
  <c r="AS104" i="29"/>
  <c r="E104" i="29" s="1"/>
  <c r="B112" i="50"/>
  <c r="R112" i="50" s="1"/>
  <c r="BF103" i="29"/>
  <c r="V62" i="46"/>
  <c r="D62" i="46" s="1"/>
  <c r="T62" i="46" s="1"/>
  <c r="H102" i="48"/>
  <c r="I102" i="48"/>
  <c r="K102" i="48"/>
  <c r="P102" i="48" s="1"/>
  <c r="J102" i="48"/>
  <c r="AK103" i="29"/>
  <c r="AG75" i="29" l="1"/>
  <c r="Y76" i="29"/>
  <c r="K85" i="50" s="1"/>
  <c r="BU80" i="29"/>
  <c r="BT80" i="29"/>
  <c r="BS80" i="29"/>
  <c r="CC129" i="29"/>
  <c r="CD129" i="29"/>
  <c r="BJ81" i="29"/>
  <c r="BK81" i="29"/>
  <c r="BL81" i="29"/>
  <c r="CA130" i="29"/>
  <c r="DQ131" i="29"/>
  <c r="DL82" i="29"/>
  <c r="BR81" i="29"/>
  <c r="DG83" i="29"/>
  <c r="DH82" i="29"/>
  <c r="BI82" i="29" s="1"/>
  <c r="AK104" i="29"/>
  <c r="CL106" i="29"/>
  <c r="CK107" i="29"/>
  <c r="CN105" i="29"/>
  <c r="CM105" i="29"/>
  <c r="U62" i="46"/>
  <c r="AS105" i="29"/>
  <c r="E105" i="29" s="1"/>
  <c r="B113" i="50"/>
  <c r="R113" i="50" s="1"/>
  <c r="BF104" i="29"/>
  <c r="O127" i="50"/>
  <c r="A128" i="50"/>
  <c r="AJ104" i="29"/>
  <c r="H103" i="48"/>
  <c r="K103" i="48"/>
  <c r="P103" i="48" s="1"/>
  <c r="I103" i="48"/>
  <c r="J103" i="48"/>
  <c r="CJ103" i="29"/>
  <c r="AT104" i="29"/>
  <c r="DK103" i="29"/>
  <c r="DP103" i="29"/>
  <c r="M99" i="48"/>
  <c r="R98" i="48"/>
  <c r="O99" i="48"/>
  <c r="BO103" i="29"/>
  <c r="DF103" i="29"/>
  <c r="E104" i="48"/>
  <c r="C104" i="48"/>
  <c r="Q103" i="48"/>
  <c r="AA104" i="48"/>
  <c r="AB104" i="48" s="1"/>
  <c r="S103" i="48"/>
  <c r="T103" i="48" s="1"/>
  <c r="U102" i="48"/>
  <c r="AB76" i="29" l="1"/>
  <c r="M85" i="50" s="1"/>
  <c r="BS81" i="29"/>
  <c r="BT81" i="29"/>
  <c r="BU81" i="29"/>
  <c r="BR82" i="29"/>
  <c r="DL83" i="29"/>
  <c r="BJ82" i="29"/>
  <c r="BK82" i="29"/>
  <c r="BL82" i="29"/>
  <c r="DQ132" i="29"/>
  <c r="CA131" i="29"/>
  <c r="AK105" i="29"/>
  <c r="DG84" i="29"/>
  <c r="DH83" i="29"/>
  <c r="BI83" i="29" s="1"/>
  <c r="CC130" i="29"/>
  <c r="CD130" i="29"/>
  <c r="AJ105" i="29"/>
  <c r="CL107" i="29"/>
  <c r="CK108" i="29"/>
  <c r="CN106" i="29"/>
  <c r="CM106" i="29"/>
  <c r="M100" i="48"/>
  <c r="O100" i="48"/>
  <c r="R99" i="48"/>
  <c r="U103" i="48"/>
  <c r="T63" i="46"/>
  <c r="V63" i="46"/>
  <c r="D63" i="46" s="1"/>
  <c r="J104" i="48"/>
  <c r="I104" i="48"/>
  <c r="H104" i="48"/>
  <c r="K104" i="48"/>
  <c r="P104" i="48" s="1"/>
  <c r="AT105" i="29"/>
  <c r="CJ104" i="29"/>
  <c r="DK104" i="29"/>
  <c r="DP104" i="29"/>
  <c r="BO104" i="29"/>
  <c r="DF104" i="29"/>
  <c r="Y77" i="29"/>
  <c r="K86" i="50" s="1"/>
  <c r="AG76" i="29"/>
  <c r="S104" i="48"/>
  <c r="T104" i="48" s="1"/>
  <c r="C105" i="48"/>
  <c r="E105" i="48"/>
  <c r="AA105" i="48"/>
  <c r="AB105" i="48" s="1"/>
  <c r="Q104" i="48"/>
  <c r="O128" i="50"/>
  <c r="A129" i="50"/>
  <c r="AS106" i="29"/>
  <c r="E106" i="29" s="1"/>
  <c r="B114" i="50"/>
  <c r="R114" i="50" s="1"/>
  <c r="BF105" i="29"/>
  <c r="G62" i="46"/>
  <c r="H62" i="46" s="1"/>
  <c r="J62" i="46" s="1"/>
  <c r="N62" i="46" s="1"/>
  <c r="CC131" i="29" l="1"/>
  <c r="CD131" i="29"/>
  <c r="DG85" i="29"/>
  <c r="DH84" i="29"/>
  <c r="BI84" i="29" s="1"/>
  <c r="BS82" i="29"/>
  <c r="BT82" i="29"/>
  <c r="BU82" i="29"/>
  <c r="BJ83" i="29"/>
  <c r="BK83" i="29"/>
  <c r="BL83" i="29"/>
  <c r="DQ133" i="29"/>
  <c r="CA132" i="29"/>
  <c r="DL84" i="29"/>
  <c r="BR83" i="29"/>
  <c r="CL108" i="29"/>
  <c r="CK109" i="29"/>
  <c r="CM107" i="29"/>
  <c r="CN107" i="29"/>
  <c r="S105" i="48"/>
  <c r="T105" i="48" s="1"/>
  <c r="C106" i="48"/>
  <c r="AA106" i="48"/>
  <c r="AB106" i="48" s="1"/>
  <c r="E106" i="48"/>
  <c r="Q105" i="48"/>
  <c r="AS107" i="29"/>
  <c r="E107" i="29" s="1"/>
  <c r="B115" i="50"/>
  <c r="R115" i="50" s="1"/>
  <c r="BF106" i="29"/>
  <c r="CJ105" i="29"/>
  <c r="AT106" i="29"/>
  <c r="DK105" i="29"/>
  <c r="DP105" i="29"/>
  <c r="BO105" i="29"/>
  <c r="DF105" i="29"/>
  <c r="U63" i="46"/>
  <c r="AK106" i="29"/>
  <c r="M101" i="48"/>
  <c r="O101" i="48"/>
  <c r="R100" i="48"/>
  <c r="H105" i="48"/>
  <c r="I105" i="48"/>
  <c r="K105" i="48"/>
  <c r="P105" i="48" s="1"/>
  <c r="J105" i="48"/>
  <c r="A130" i="50"/>
  <c r="O129" i="50"/>
  <c r="AJ106" i="29"/>
  <c r="AB77" i="29"/>
  <c r="U104" i="48"/>
  <c r="U105" i="48" s="1"/>
  <c r="AJ107" i="29" l="1"/>
  <c r="CC132" i="29"/>
  <c r="CD132" i="29"/>
  <c r="BK84" i="29"/>
  <c r="BL84" i="29"/>
  <c r="BJ84" i="29"/>
  <c r="DQ134" i="29"/>
  <c r="CA133" i="29"/>
  <c r="DG86" i="29"/>
  <c r="DH85" i="29"/>
  <c r="BI85" i="29" s="1"/>
  <c r="BT83" i="29"/>
  <c r="BU83" i="29"/>
  <c r="BS83" i="29"/>
  <c r="DL85" i="29"/>
  <c r="BR84" i="29"/>
  <c r="AK107" i="29"/>
  <c r="CK110" i="29"/>
  <c r="CL109" i="29"/>
  <c r="CM108" i="29"/>
  <c r="CN108" i="29"/>
  <c r="M102" i="48"/>
  <c r="O102" i="48"/>
  <c r="R101" i="48"/>
  <c r="BO106" i="29"/>
  <c r="DF106" i="29"/>
  <c r="Q106" i="48"/>
  <c r="S106" i="48"/>
  <c r="T106" i="48" s="1"/>
  <c r="C107" i="48"/>
  <c r="AA107" i="48"/>
  <c r="AB107" i="48" s="1"/>
  <c r="E107" i="48"/>
  <c r="U106" i="48"/>
  <c r="O130" i="50"/>
  <c r="A131" i="50"/>
  <c r="T64" i="46"/>
  <c r="V64" i="46"/>
  <c r="D64" i="46" s="1"/>
  <c r="G63" i="46"/>
  <c r="H63" i="46" s="1"/>
  <c r="J63" i="46" s="1"/>
  <c r="N63" i="46" s="1"/>
  <c r="AG77" i="29"/>
  <c r="M86" i="50"/>
  <c r="Y78" i="29"/>
  <c r="K87" i="50" s="1"/>
  <c r="CJ106" i="29"/>
  <c r="AT107" i="29"/>
  <c r="DK106" i="29"/>
  <c r="DP106" i="29"/>
  <c r="AS108" i="29"/>
  <c r="E108" i="29" s="1"/>
  <c r="AJ108" i="29" s="1"/>
  <c r="B116" i="50"/>
  <c r="R116" i="50" s="1"/>
  <c r="BF107" i="29"/>
  <c r="J106" i="48"/>
  <c r="I106" i="48"/>
  <c r="H106" i="48"/>
  <c r="K106" i="48" s="1"/>
  <c r="P106" i="48" s="1"/>
  <c r="DQ135" i="29" l="1"/>
  <c r="CA134" i="29"/>
  <c r="DH86" i="29"/>
  <c r="BI86" i="29" s="1"/>
  <c r="DG87" i="29"/>
  <c r="CD133" i="29"/>
  <c r="CC133" i="29"/>
  <c r="BU84" i="29"/>
  <c r="BS84" i="29"/>
  <c r="BT84" i="29"/>
  <c r="DL86" i="29"/>
  <c r="BR85" i="29"/>
  <c r="BK85" i="29"/>
  <c r="BJ85" i="29"/>
  <c r="BL85" i="29"/>
  <c r="CM109" i="29"/>
  <c r="CN109" i="29"/>
  <c r="CL110" i="29"/>
  <c r="CK111" i="29"/>
  <c r="R102" i="48"/>
  <c r="M103" i="48"/>
  <c r="O103" i="48"/>
  <c r="G64" i="46"/>
  <c r="H64" i="46" s="1"/>
  <c r="J64" i="46" s="1"/>
  <c r="N64" i="46" s="1"/>
  <c r="J107" i="48"/>
  <c r="I107" i="48"/>
  <c r="H107" i="48"/>
  <c r="K107" i="48" s="1"/>
  <c r="P107" i="48" s="1"/>
  <c r="AK108" i="29"/>
  <c r="BO107" i="29"/>
  <c r="DF107" i="29"/>
  <c r="U64" i="46"/>
  <c r="O131" i="50"/>
  <c r="A132" i="50"/>
  <c r="AS109" i="29"/>
  <c r="E109" i="29" s="1"/>
  <c r="AJ109" i="29" s="1"/>
  <c r="BF108" i="29"/>
  <c r="B117" i="50"/>
  <c r="R117" i="50" s="1"/>
  <c r="U107" i="48"/>
  <c r="AT108" i="29"/>
  <c r="CJ107" i="29"/>
  <c r="DK107" i="29"/>
  <c r="DP107" i="29"/>
  <c r="AB78" i="29"/>
  <c r="E108" i="48"/>
  <c r="AA108" i="48"/>
  <c r="AB108" i="48" s="1"/>
  <c r="Q107" i="48"/>
  <c r="S107" i="48"/>
  <c r="T107" i="48" s="1"/>
  <c r="C108" i="48"/>
  <c r="BR86" i="29" l="1"/>
  <c r="DL87" i="29"/>
  <c r="CD134" i="29"/>
  <c r="CC134" i="29"/>
  <c r="DH87" i="29"/>
  <c r="BI87" i="29" s="1"/>
  <c r="DG88" i="29"/>
  <c r="BU85" i="29"/>
  <c r="BS85" i="29"/>
  <c r="BT85" i="29"/>
  <c r="BJ86" i="29"/>
  <c r="BK86" i="29"/>
  <c r="BL86" i="29"/>
  <c r="CA135" i="29"/>
  <c r="DQ136" i="29"/>
  <c r="CK112" i="29"/>
  <c r="CL111" i="29"/>
  <c r="CN110" i="29"/>
  <c r="CM110" i="29"/>
  <c r="M87" i="50"/>
  <c r="AG78" i="29"/>
  <c r="Y79" i="29"/>
  <c r="K88" i="50" s="1"/>
  <c r="AT109" i="29"/>
  <c r="CJ108" i="29"/>
  <c r="DK108" i="29"/>
  <c r="DP108" i="29"/>
  <c r="I108" i="48"/>
  <c r="H108" i="48"/>
  <c r="K108" i="48" s="1"/>
  <c r="P108" i="48" s="1"/>
  <c r="J108" i="48"/>
  <c r="A133" i="50"/>
  <c r="O132" i="50"/>
  <c r="Q108" i="48"/>
  <c r="C109" i="48"/>
  <c r="AA109" i="48"/>
  <c r="AB109" i="48" s="1"/>
  <c r="S108" i="48"/>
  <c r="T108" i="48" s="1"/>
  <c r="E109" i="48"/>
  <c r="AK109" i="29"/>
  <c r="O104" i="48"/>
  <c r="R103" i="48"/>
  <c r="M104" i="48"/>
  <c r="AS110" i="29"/>
  <c r="E110" i="29" s="1"/>
  <c r="B118" i="50"/>
  <c r="R118" i="50" s="1"/>
  <c r="BF109" i="29"/>
  <c r="BO108" i="29"/>
  <c r="DF108" i="29"/>
  <c r="V65" i="46"/>
  <c r="D65" i="46" s="1"/>
  <c r="T65" i="46"/>
  <c r="AB79" i="29" l="1"/>
  <c r="DL88" i="29"/>
  <c r="BR87" i="29"/>
  <c r="DQ137" i="29"/>
  <c r="CA136" i="29"/>
  <c r="DH88" i="29"/>
  <c r="BI88" i="29" s="1"/>
  <c r="DG89" i="29"/>
  <c r="CC135" i="29"/>
  <c r="CD135" i="29"/>
  <c r="BJ87" i="29"/>
  <c r="BK87" i="29"/>
  <c r="BL87" i="29"/>
  <c r="BS86" i="29"/>
  <c r="BT86" i="29"/>
  <c r="BU86" i="29"/>
  <c r="CM111" i="29"/>
  <c r="CN111" i="29"/>
  <c r="CK113" i="29"/>
  <c r="CL112" i="29"/>
  <c r="R104" i="48"/>
  <c r="M105" i="48"/>
  <c r="O105" i="48" s="1"/>
  <c r="U65" i="46"/>
  <c r="AS111" i="29"/>
  <c r="E111" i="29" s="1"/>
  <c r="B119" i="50"/>
  <c r="R119" i="50" s="1"/>
  <c r="BF110" i="29"/>
  <c r="AK110" i="29"/>
  <c r="A134" i="50"/>
  <c r="O133" i="50"/>
  <c r="AT110" i="29"/>
  <c r="CJ109" i="29"/>
  <c r="DK109" i="29"/>
  <c r="DP109" i="29"/>
  <c r="U108" i="48"/>
  <c r="S109" i="48"/>
  <c r="T109" i="48" s="1"/>
  <c r="C110" i="48"/>
  <c r="AA110" i="48"/>
  <c r="AB110" i="48" s="1"/>
  <c r="E110" i="48"/>
  <c r="Q109" i="48"/>
  <c r="Y80" i="29"/>
  <c r="K89" i="50" s="1"/>
  <c r="M88" i="50"/>
  <c r="AG79" i="29"/>
  <c r="AJ110" i="29"/>
  <c r="BO109" i="29"/>
  <c r="DF109" i="29"/>
  <c r="I109" i="48"/>
  <c r="H109" i="48"/>
  <c r="K109" i="48" s="1"/>
  <c r="P109" i="48" s="1"/>
  <c r="J109" i="48"/>
  <c r="CD136" i="29" l="1"/>
  <c r="CC136" i="29"/>
  <c r="DH89" i="29"/>
  <c r="BI89" i="29" s="1"/>
  <c r="DG90" i="29"/>
  <c r="BS87" i="29"/>
  <c r="BT87" i="29"/>
  <c r="BU87" i="29"/>
  <c r="DQ138" i="29"/>
  <c r="CA137" i="29"/>
  <c r="BK88" i="29"/>
  <c r="BJ88" i="29"/>
  <c r="BL88" i="29"/>
  <c r="BR88" i="29"/>
  <c r="DL89" i="29"/>
  <c r="AB80" i="29"/>
  <c r="Y81" i="29" s="1"/>
  <c r="K90" i="50" s="1"/>
  <c r="CM112" i="29"/>
  <c r="CN112" i="29"/>
  <c r="CK114" i="29"/>
  <c r="CL113" i="29"/>
  <c r="M106" i="48"/>
  <c r="O106" i="48"/>
  <c r="R105" i="48"/>
  <c r="AB111" i="48"/>
  <c r="Q110" i="48"/>
  <c r="E111" i="48"/>
  <c r="C111" i="48"/>
  <c r="AA111" i="48"/>
  <c r="S110" i="48"/>
  <c r="T110" i="48" s="1"/>
  <c r="A135" i="50"/>
  <c r="O134" i="50"/>
  <c r="AK111" i="29"/>
  <c r="V66" i="46"/>
  <c r="D66" i="46" s="1"/>
  <c r="T66" i="46" s="1"/>
  <c r="G65" i="46"/>
  <c r="H65" i="46" s="1"/>
  <c r="J65" i="46" s="1"/>
  <c r="N65" i="46" s="1"/>
  <c r="AS112" i="29"/>
  <c r="E112" i="29" s="1"/>
  <c r="B120" i="50"/>
  <c r="R120" i="50" s="1"/>
  <c r="BF111" i="29"/>
  <c r="AJ111" i="29"/>
  <c r="J110" i="48"/>
  <c r="I110" i="48"/>
  <c r="H110" i="48"/>
  <c r="K110" i="48" s="1"/>
  <c r="P110" i="48" s="1"/>
  <c r="U109" i="48"/>
  <c r="CJ110" i="29"/>
  <c r="AT111" i="29"/>
  <c r="DK110" i="29"/>
  <c r="DP110" i="29"/>
  <c r="BO110" i="29"/>
  <c r="DF110" i="29"/>
  <c r="M89" i="50" l="1"/>
  <c r="AJ112" i="29"/>
  <c r="AK112" i="29"/>
  <c r="AG80" i="29"/>
  <c r="DL90" i="29"/>
  <c r="BR89" i="29"/>
  <c r="DQ139" i="29"/>
  <c r="CA138" i="29"/>
  <c r="DH90" i="29"/>
  <c r="BI90" i="29" s="1"/>
  <c r="DG91" i="29"/>
  <c r="BJ89" i="29"/>
  <c r="BK89" i="29"/>
  <c r="BL89" i="29"/>
  <c r="AB81" i="29"/>
  <c r="AG81" i="29" s="1"/>
  <c r="BU88" i="29"/>
  <c r="BT88" i="29"/>
  <c r="BS88" i="29"/>
  <c r="CC137" i="29"/>
  <c r="CD137" i="29"/>
  <c r="CN113" i="29"/>
  <c r="CM113" i="29"/>
  <c r="CL114" i="29"/>
  <c r="CK115" i="29"/>
  <c r="U66" i="46"/>
  <c r="AB112" i="48"/>
  <c r="BO111" i="29"/>
  <c r="DF111" i="29"/>
  <c r="M90" i="50"/>
  <c r="R106" i="48"/>
  <c r="M107" i="48"/>
  <c r="O107" i="48"/>
  <c r="A136" i="50"/>
  <c r="O135" i="50"/>
  <c r="AA112" i="48"/>
  <c r="C112" i="48"/>
  <c r="E112" i="48"/>
  <c r="Q111" i="48"/>
  <c r="S111" i="48"/>
  <c r="T111" i="48" s="1"/>
  <c r="CJ111" i="29"/>
  <c r="AT112" i="29"/>
  <c r="DK111" i="29"/>
  <c r="DP111" i="29"/>
  <c r="U110" i="48"/>
  <c r="U111" i="48" s="1"/>
  <c r="AS113" i="29"/>
  <c r="E113" i="29" s="1"/>
  <c r="B121" i="50"/>
  <c r="R121" i="50" s="1"/>
  <c r="BF112" i="29"/>
  <c r="J111" i="48"/>
  <c r="H111" i="48"/>
  <c r="I111" i="48"/>
  <c r="K111" i="48"/>
  <c r="P111" i="48" s="1"/>
  <c r="AJ113" i="29" l="1"/>
  <c r="Y82" i="29"/>
  <c r="K91" i="50" s="1"/>
  <c r="AK113" i="29"/>
  <c r="DH91" i="29"/>
  <c r="BI91" i="29" s="1"/>
  <c r="DG92" i="29"/>
  <c r="BT89" i="29"/>
  <c r="BS89" i="29"/>
  <c r="BU89" i="29"/>
  <c r="CC138" i="29"/>
  <c r="CD138" i="29"/>
  <c r="DQ140" i="29"/>
  <c r="CA139" i="29"/>
  <c r="BK90" i="29"/>
  <c r="BL90" i="29"/>
  <c r="BJ90" i="29"/>
  <c r="DL91" i="29"/>
  <c r="BR90" i="29"/>
  <c r="CL115" i="29"/>
  <c r="CK116" i="29"/>
  <c r="CN114" i="29"/>
  <c r="CM114" i="29"/>
  <c r="BO112" i="29"/>
  <c r="DF112" i="29"/>
  <c r="K112" i="48"/>
  <c r="P112" i="48" s="1"/>
  <c r="J112" i="48"/>
  <c r="I112" i="48"/>
  <c r="H112" i="48"/>
  <c r="U112" i="48"/>
  <c r="Q112" i="48"/>
  <c r="S112" i="48"/>
  <c r="T112" i="48" s="1"/>
  <c r="AA113" i="48"/>
  <c r="AB113" i="48" s="1"/>
  <c r="C113" i="48"/>
  <c r="E113" i="48"/>
  <c r="O136" i="50"/>
  <c r="A137" i="50"/>
  <c r="M108" i="48"/>
  <c r="O108" i="48"/>
  <c r="R107" i="48"/>
  <c r="U67" i="46"/>
  <c r="T67" i="46"/>
  <c r="G67" i="46" s="1"/>
  <c r="H67" i="46" s="1"/>
  <c r="J67" i="46" s="1"/>
  <c r="N67" i="46" s="1"/>
  <c r="V67" i="46"/>
  <c r="D67" i="46" s="1"/>
  <c r="CJ112" i="29"/>
  <c r="AT113" i="29"/>
  <c r="DK112" i="29"/>
  <c r="DP112" i="29"/>
  <c r="AS114" i="29"/>
  <c r="E114" i="29" s="1"/>
  <c r="B122" i="50"/>
  <c r="R122" i="50" s="1"/>
  <c r="BF113" i="29"/>
  <c r="G66" i="46"/>
  <c r="H66" i="46" s="1"/>
  <c r="J66" i="46" s="1"/>
  <c r="N66" i="46" s="1"/>
  <c r="AB82" i="29" l="1"/>
  <c r="CA140" i="29"/>
  <c r="DQ141" i="29"/>
  <c r="BT90" i="29"/>
  <c r="BU90" i="29"/>
  <c r="BS90" i="29"/>
  <c r="DH92" i="29"/>
  <c r="BI92" i="29" s="1"/>
  <c r="DG93" i="29"/>
  <c r="BR91" i="29"/>
  <c r="DL92" i="29"/>
  <c r="CC139" i="29"/>
  <c r="CD139" i="29"/>
  <c r="BJ91" i="29"/>
  <c r="BL91" i="29"/>
  <c r="BK91" i="29"/>
  <c r="CK117" i="29"/>
  <c r="CL116" i="29"/>
  <c r="CM115" i="29"/>
  <c r="CN115" i="29"/>
  <c r="R108" i="48"/>
  <c r="M109" i="48"/>
  <c r="O109" i="48" s="1"/>
  <c r="A138" i="50"/>
  <c r="O137" i="50"/>
  <c r="J113" i="48"/>
  <c r="H113" i="48"/>
  <c r="K113" i="48" s="1"/>
  <c r="P113" i="48" s="1"/>
  <c r="I113" i="48"/>
  <c r="AS115" i="29"/>
  <c r="E115" i="29" s="1"/>
  <c r="B123" i="50"/>
  <c r="R123" i="50" s="1"/>
  <c r="BF114" i="29"/>
  <c r="AT114" i="29"/>
  <c r="CJ113" i="29"/>
  <c r="DK113" i="29"/>
  <c r="DP113" i="29"/>
  <c r="E114" i="48"/>
  <c r="AA114" i="48"/>
  <c r="AB114" i="48" s="1"/>
  <c r="S113" i="48"/>
  <c r="T113" i="48" s="1"/>
  <c r="Q113" i="48"/>
  <c r="C114" i="48"/>
  <c r="AG82" i="29"/>
  <c r="M91" i="50"/>
  <c r="Y83" i="29"/>
  <c r="K92" i="50" s="1"/>
  <c r="AJ114" i="29"/>
  <c r="BO113" i="29"/>
  <c r="DF113" i="29"/>
  <c r="V68" i="46"/>
  <c r="D68" i="46" s="1"/>
  <c r="T68" i="46"/>
  <c r="U68" i="46"/>
  <c r="AK114" i="29"/>
  <c r="AK115" i="29" l="1"/>
  <c r="AJ115" i="29"/>
  <c r="BS91" i="29"/>
  <c r="BT91" i="29"/>
  <c r="BU91" i="29"/>
  <c r="DG94" i="29"/>
  <c r="DH93" i="29"/>
  <c r="BI93" i="29" s="1"/>
  <c r="BJ92" i="29"/>
  <c r="BL92" i="29"/>
  <c r="BK92" i="29"/>
  <c r="CA141" i="29"/>
  <c r="DQ142" i="29"/>
  <c r="BR92" i="29"/>
  <c r="DL93" i="29"/>
  <c r="CC140" i="29"/>
  <c r="CD140" i="29"/>
  <c r="CN116" i="29"/>
  <c r="CM116" i="29"/>
  <c r="CL117" i="29"/>
  <c r="CK118" i="29"/>
  <c r="R109" i="48"/>
  <c r="M110" i="48"/>
  <c r="O110" i="48" s="1"/>
  <c r="BO114" i="29"/>
  <c r="DF114" i="29"/>
  <c r="A139" i="50"/>
  <c r="O138" i="50"/>
  <c r="V69" i="46"/>
  <c r="D69" i="46" s="1"/>
  <c r="T69" i="46"/>
  <c r="G69" i="46" s="1"/>
  <c r="H69" i="46" s="1"/>
  <c r="J69" i="46" s="1"/>
  <c r="N69" i="46" s="1"/>
  <c r="U69" i="46"/>
  <c r="U113" i="48"/>
  <c r="AS116" i="29"/>
  <c r="E116" i="29" s="1"/>
  <c r="AJ116" i="29" s="1"/>
  <c r="B124" i="50"/>
  <c r="R124" i="50" s="1"/>
  <c r="BF115" i="29"/>
  <c r="G68" i="46"/>
  <c r="H68" i="46" s="1"/>
  <c r="J68" i="46" s="1"/>
  <c r="N68" i="46" s="1"/>
  <c r="AB83" i="29"/>
  <c r="Q114" i="48"/>
  <c r="C115" i="48"/>
  <c r="E115" i="48"/>
  <c r="AA115" i="48"/>
  <c r="AB115" i="48" s="1"/>
  <c r="S114" i="48"/>
  <c r="T114" i="48" s="1"/>
  <c r="I114" i="48"/>
  <c r="H114" i="48"/>
  <c r="J114" i="48"/>
  <c r="K114" i="48"/>
  <c r="P114" i="48" s="1"/>
  <c r="CJ114" i="29"/>
  <c r="AT115" i="29"/>
  <c r="DK114" i="29"/>
  <c r="DP114" i="29"/>
  <c r="CA142" i="29" l="1"/>
  <c r="DQ143" i="29"/>
  <c r="DL94" i="29"/>
  <c r="BR93" i="29"/>
  <c r="DG95" i="29"/>
  <c r="DH94" i="29"/>
  <c r="BI94" i="29" s="1"/>
  <c r="BU92" i="29"/>
  <c r="BT92" i="29"/>
  <c r="BS92" i="29"/>
  <c r="CC141" i="29"/>
  <c r="CD141" i="29"/>
  <c r="BJ93" i="29"/>
  <c r="BL93" i="29"/>
  <c r="BK93" i="29"/>
  <c r="CK119" i="29"/>
  <c r="CL118" i="29"/>
  <c r="CN117" i="29"/>
  <c r="CM117" i="29"/>
  <c r="R110" i="48"/>
  <c r="M111" i="48"/>
  <c r="O111" i="48" s="1"/>
  <c r="AG83" i="29"/>
  <c r="M92" i="50"/>
  <c r="Y84" i="29"/>
  <c r="K93" i="50" s="1"/>
  <c r="AS117" i="29"/>
  <c r="E117" i="29" s="1"/>
  <c r="BF116" i="29"/>
  <c r="B125" i="50"/>
  <c r="R125" i="50" s="1"/>
  <c r="CJ115" i="29"/>
  <c r="AT116" i="29"/>
  <c r="DK115" i="29"/>
  <c r="DP115" i="29"/>
  <c r="I115" i="48"/>
  <c r="H115" i="48"/>
  <c r="K115" i="48" s="1"/>
  <c r="P115" i="48" s="1"/>
  <c r="J115" i="48"/>
  <c r="U114" i="48"/>
  <c r="U115" i="48" s="1"/>
  <c r="Q115" i="48"/>
  <c r="E116" i="48"/>
  <c r="C116" i="48"/>
  <c r="AA116" i="48"/>
  <c r="AB116" i="48" s="1"/>
  <c r="S115" i="48"/>
  <c r="T115" i="48" s="1"/>
  <c r="BO115" i="29"/>
  <c r="DF115" i="29"/>
  <c r="V70" i="46"/>
  <c r="D70" i="46" s="1"/>
  <c r="T70" i="46"/>
  <c r="U70" i="46"/>
  <c r="O139" i="50"/>
  <c r="A140" i="50"/>
  <c r="AK116" i="29"/>
  <c r="AK117" i="29" l="1"/>
  <c r="BJ94" i="29"/>
  <c r="BK94" i="29"/>
  <c r="BL94" i="29"/>
  <c r="CA143" i="29"/>
  <c r="DQ144" i="29"/>
  <c r="BS93" i="29"/>
  <c r="BU93" i="29"/>
  <c r="BT93" i="29"/>
  <c r="DL95" i="29"/>
  <c r="BR94" i="29"/>
  <c r="DH95" i="29"/>
  <c r="BI95" i="29" s="1"/>
  <c r="DG96" i="29"/>
  <c r="CC142" i="29"/>
  <c r="CD142" i="29"/>
  <c r="CM118" i="29"/>
  <c r="CN118" i="29"/>
  <c r="CL119" i="29"/>
  <c r="CK120" i="29"/>
  <c r="M112" i="48"/>
  <c r="O112" i="48"/>
  <c r="R111" i="48"/>
  <c r="S116" i="48"/>
  <c r="T116" i="48" s="1"/>
  <c r="Q116" i="48"/>
  <c r="C117" i="48"/>
  <c r="E117" i="48"/>
  <c r="AA117" i="48"/>
  <c r="AB117" i="48" s="1"/>
  <c r="CJ116" i="29"/>
  <c r="AT117" i="29"/>
  <c r="DK116" i="29"/>
  <c r="DP116" i="29"/>
  <c r="U71" i="46"/>
  <c r="T71" i="46"/>
  <c r="G71" i="46" s="1"/>
  <c r="H71" i="46" s="1"/>
  <c r="J71" i="46" s="1"/>
  <c r="N71" i="46" s="1"/>
  <c r="V71" i="46"/>
  <c r="D71" i="46" s="1"/>
  <c r="U116" i="48"/>
  <c r="BO116" i="29"/>
  <c r="DF116" i="29"/>
  <c r="AS118" i="29"/>
  <c r="E118" i="29" s="1"/>
  <c r="BF117" i="29"/>
  <c r="B126" i="50"/>
  <c r="R126" i="50" s="1"/>
  <c r="J116" i="48"/>
  <c r="H116" i="48"/>
  <c r="K116" i="48" s="1"/>
  <c r="P116" i="48" s="1"/>
  <c r="I116" i="48"/>
  <c r="AB84" i="29"/>
  <c r="G70" i="46"/>
  <c r="H70" i="46" s="1"/>
  <c r="J70" i="46" s="1"/>
  <c r="N70" i="46" s="1"/>
  <c r="A141" i="50"/>
  <c r="O140" i="50"/>
  <c r="AJ117" i="29"/>
  <c r="AJ118" i="29" s="1"/>
  <c r="BT94" i="29" l="1"/>
  <c r="BS94" i="29"/>
  <c r="BU94" i="29"/>
  <c r="DG97" i="29"/>
  <c r="DH96" i="29"/>
  <c r="BI96" i="29" s="1"/>
  <c r="CC143" i="29"/>
  <c r="CD143" i="29"/>
  <c r="BJ95" i="29"/>
  <c r="BK95" i="29"/>
  <c r="BL95" i="29"/>
  <c r="BR95" i="29"/>
  <c r="DL96" i="29"/>
  <c r="DQ145" i="29"/>
  <c r="CA144" i="29"/>
  <c r="CK121" i="29"/>
  <c r="CL120" i="29"/>
  <c r="CM119" i="29"/>
  <c r="CN119" i="29"/>
  <c r="S117" i="48"/>
  <c r="T117" i="48" s="1"/>
  <c r="Q117" i="48"/>
  <c r="C118" i="48"/>
  <c r="E118" i="48"/>
  <c r="AA118" i="48"/>
  <c r="AB118" i="48" s="1"/>
  <c r="V72" i="46"/>
  <c r="D72" i="46" s="1"/>
  <c r="T72" i="46"/>
  <c r="U72" i="46"/>
  <c r="Y85" i="29"/>
  <c r="K94" i="50" s="1"/>
  <c r="M93" i="50"/>
  <c r="AG84" i="29"/>
  <c r="J117" i="48"/>
  <c r="I117" i="48"/>
  <c r="H117" i="48"/>
  <c r="K117" i="48"/>
  <c r="P117" i="48" s="1"/>
  <c r="BO117" i="29"/>
  <c r="DF117" i="29"/>
  <c r="AT118" i="29"/>
  <c r="CJ117" i="29"/>
  <c r="DK117" i="29"/>
  <c r="DP117" i="29"/>
  <c r="O113" i="48"/>
  <c r="R112" i="48"/>
  <c r="M113" i="48"/>
  <c r="AS119" i="29"/>
  <c r="E119" i="29" s="1"/>
  <c r="AJ119" i="29" s="1"/>
  <c r="BF118" i="29"/>
  <c r="B127" i="50"/>
  <c r="R127" i="50" s="1"/>
  <c r="A142" i="50"/>
  <c r="O141" i="50"/>
  <c r="AK118" i="29"/>
  <c r="U117" i="48"/>
  <c r="DQ146" i="29" l="1"/>
  <c r="CA145" i="29"/>
  <c r="BJ96" i="29"/>
  <c r="BL96" i="29"/>
  <c r="BK96" i="29"/>
  <c r="DL97" i="29"/>
  <c r="BR96" i="29"/>
  <c r="DG98" i="29"/>
  <c r="DH97" i="29"/>
  <c r="BI97" i="29" s="1"/>
  <c r="BT95" i="29"/>
  <c r="BS95" i="29"/>
  <c r="BU95" i="29"/>
  <c r="CD144" i="29"/>
  <c r="CC144" i="29"/>
  <c r="AK119" i="29"/>
  <c r="CM120" i="29"/>
  <c r="CN120" i="29"/>
  <c r="AB85" i="29"/>
  <c r="CK122" i="29"/>
  <c r="CL121" i="29"/>
  <c r="M114" i="48"/>
  <c r="O114" i="48"/>
  <c r="R113" i="48"/>
  <c r="V73" i="46"/>
  <c r="D73" i="46" s="1"/>
  <c r="T73" i="46"/>
  <c r="U73" i="46"/>
  <c r="J118" i="48"/>
  <c r="H118" i="48"/>
  <c r="I118" i="48"/>
  <c r="K118" i="48"/>
  <c r="P118" i="48" s="1"/>
  <c r="AT119" i="29"/>
  <c r="CJ118" i="29"/>
  <c r="DK118" i="29"/>
  <c r="DP118" i="29"/>
  <c r="BO118" i="29"/>
  <c r="DF118" i="29"/>
  <c r="G72" i="46"/>
  <c r="H72" i="46" s="1"/>
  <c r="J72" i="46" s="1"/>
  <c r="N72" i="46" s="1"/>
  <c r="S118" i="48"/>
  <c r="T118" i="48" s="1"/>
  <c r="Q118" i="48"/>
  <c r="E119" i="48"/>
  <c r="C119" i="48"/>
  <c r="AA119" i="48"/>
  <c r="AB119" i="48" s="1"/>
  <c r="AS120" i="29"/>
  <c r="E120" i="29" s="1"/>
  <c r="B128" i="50"/>
  <c r="R128" i="50" s="1"/>
  <c r="BF119" i="29"/>
  <c r="A143" i="50"/>
  <c r="O142" i="50"/>
  <c r="CC145" i="29" l="1"/>
  <c r="CD145" i="29"/>
  <c r="DH98" i="29"/>
  <c r="BI98" i="29" s="1"/>
  <c r="DG99" i="29"/>
  <c r="BT96" i="29"/>
  <c r="BS96" i="29"/>
  <c r="BU96" i="29"/>
  <c r="BR97" i="29"/>
  <c r="DL98" i="29"/>
  <c r="BJ97" i="29"/>
  <c r="BK97" i="29"/>
  <c r="BL97" i="29"/>
  <c r="DQ147" i="29"/>
  <c r="CA146" i="29"/>
  <c r="Y86" i="29"/>
  <c r="K95" i="50" s="1"/>
  <c r="M94" i="50"/>
  <c r="CL122" i="29"/>
  <c r="CK123" i="29"/>
  <c r="AG85" i="29"/>
  <c r="CM121" i="29"/>
  <c r="CN121" i="29"/>
  <c r="V74" i="46"/>
  <c r="D74" i="46" s="1"/>
  <c r="U74" i="46"/>
  <c r="T74" i="46"/>
  <c r="G74" i="46" s="1"/>
  <c r="H74" i="46" s="1"/>
  <c r="J74" i="46" s="1"/>
  <c r="N74" i="46" s="1"/>
  <c r="AS121" i="29"/>
  <c r="E121" i="29" s="1"/>
  <c r="BF120" i="29"/>
  <c r="B129" i="50"/>
  <c r="R129" i="50" s="1"/>
  <c r="AT120" i="29"/>
  <c r="CJ119" i="29"/>
  <c r="DK119" i="29"/>
  <c r="DP119" i="29"/>
  <c r="R114" i="48"/>
  <c r="M115" i="48"/>
  <c r="O115" i="48" s="1"/>
  <c r="G73" i="46"/>
  <c r="H73" i="46" s="1"/>
  <c r="J73" i="46" s="1"/>
  <c r="N73" i="46" s="1"/>
  <c r="O143" i="50"/>
  <c r="A144" i="50"/>
  <c r="BO119" i="29"/>
  <c r="DF119" i="29"/>
  <c r="Q119" i="48"/>
  <c r="AA120" i="48"/>
  <c r="AB120" i="48" s="1"/>
  <c r="E120" i="48"/>
  <c r="S119" i="48"/>
  <c r="T119" i="48" s="1"/>
  <c r="C120" i="48"/>
  <c r="AK120" i="29"/>
  <c r="U118" i="48"/>
  <c r="U119" i="48" s="1"/>
  <c r="K119" i="48"/>
  <c r="P119" i="48" s="1"/>
  <c r="I119" i="48"/>
  <c r="J119" i="48"/>
  <c r="H119" i="48"/>
  <c r="AJ120" i="29"/>
  <c r="BU97" i="29" l="1"/>
  <c r="BT97" i="29"/>
  <c r="BS97" i="29"/>
  <c r="DG100" i="29"/>
  <c r="DH99" i="29"/>
  <c r="BI99" i="29" s="1"/>
  <c r="BJ98" i="29"/>
  <c r="BL98" i="29"/>
  <c r="BK98" i="29"/>
  <c r="CC146" i="29"/>
  <c r="CD146" i="29"/>
  <c r="CA147" i="29"/>
  <c r="DQ148" i="29"/>
  <c r="BR98" i="29"/>
  <c r="DL99" i="29"/>
  <c r="AB86" i="29"/>
  <c r="CL123" i="29"/>
  <c r="CK124" i="29"/>
  <c r="CN122" i="29"/>
  <c r="CM122" i="29"/>
  <c r="M116" i="48"/>
  <c r="O116" i="48" s="1"/>
  <c r="R115" i="48"/>
  <c r="AB121" i="48"/>
  <c r="U120" i="48"/>
  <c r="AS122" i="29"/>
  <c r="E122" i="29" s="1"/>
  <c r="BF121" i="29"/>
  <c r="B130" i="50"/>
  <c r="R130" i="50" s="1"/>
  <c r="U75" i="46"/>
  <c r="T75" i="46"/>
  <c r="G75" i="46" s="1"/>
  <c r="H75" i="46" s="1"/>
  <c r="J75" i="46" s="1"/>
  <c r="N75" i="46" s="1"/>
  <c r="V75" i="46"/>
  <c r="D75" i="46" s="1"/>
  <c r="J120" i="48"/>
  <c r="H120" i="48"/>
  <c r="K120" i="48" s="1"/>
  <c r="P120" i="48" s="1"/>
  <c r="I120" i="48"/>
  <c r="AJ121" i="29"/>
  <c r="AK121" i="29"/>
  <c r="O144" i="50"/>
  <c r="A145" i="50"/>
  <c r="CJ120" i="29"/>
  <c r="AT121" i="29"/>
  <c r="DK120" i="29"/>
  <c r="DP120" i="29"/>
  <c r="S120" i="48"/>
  <c r="T120" i="48" s="1"/>
  <c r="Q120" i="48"/>
  <c r="E121" i="48"/>
  <c r="C121" i="48"/>
  <c r="AA121" i="48"/>
  <c r="BO120" i="29"/>
  <c r="DF120" i="29"/>
  <c r="CD147" i="29" l="1"/>
  <c r="CC147" i="29"/>
  <c r="DQ149" i="29"/>
  <c r="CA148" i="29"/>
  <c r="DG101" i="29"/>
  <c r="DH100" i="29"/>
  <c r="BI100" i="29" s="1"/>
  <c r="DL100" i="29"/>
  <c r="BR99" i="29"/>
  <c r="BT98" i="29"/>
  <c r="BU98" i="29"/>
  <c r="BS98" i="29"/>
  <c r="BL99" i="29"/>
  <c r="BJ99" i="29"/>
  <c r="BK99" i="29"/>
  <c r="Y87" i="29"/>
  <c r="K96" i="50" s="1"/>
  <c r="AB87" i="29"/>
  <c r="AG86" i="29"/>
  <c r="M95" i="50"/>
  <c r="CL124" i="29"/>
  <c r="CK125" i="29"/>
  <c r="CM123" i="29"/>
  <c r="CN123" i="29"/>
  <c r="M117" i="48"/>
  <c r="O117" i="48"/>
  <c r="R116" i="48"/>
  <c r="AB122" i="48"/>
  <c r="AK122" i="29"/>
  <c r="V76" i="46"/>
  <c r="D76" i="46" s="1"/>
  <c r="T76" i="46"/>
  <c r="U76" i="46"/>
  <c r="H121" i="48"/>
  <c r="I121" i="48"/>
  <c r="K121" i="48"/>
  <c r="P121" i="48" s="1"/>
  <c r="J121" i="48"/>
  <c r="AS123" i="29"/>
  <c r="E123" i="29" s="1"/>
  <c r="BF122" i="29"/>
  <c r="B131" i="50"/>
  <c r="R131" i="50" s="1"/>
  <c r="AJ122" i="29"/>
  <c r="Q121" i="48"/>
  <c r="S121" i="48"/>
  <c r="T121" i="48" s="1"/>
  <c r="AA122" i="48"/>
  <c r="C122" i="48"/>
  <c r="E122" i="48"/>
  <c r="AT122" i="29"/>
  <c r="CJ121" i="29"/>
  <c r="DK121" i="29"/>
  <c r="DP121" i="29"/>
  <c r="O145" i="50"/>
  <c r="A146" i="50"/>
  <c r="BO121" i="29"/>
  <c r="DF121" i="29"/>
  <c r="CC148" i="29" l="1"/>
  <c r="CD148" i="29"/>
  <c r="BK100" i="29"/>
  <c r="BJ100" i="29"/>
  <c r="BL100" i="29"/>
  <c r="BT99" i="29"/>
  <c r="BU99" i="29"/>
  <c r="BS99" i="29"/>
  <c r="DL101" i="29"/>
  <c r="BR100" i="29"/>
  <c r="CA149" i="29"/>
  <c r="DQ150" i="29"/>
  <c r="DH101" i="29"/>
  <c r="BI101" i="29" s="1"/>
  <c r="DG102" i="29"/>
  <c r="Y88" i="29"/>
  <c r="M96" i="50"/>
  <c r="AG87" i="29"/>
  <c r="CK126" i="29"/>
  <c r="CL125" i="29"/>
  <c r="CN124" i="29"/>
  <c r="CM124" i="29"/>
  <c r="Q122" i="48"/>
  <c r="E123" i="48"/>
  <c r="C123" i="48"/>
  <c r="AA123" i="48"/>
  <c r="AB123" i="48" s="1"/>
  <c r="S122" i="48"/>
  <c r="T122" i="48" s="1"/>
  <c r="V77" i="46"/>
  <c r="D77" i="46" s="1"/>
  <c r="T77" i="46"/>
  <c r="U77" i="46"/>
  <c r="BO122" i="29"/>
  <c r="DF122" i="29"/>
  <c r="G76" i="46"/>
  <c r="H76" i="46" s="1"/>
  <c r="J76" i="46" s="1"/>
  <c r="N76" i="46" s="1"/>
  <c r="AS124" i="29"/>
  <c r="E124" i="29" s="1"/>
  <c r="B132" i="50"/>
  <c r="R132" i="50" s="1"/>
  <c r="BF123" i="29"/>
  <c r="O118" i="48"/>
  <c r="R117" i="48"/>
  <c r="M118" i="48"/>
  <c r="A147" i="50"/>
  <c r="O146" i="50"/>
  <c r="AJ123" i="29"/>
  <c r="CJ122" i="29"/>
  <c r="AT123" i="29"/>
  <c r="DK122" i="29"/>
  <c r="DP122" i="29"/>
  <c r="J122" i="48"/>
  <c r="H122" i="48"/>
  <c r="I122" i="48"/>
  <c r="K122" i="48"/>
  <c r="P122" i="48" s="1"/>
  <c r="U121" i="48"/>
  <c r="U122" i="48" s="1"/>
  <c r="AK123" i="29"/>
  <c r="DQ151" i="29" l="1"/>
  <c r="CA150" i="29"/>
  <c r="DG103" i="29"/>
  <c r="DH102" i="29"/>
  <c r="BI102" i="29" s="1"/>
  <c r="BU100" i="29"/>
  <c r="BT100" i="29"/>
  <c r="BS100" i="29"/>
  <c r="CC149" i="29"/>
  <c r="CD149" i="29"/>
  <c r="BL101" i="29"/>
  <c r="BK101" i="29"/>
  <c r="BJ101" i="29"/>
  <c r="DL102" i="29"/>
  <c r="BR101" i="29"/>
  <c r="AJ124" i="29"/>
  <c r="K97" i="50"/>
  <c r="AB88" i="29"/>
  <c r="CN125" i="29"/>
  <c r="CM125" i="29"/>
  <c r="CK127" i="29"/>
  <c r="CL126" i="29"/>
  <c r="G77" i="46"/>
  <c r="H77" i="46" s="1"/>
  <c r="J77" i="46" s="1"/>
  <c r="N77" i="46" s="1"/>
  <c r="Q123" i="48"/>
  <c r="C124" i="48"/>
  <c r="E124" i="48"/>
  <c r="AA124" i="48"/>
  <c r="AB124" i="48" s="1"/>
  <c r="S123" i="48"/>
  <c r="T123" i="48" s="1"/>
  <c r="BO123" i="29"/>
  <c r="DF123" i="29"/>
  <c r="I123" i="48"/>
  <c r="J123" i="48"/>
  <c r="H123" i="48"/>
  <c r="K123" i="48" s="1"/>
  <c r="P123" i="48" s="1"/>
  <c r="R118" i="48"/>
  <c r="M119" i="48"/>
  <c r="O119" i="48" s="1"/>
  <c r="V78" i="46"/>
  <c r="D78" i="46" s="1"/>
  <c r="T78" i="46"/>
  <c r="U78" i="46"/>
  <c r="U123" i="48"/>
  <c r="AS125" i="29"/>
  <c r="E125" i="29" s="1"/>
  <c r="B133" i="50"/>
  <c r="R133" i="50" s="1"/>
  <c r="BF124" i="29"/>
  <c r="AK124" i="29"/>
  <c r="AT124" i="29"/>
  <c r="CJ123" i="29"/>
  <c r="DK123" i="29"/>
  <c r="DP123" i="29"/>
  <c r="A148" i="50"/>
  <c r="O147" i="50"/>
  <c r="CD150" i="29" l="1"/>
  <c r="CC150" i="29"/>
  <c r="BL102" i="29"/>
  <c r="BK102" i="29"/>
  <c r="BJ102" i="29"/>
  <c r="DH103" i="29"/>
  <c r="BI103" i="29" s="1"/>
  <c r="DG104" i="29"/>
  <c r="BU101" i="29"/>
  <c r="BS101" i="29"/>
  <c r="BT101" i="29"/>
  <c r="DL103" i="29"/>
  <c r="BR102" i="29"/>
  <c r="CA151" i="29"/>
  <c r="DQ152" i="29"/>
  <c r="Y89" i="29"/>
  <c r="K98" i="50" s="1"/>
  <c r="AG88" i="29"/>
  <c r="M97" i="50"/>
  <c r="CM126" i="29"/>
  <c r="CN126" i="29"/>
  <c r="CL127" i="29"/>
  <c r="CK128" i="29"/>
  <c r="R119" i="48"/>
  <c r="M120" i="48"/>
  <c r="O120" i="48"/>
  <c r="A149" i="50"/>
  <c r="O148" i="50"/>
  <c r="AK125" i="29"/>
  <c r="Q124" i="48"/>
  <c r="AA125" i="48"/>
  <c r="AB125" i="48" s="1"/>
  <c r="C125" i="48"/>
  <c r="E125" i="48"/>
  <c r="S124" i="48"/>
  <c r="T124" i="48" s="1"/>
  <c r="AS126" i="29"/>
  <c r="E126" i="29" s="1"/>
  <c r="BF125" i="29"/>
  <c r="B134" i="50"/>
  <c r="R134" i="50" s="1"/>
  <c r="U124" i="48"/>
  <c r="G78" i="46"/>
  <c r="H78" i="46" s="1"/>
  <c r="J78" i="46" s="1"/>
  <c r="N78" i="46" s="1"/>
  <c r="CJ124" i="29"/>
  <c r="AT125" i="29"/>
  <c r="DK124" i="29"/>
  <c r="DP124" i="29"/>
  <c r="I124" i="48"/>
  <c r="H124" i="48"/>
  <c r="K124" i="48" s="1"/>
  <c r="P124" i="48" s="1"/>
  <c r="J124" i="48"/>
  <c r="AJ125" i="29"/>
  <c r="U79" i="46"/>
  <c r="T79" i="46"/>
  <c r="G79" i="46" s="1"/>
  <c r="H79" i="46" s="1"/>
  <c r="J79" i="46" s="1"/>
  <c r="N79" i="46" s="1"/>
  <c r="V79" i="46"/>
  <c r="D79" i="46" s="1"/>
  <c r="BO124" i="29"/>
  <c r="DF124" i="29"/>
  <c r="BR103" i="29" l="1"/>
  <c r="DL104" i="29"/>
  <c r="BT102" i="29"/>
  <c r="BU102" i="29"/>
  <c r="BS102" i="29"/>
  <c r="BJ103" i="29"/>
  <c r="BK103" i="29"/>
  <c r="BL103" i="29"/>
  <c r="DH104" i="29"/>
  <c r="BI104" i="29" s="1"/>
  <c r="DG105" i="29"/>
  <c r="AB89" i="29"/>
  <c r="AG89" i="29" s="1"/>
  <c r="DQ153" i="29"/>
  <c r="CA152" i="29"/>
  <c r="CC151" i="29"/>
  <c r="CD151" i="29"/>
  <c r="CK129" i="29"/>
  <c r="CL128" i="29"/>
  <c r="CN127" i="29"/>
  <c r="CM127" i="29"/>
  <c r="BO125" i="29"/>
  <c r="DF125" i="29"/>
  <c r="M121" i="48"/>
  <c r="R120" i="48"/>
  <c r="O121" i="48"/>
  <c r="AS127" i="29"/>
  <c r="E127" i="29" s="1"/>
  <c r="BF126" i="29"/>
  <c r="B135" i="50"/>
  <c r="R135" i="50" s="1"/>
  <c r="AK126" i="29"/>
  <c r="V80" i="46"/>
  <c r="D80" i="46" s="1"/>
  <c r="T80" i="46"/>
  <c r="U80" i="46"/>
  <c r="S125" i="48"/>
  <c r="T125" i="48" s="1"/>
  <c r="E126" i="48"/>
  <c r="Q125" i="48"/>
  <c r="AA126" i="48"/>
  <c r="AB126" i="48" s="1"/>
  <c r="C126" i="48"/>
  <c r="AT126" i="29"/>
  <c r="CJ125" i="29"/>
  <c r="DK125" i="29"/>
  <c r="DP125" i="29"/>
  <c r="AJ126" i="29"/>
  <c r="I125" i="48"/>
  <c r="H125" i="48"/>
  <c r="K125" i="48" s="1"/>
  <c r="P125" i="48" s="1"/>
  <c r="J125" i="48"/>
  <c r="O149" i="50"/>
  <c r="A150" i="50"/>
  <c r="Y90" i="29" l="1"/>
  <c r="K99" i="50" s="1"/>
  <c r="DQ154" i="29"/>
  <c r="CA153" i="29"/>
  <c r="DG106" i="29"/>
  <c r="DH105" i="29"/>
  <c r="BI105" i="29" s="1"/>
  <c r="DL105" i="29"/>
  <c r="BR104" i="29"/>
  <c r="M98" i="50"/>
  <c r="CC152" i="29"/>
  <c r="CD152" i="29"/>
  <c r="BK104" i="29"/>
  <c r="BL104" i="29"/>
  <c r="BJ104" i="29"/>
  <c r="BS103" i="29"/>
  <c r="BT103" i="29"/>
  <c r="BU103" i="29"/>
  <c r="CM128" i="29"/>
  <c r="CN128" i="29"/>
  <c r="CK130" i="29"/>
  <c r="CL129" i="29"/>
  <c r="AS128" i="29"/>
  <c r="E128" i="29" s="1"/>
  <c r="BF127" i="29"/>
  <c r="B136" i="50"/>
  <c r="R136" i="50" s="1"/>
  <c r="O150" i="50"/>
  <c r="A151" i="50"/>
  <c r="Q126" i="48"/>
  <c r="S126" i="48"/>
  <c r="T126" i="48" s="1"/>
  <c r="T127" i="48" s="1"/>
  <c r="C26" i="47" s="1"/>
  <c r="C27" i="47" s="1"/>
  <c r="C177" i="48"/>
  <c r="U125" i="48"/>
  <c r="U126" i="48" s="1"/>
  <c r="U127" i="48" s="1"/>
  <c r="C19" i="47" s="1"/>
  <c r="AK127" i="29"/>
  <c r="R121" i="48"/>
  <c r="M122" i="48"/>
  <c r="O122" i="48"/>
  <c r="V81" i="46"/>
  <c r="D81" i="46" s="1"/>
  <c r="T81" i="46"/>
  <c r="U81" i="46"/>
  <c r="AJ127" i="29"/>
  <c r="CJ126" i="29"/>
  <c r="AT127" i="29"/>
  <c r="DK126" i="29"/>
  <c r="DP126" i="29"/>
  <c r="I126" i="48"/>
  <c r="I127" i="48" s="1"/>
  <c r="E9" i="47" s="1"/>
  <c r="G9" i="47" s="1"/>
  <c r="J126" i="48"/>
  <c r="J127" i="48" s="1"/>
  <c r="K126" i="48"/>
  <c r="H126" i="48"/>
  <c r="H127" i="48" s="1"/>
  <c r="E127" i="48"/>
  <c r="G80" i="46"/>
  <c r="H80" i="46" s="1"/>
  <c r="J80" i="46" s="1"/>
  <c r="N80" i="46" s="1"/>
  <c r="BO126" i="29"/>
  <c r="DF126" i="29"/>
  <c r="AB90" i="29" l="1"/>
  <c r="AG90" i="29" s="1"/>
  <c r="AK128" i="29"/>
  <c r="AJ128" i="29"/>
  <c r="Y91" i="29"/>
  <c r="M99" i="50"/>
  <c r="DH106" i="29"/>
  <c r="BI106" i="29" s="1"/>
  <c r="DG107" i="29"/>
  <c r="BL105" i="29"/>
  <c r="BK105" i="29"/>
  <c r="BJ105" i="29"/>
  <c r="BU104" i="29"/>
  <c r="BT104" i="29"/>
  <c r="BS104" i="29"/>
  <c r="CC153" i="29"/>
  <c r="CD153" i="29"/>
  <c r="DL106" i="29"/>
  <c r="BR105" i="29"/>
  <c r="DQ155" i="29"/>
  <c r="CA154" i="29"/>
  <c r="CM129" i="29"/>
  <c r="CN129" i="29"/>
  <c r="CK131" i="29"/>
  <c r="CL130" i="29"/>
  <c r="X5" i="48"/>
  <c r="E10" i="47"/>
  <c r="D4" i="49"/>
  <c r="J177" i="48"/>
  <c r="G81" i="46"/>
  <c r="H81" i="46" s="1"/>
  <c r="J81" i="46" s="1"/>
  <c r="N81" i="46" s="1"/>
  <c r="O123" i="48"/>
  <c r="R122" i="48"/>
  <c r="M123" i="48"/>
  <c r="C42" i="47"/>
  <c r="D19" i="47" s="1"/>
  <c r="A152" i="50"/>
  <c r="O151" i="50"/>
  <c r="AS129" i="29"/>
  <c r="E129" i="29" s="1"/>
  <c r="AK129" i="29" s="1"/>
  <c r="BF128" i="29"/>
  <c r="B137" i="50"/>
  <c r="R137" i="50" s="1"/>
  <c r="P126" i="48"/>
  <c r="P127" i="48" s="1"/>
  <c r="K127" i="48"/>
  <c r="E11" i="47" s="1"/>
  <c r="V82" i="46"/>
  <c r="D82" i="46" s="1"/>
  <c r="U82" i="46"/>
  <c r="T82" i="46"/>
  <c r="BO127" i="29"/>
  <c r="DF127" i="29"/>
  <c r="F27" i="49"/>
  <c r="C16" i="47"/>
  <c r="C17" i="47"/>
  <c r="E177" i="48"/>
  <c r="CJ127" i="29"/>
  <c r="AT128" i="29"/>
  <c r="DK127" i="29"/>
  <c r="DP127" i="29"/>
  <c r="K100" i="50" l="1"/>
  <c r="AB91" i="29"/>
  <c r="BS105" i="29"/>
  <c r="BT105" i="29"/>
  <c r="BU105" i="29"/>
  <c r="BR106" i="29"/>
  <c r="DL107" i="29"/>
  <c r="CD154" i="29"/>
  <c r="CC154" i="29"/>
  <c r="DG108" i="29"/>
  <c r="DH107" i="29"/>
  <c r="BI107" i="29" s="1"/>
  <c r="DQ156" i="29"/>
  <c r="CA155" i="29"/>
  <c r="BL106" i="29"/>
  <c r="BJ106" i="29"/>
  <c r="BK106" i="29"/>
  <c r="CM130" i="29"/>
  <c r="CN130" i="29"/>
  <c r="CK132" i="29"/>
  <c r="CL131" i="29"/>
  <c r="AT129" i="29"/>
  <c r="CJ128" i="29"/>
  <c r="DK128" i="29"/>
  <c r="DP128" i="29"/>
  <c r="G82" i="46"/>
  <c r="H82" i="46" s="1"/>
  <c r="J82" i="46" s="1"/>
  <c r="N82" i="46" s="1"/>
  <c r="O152" i="50"/>
  <c r="A153" i="50"/>
  <c r="M124" i="48"/>
  <c r="R123" i="48"/>
  <c r="O124" i="48"/>
  <c r="F28" i="49"/>
  <c r="E4" i="49"/>
  <c r="D5" i="49"/>
  <c r="E12" i="47"/>
  <c r="P177" i="48"/>
  <c r="U83" i="46"/>
  <c r="T83" i="46"/>
  <c r="G83" i="46" s="1"/>
  <c r="H83" i="46" s="1"/>
  <c r="J83" i="46" s="1"/>
  <c r="N83" i="46" s="1"/>
  <c r="V83" i="46"/>
  <c r="D83" i="46" s="1"/>
  <c r="BO128" i="29"/>
  <c r="DF128" i="29"/>
  <c r="D10" i="47"/>
  <c r="G10" i="47"/>
  <c r="G11" i="47"/>
  <c r="D11" i="47"/>
  <c r="AS130" i="29"/>
  <c r="E130" i="29" s="1"/>
  <c r="AK130" i="29" s="1"/>
  <c r="BF129" i="29"/>
  <c r="B138" i="50"/>
  <c r="R138" i="50" s="1"/>
  <c r="AJ129" i="29"/>
  <c r="M100" i="50" l="1"/>
  <c r="Y92" i="29"/>
  <c r="AG91" i="29"/>
  <c r="DG109" i="29"/>
  <c r="DH108" i="29"/>
  <c r="BI108" i="29" s="1"/>
  <c r="DQ157" i="29"/>
  <c r="CA156" i="29"/>
  <c r="BT106" i="29"/>
  <c r="BU106" i="29"/>
  <c r="BS106" i="29"/>
  <c r="CD155" i="29"/>
  <c r="CC155" i="29"/>
  <c r="BK107" i="29"/>
  <c r="BL107" i="29"/>
  <c r="BJ107" i="29"/>
  <c r="BR107" i="29"/>
  <c r="DL108" i="29"/>
  <c r="CM131" i="29"/>
  <c r="CN131" i="29"/>
  <c r="CK133" i="29"/>
  <c r="CL132" i="29"/>
  <c r="G12" i="47"/>
  <c r="D12" i="47"/>
  <c r="D13" i="47" s="1"/>
  <c r="O125" i="48"/>
  <c r="R124" i="48"/>
  <c r="M125" i="48"/>
  <c r="CJ129" i="29"/>
  <c r="AT130" i="29"/>
  <c r="DK129" i="29"/>
  <c r="DP129" i="29"/>
  <c r="BO129" i="29"/>
  <c r="DF129" i="29"/>
  <c r="E5" i="49"/>
  <c r="C6" i="49"/>
  <c r="C5" i="49"/>
  <c r="AS131" i="29"/>
  <c r="E131" i="29" s="1"/>
  <c r="AK131" i="29" s="1"/>
  <c r="BF130" i="29"/>
  <c r="B139" i="50"/>
  <c r="R139" i="50" s="1"/>
  <c r="AJ130" i="29"/>
  <c r="V84" i="46"/>
  <c r="D84" i="46" s="1"/>
  <c r="T84" i="46"/>
  <c r="G84" i="46" s="1"/>
  <c r="H84" i="46" s="1"/>
  <c r="J84" i="46" s="1"/>
  <c r="N84" i="46" s="1"/>
  <c r="U84" i="46"/>
  <c r="O153" i="50"/>
  <c r="A154" i="50"/>
  <c r="K101" i="50" l="1"/>
  <c r="AB92" i="29"/>
  <c r="DL109" i="29"/>
  <c r="BR108" i="29"/>
  <c r="BJ108" i="29"/>
  <c r="BK108" i="29"/>
  <c r="BL108" i="29"/>
  <c r="CC156" i="29"/>
  <c r="CD156" i="29"/>
  <c r="DQ158" i="29"/>
  <c r="CA157" i="29"/>
  <c r="BS107" i="29"/>
  <c r="BT107" i="29"/>
  <c r="BU107" i="29"/>
  <c r="DH109" i="29"/>
  <c r="BI109" i="29" s="1"/>
  <c r="DG110" i="29"/>
  <c r="AJ131" i="29"/>
  <c r="CM132" i="29"/>
  <c r="CN132" i="29"/>
  <c r="CK134" i="29"/>
  <c r="CL133" i="29"/>
  <c r="R125" i="48"/>
  <c r="M126" i="48"/>
  <c r="M127" i="48" s="1"/>
  <c r="AT131" i="29"/>
  <c r="CJ130" i="29"/>
  <c r="DK130" i="29"/>
  <c r="DP130" i="29"/>
  <c r="O154" i="50"/>
  <c r="A155" i="50"/>
  <c r="BO130" i="29"/>
  <c r="DF130" i="29"/>
  <c r="V85" i="46"/>
  <c r="D85" i="46" s="1"/>
  <c r="T85" i="46"/>
  <c r="U85" i="46"/>
  <c r="AS132" i="29"/>
  <c r="E132" i="29" s="1"/>
  <c r="BF131" i="29"/>
  <c r="B140" i="50"/>
  <c r="R140" i="50" s="1"/>
  <c r="M101" i="50" l="1"/>
  <c r="Y93" i="29"/>
  <c r="AG92" i="29"/>
  <c r="CA158" i="29"/>
  <c r="DQ159" i="29"/>
  <c r="DH110" i="29"/>
  <c r="BI110" i="29" s="1"/>
  <c r="DG111" i="29"/>
  <c r="BT108" i="29"/>
  <c r="BS108" i="29"/>
  <c r="BU108" i="29"/>
  <c r="BL109" i="29"/>
  <c r="BK109" i="29"/>
  <c r="BJ109" i="29"/>
  <c r="CD157" i="29"/>
  <c r="CC157" i="29"/>
  <c r="BR109" i="29"/>
  <c r="DL110" i="29"/>
  <c r="CM133" i="29"/>
  <c r="CN133" i="29"/>
  <c r="CK135" i="29"/>
  <c r="CL134" i="29"/>
  <c r="AT132" i="29"/>
  <c r="CJ131" i="29"/>
  <c r="DK131" i="29"/>
  <c r="DP131" i="29"/>
  <c r="M177" i="48"/>
  <c r="C22" i="47"/>
  <c r="T86" i="46"/>
  <c r="V86" i="46"/>
  <c r="D86" i="46" s="1"/>
  <c r="U86" i="46"/>
  <c r="BO131" i="29"/>
  <c r="DF131" i="29"/>
  <c r="A156" i="50"/>
  <c r="O155" i="50"/>
  <c r="AS133" i="29"/>
  <c r="E133" i="29" s="1"/>
  <c r="BF132" i="29"/>
  <c r="B141" i="50"/>
  <c r="R141" i="50" s="1"/>
  <c r="AK132" i="29"/>
  <c r="O126" i="48"/>
  <c r="G85" i="46"/>
  <c r="H85" i="46" s="1"/>
  <c r="J85" i="46" s="1"/>
  <c r="N85" i="46" s="1"/>
  <c r="AJ132" i="29"/>
  <c r="K102" i="50" l="1"/>
  <c r="AB93" i="29"/>
  <c r="DQ160" i="29"/>
  <c r="CA159" i="29"/>
  <c r="BK110" i="29"/>
  <c r="BJ110" i="29"/>
  <c r="BL110" i="29"/>
  <c r="DL111" i="29"/>
  <c r="BR110" i="29"/>
  <c r="BS109" i="29"/>
  <c r="BU109" i="29"/>
  <c r="BT109" i="29"/>
  <c r="DG112" i="29"/>
  <c r="DH111" i="29"/>
  <c r="BI111" i="29" s="1"/>
  <c r="CC158" i="29"/>
  <c r="CD158" i="29"/>
  <c r="CL135" i="29"/>
  <c r="CK136" i="29"/>
  <c r="CN134" i="29"/>
  <c r="CM134" i="29"/>
  <c r="BO132" i="29"/>
  <c r="DF132" i="29"/>
  <c r="R126" i="48"/>
  <c r="O177" i="48"/>
  <c r="AT133" i="29"/>
  <c r="CJ132" i="29"/>
  <c r="DK132" i="29"/>
  <c r="DP132" i="29"/>
  <c r="AS134" i="29"/>
  <c r="E134" i="29" s="1"/>
  <c r="BF133" i="29"/>
  <c r="B142" i="50"/>
  <c r="R142" i="50" s="1"/>
  <c r="V87" i="46"/>
  <c r="D87" i="46" s="1"/>
  <c r="T87" i="46"/>
  <c r="G87" i="46" s="1"/>
  <c r="H87" i="46" s="1"/>
  <c r="J87" i="46" s="1"/>
  <c r="N87" i="46" s="1"/>
  <c r="U87" i="46"/>
  <c r="AK133" i="29"/>
  <c r="AJ133" i="29"/>
  <c r="O156" i="50"/>
  <c r="A157" i="50"/>
  <c r="G86" i="46"/>
  <c r="H86" i="46" s="1"/>
  <c r="J86" i="46" s="1"/>
  <c r="N86" i="46" s="1"/>
  <c r="Y94" i="29" l="1"/>
  <c r="K103" i="50" s="1"/>
  <c r="AG93" i="29"/>
  <c r="M102" i="50"/>
  <c r="BU110" i="29"/>
  <c r="BS110" i="29"/>
  <c r="BT110" i="29"/>
  <c r="BR111" i="29"/>
  <c r="DL112" i="29"/>
  <c r="BL111" i="29"/>
  <c r="BJ111" i="29"/>
  <c r="BK111" i="29"/>
  <c r="CC159" i="29"/>
  <c r="CD159" i="29"/>
  <c r="DG113" i="29"/>
  <c r="DH112" i="29"/>
  <c r="BI112" i="29" s="1"/>
  <c r="DQ161" i="29"/>
  <c r="CA160" i="29"/>
  <c r="CL136" i="29"/>
  <c r="CK137" i="29"/>
  <c r="CN135" i="29"/>
  <c r="CM135" i="29"/>
  <c r="AS135" i="29"/>
  <c r="E135" i="29" s="1"/>
  <c r="B143" i="50"/>
  <c r="R143" i="50" s="1"/>
  <c r="BF134" i="29"/>
  <c r="AJ134" i="29"/>
  <c r="O157" i="50"/>
  <c r="A158" i="50"/>
  <c r="AK134" i="29"/>
  <c r="AT134" i="29"/>
  <c r="CJ133" i="29"/>
  <c r="DK133" i="29"/>
  <c r="DP133" i="29"/>
  <c r="T88" i="46"/>
  <c r="G88" i="46" s="1"/>
  <c r="H88" i="46" s="1"/>
  <c r="J88" i="46" s="1"/>
  <c r="N88" i="46" s="1"/>
  <c r="V88" i="46"/>
  <c r="D88" i="46" s="1"/>
  <c r="U88" i="46"/>
  <c r="BO133" i="29"/>
  <c r="DF133" i="29"/>
  <c r="AB94" i="29" l="1"/>
  <c r="AG94" i="29" s="1"/>
  <c r="Y95" i="29"/>
  <c r="K104" i="50" s="1"/>
  <c r="BK112" i="29"/>
  <c r="BJ112" i="29"/>
  <c r="BL112" i="29"/>
  <c r="DH113" i="29"/>
  <c r="BI113" i="29" s="1"/>
  <c r="DG114" i="29"/>
  <c r="CC160" i="29"/>
  <c r="CD160" i="29"/>
  <c r="BT111" i="29"/>
  <c r="BS111" i="29"/>
  <c r="BU111" i="29"/>
  <c r="CA161" i="29"/>
  <c r="DQ162" i="29"/>
  <c r="BR112" i="29"/>
  <c r="DL113" i="29"/>
  <c r="CK138" i="29"/>
  <c r="CL137" i="29"/>
  <c r="CN136" i="29"/>
  <c r="CM136" i="29"/>
  <c r="A159" i="50"/>
  <c r="O158" i="50"/>
  <c r="V89" i="46"/>
  <c r="D89" i="46" s="1"/>
  <c r="T89" i="46"/>
  <c r="U89" i="46"/>
  <c r="AT135" i="29"/>
  <c r="CJ134" i="29"/>
  <c r="DK134" i="29"/>
  <c r="DP134" i="29"/>
  <c r="AJ135" i="29"/>
  <c r="AS136" i="29"/>
  <c r="E136" i="29" s="1"/>
  <c r="BF135" i="29"/>
  <c r="B144" i="50"/>
  <c r="R144" i="50" s="1"/>
  <c r="AK135" i="29"/>
  <c r="BO134" i="29"/>
  <c r="DF134" i="29"/>
  <c r="M103" i="50" l="1"/>
  <c r="AB95" i="29"/>
  <c r="M104" i="50" s="1"/>
  <c r="Y96" i="29"/>
  <c r="K105" i="50" s="1"/>
  <c r="AG95" i="29"/>
  <c r="BK113" i="29"/>
  <c r="BJ113" i="29"/>
  <c r="BL113" i="29"/>
  <c r="CD161" i="29"/>
  <c r="CC161" i="29"/>
  <c r="DL114" i="29"/>
  <c r="BR113" i="29"/>
  <c r="BT112" i="29"/>
  <c r="BU112" i="29"/>
  <c r="BS112" i="29"/>
  <c r="DQ163" i="29"/>
  <c r="CA162" i="29"/>
  <c r="DH114" i="29"/>
  <c r="BI114" i="29" s="1"/>
  <c r="DG115" i="29"/>
  <c r="AK136" i="29"/>
  <c r="CM137" i="29"/>
  <c r="CN137" i="29"/>
  <c r="CL138" i="29"/>
  <c r="CK139" i="29"/>
  <c r="BO135" i="29"/>
  <c r="DF135" i="29"/>
  <c r="T90" i="46"/>
  <c r="G90" i="46" s="1"/>
  <c r="H90" i="46" s="1"/>
  <c r="J90" i="46" s="1"/>
  <c r="N90" i="46" s="1"/>
  <c r="V90" i="46"/>
  <c r="D90" i="46" s="1"/>
  <c r="U90" i="46"/>
  <c r="CJ135" i="29"/>
  <c r="AT136" i="29"/>
  <c r="DK135" i="29"/>
  <c r="DP135" i="29"/>
  <c r="AS137" i="29"/>
  <c r="E137" i="29" s="1"/>
  <c r="B145" i="50"/>
  <c r="R145" i="50" s="1"/>
  <c r="BF136" i="29"/>
  <c r="G89" i="46"/>
  <c r="H89" i="46" s="1"/>
  <c r="J89" i="46" s="1"/>
  <c r="N89" i="46" s="1"/>
  <c r="AJ136" i="29"/>
  <c r="A160" i="50"/>
  <c r="O159" i="50"/>
  <c r="AB96" i="29" l="1"/>
  <c r="AG96" i="29" s="1"/>
  <c r="M105" i="50"/>
  <c r="CD162" i="29"/>
  <c r="CC162" i="29"/>
  <c r="BU113" i="29"/>
  <c r="BS113" i="29"/>
  <c r="BT113" i="29"/>
  <c r="CA163" i="29"/>
  <c r="DQ164" i="29"/>
  <c r="BR114" i="29"/>
  <c r="DL115" i="29"/>
  <c r="DH115" i="29"/>
  <c r="BI115" i="29" s="1"/>
  <c r="DG116" i="29"/>
  <c r="BL114" i="29"/>
  <c r="BJ114" i="29"/>
  <c r="BK114" i="29"/>
  <c r="CK140" i="29"/>
  <c r="CL139" i="29"/>
  <c r="CN138" i="29"/>
  <c r="CM138" i="29"/>
  <c r="CJ136" i="29"/>
  <c r="AT137" i="29"/>
  <c r="DK136" i="29"/>
  <c r="DP136" i="29"/>
  <c r="AS138" i="29"/>
  <c r="E138" i="29" s="1"/>
  <c r="BF137" i="29"/>
  <c r="B146" i="50"/>
  <c r="R146" i="50" s="1"/>
  <c r="O160" i="50"/>
  <c r="A161" i="50"/>
  <c r="BO136" i="29"/>
  <c r="DF136" i="29"/>
  <c r="AJ137" i="29"/>
  <c r="V91" i="46"/>
  <c r="D91" i="46" s="1"/>
  <c r="T91" i="46"/>
  <c r="G91" i="46" s="1"/>
  <c r="H91" i="46" s="1"/>
  <c r="J91" i="46" s="1"/>
  <c r="N91" i="46" s="1"/>
  <c r="U91" i="46"/>
  <c r="AK137" i="29"/>
  <c r="Y97" i="29" l="1"/>
  <c r="K106" i="50" s="1"/>
  <c r="AK138" i="29"/>
  <c r="CA164" i="29"/>
  <c r="DQ165" i="29"/>
  <c r="BK115" i="29"/>
  <c r="BL115" i="29"/>
  <c r="BJ115" i="29"/>
  <c r="CC163" i="29"/>
  <c r="CD163" i="29"/>
  <c r="BS114" i="29"/>
  <c r="BT114" i="29"/>
  <c r="BU114" i="29"/>
  <c r="DH116" i="29"/>
  <c r="BI116" i="29" s="1"/>
  <c r="DG117" i="29"/>
  <c r="BR115" i="29"/>
  <c r="DL116" i="29"/>
  <c r="AJ138" i="29"/>
  <c r="CM139" i="29"/>
  <c r="CN139" i="29"/>
  <c r="CK141" i="29"/>
  <c r="CL140" i="29"/>
  <c r="BO137" i="29"/>
  <c r="DF137" i="29"/>
  <c r="AT138" i="29"/>
  <c r="CJ137" i="29"/>
  <c r="DK137" i="29"/>
  <c r="DP137" i="29"/>
  <c r="T92" i="46"/>
  <c r="G92" i="46" s="1"/>
  <c r="H92" i="46" s="1"/>
  <c r="J92" i="46" s="1"/>
  <c r="N92" i="46" s="1"/>
  <c r="V92" i="46"/>
  <c r="D92" i="46" s="1"/>
  <c r="U92" i="46"/>
  <c r="A162" i="50"/>
  <c r="O161" i="50"/>
  <c r="AS139" i="29"/>
  <c r="E139" i="29" s="1"/>
  <c r="BF138" i="29"/>
  <c r="B147" i="50"/>
  <c r="R147" i="50" s="1"/>
  <c r="AB97" i="29" l="1"/>
  <c r="AG97" i="29" s="1"/>
  <c r="Y98" i="29"/>
  <c r="K107" i="50" s="1"/>
  <c r="M106" i="50"/>
  <c r="AB98" i="29"/>
  <c r="DH117" i="29"/>
  <c r="BI117" i="29" s="1"/>
  <c r="DG118" i="29"/>
  <c r="BL116" i="29"/>
  <c r="BJ116" i="29"/>
  <c r="BK116" i="29"/>
  <c r="BR116" i="29"/>
  <c r="DL117" i="29"/>
  <c r="DQ166" i="29"/>
  <c r="CA165" i="29"/>
  <c r="BS115" i="29"/>
  <c r="BU115" i="29"/>
  <c r="BT115" i="29"/>
  <c r="CD164" i="29"/>
  <c r="CC164" i="29"/>
  <c r="CM140" i="29"/>
  <c r="CN140" i="29"/>
  <c r="CK142" i="29"/>
  <c r="CL141" i="29"/>
  <c r="AT139" i="29"/>
  <c r="CJ138" i="29"/>
  <c r="DK138" i="29"/>
  <c r="DP138" i="29"/>
  <c r="O162" i="50"/>
  <c r="A163" i="50"/>
  <c r="AS140" i="29"/>
  <c r="E140" i="29" s="1"/>
  <c r="BF139" i="29"/>
  <c r="B148" i="50"/>
  <c r="R148" i="50" s="1"/>
  <c r="AK139" i="29"/>
  <c r="BO138" i="29"/>
  <c r="DF138" i="29"/>
  <c r="V93" i="46"/>
  <c r="D93" i="46" s="1"/>
  <c r="T93" i="46"/>
  <c r="U93" i="46"/>
  <c r="AJ139" i="29"/>
  <c r="AJ140" i="29" l="1"/>
  <c r="M107" i="50"/>
  <c r="Y99" i="29"/>
  <c r="K108" i="50" s="1"/>
  <c r="AG98" i="29"/>
  <c r="BR117" i="29"/>
  <c r="DL118" i="29"/>
  <c r="BU116" i="29"/>
  <c r="BT116" i="29"/>
  <c r="BS116" i="29"/>
  <c r="DH118" i="29"/>
  <c r="BI118" i="29" s="1"/>
  <c r="DG119" i="29"/>
  <c r="CD165" i="29"/>
  <c r="CC165" i="29"/>
  <c r="DQ167" i="29"/>
  <c r="CA166" i="29"/>
  <c r="BK117" i="29"/>
  <c r="BJ117" i="29"/>
  <c r="BL117" i="29"/>
  <c r="AK140" i="29"/>
  <c r="CN141" i="29"/>
  <c r="CM141" i="29"/>
  <c r="CL142" i="29"/>
  <c r="CK143" i="29"/>
  <c r="T94" i="46"/>
  <c r="V94" i="46"/>
  <c r="D94" i="46" s="1"/>
  <c r="U94" i="46"/>
  <c r="A164" i="50"/>
  <c r="O163" i="50"/>
  <c r="AT140" i="29"/>
  <c r="CJ139" i="29"/>
  <c r="DK139" i="29"/>
  <c r="DP139" i="29"/>
  <c r="G93" i="46"/>
  <c r="H93" i="46" s="1"/>
  <c r="J93" i="46" s="1"/>
  <c r="N93" i="46" s="1"/>
  <c r="BO139" i="29"/>
  <c r="DF139" i="29"/>
  <c r="AS141" i="29"/>
  <c r="E141" i="29" s="1"/>
  <c r="BF140" i="29"/>
  <c r="B149" i="50"/>
  <c r="R149" i="50" s="1"/>
  <c r="AB99" i="29" l="1"/>
  <c r="CA167" i="29"/>
  <c r="DQ168" i="29"/>
  <c r="BR118" i="29"/>
  <c r="DL119" i="29"/>
  <c r="CD166" i="29"/>
  <c r="CC166" i="29"/>
  <c r="DH119" i="29"/>
  <c r="BI119" i="29" s="1"/>
  <c r="DG120" i="29"/>
  <c r="BJ118" i="29"/>
  <c r="BK118" i="29"/>
  <c r="BL118" i="29"/>
  <c r="BU117" i="29"/>
  <c r="BT117" i="29"/>
  <c r="BS117" i="29"/>
  <c r="CK144" i="29"/>
  <c r="CL143" i="29"/>
  <c r="CM142" i="29"/>
  <c r="CN142" i="29"/>
  <c r="AS142" i="29"/>
  <c r="E142" i="29" s="1"/>
  <c r="BF141" i="29"/>
  <c r="B150" i="50"/>
  <c r="R150" i="50" s="1"/>
  <c r="AK141" i="29"/>
  <c r="BO140" i="29"/>
  <c r="DF140" i="29"/>
  <c r="CJ140" i="29"/>
  <c r="AT141" i="29"/>
  <c r="DK140" i="29"/>
  <c r="DP140" i="29"/>
  <c r="V95" i="46"/>
  <c r="D95" i="46" s="1"/>
  <c r="T95" i="46"/>
  <c r="U95" i="46"/>
  <c r="AJ141" i="29"/>
  <c r="A165" i="50"/>
  <c r="O164" i="50"/>
  <c r="G94" i="46"/>
  <c r="H94" i="46" s="1"/>
  <c r="J94" i="46" s="1"/>
  <c r="N94" i="46" s="1"/>
  <c r="AK142" i="29" l="1"/>
  <c r="AJ142" i="29"/>
  <c r="AG99" i="29"/>
  <c r="Y100" i="29"/>
  <c r="K109" i="50" s="1"/>
  <c r="M108" i="50"/>
  <c r="DL120" i="29"/>
  <c r="BR119" i="29"/>
  <c r="BJ119" i="29"/>
  <c r="BL119" i="29"/>
  <c r="BK119" i="29"/>
  <c r="DQ169" i="29"/>
  <c r="CA168" i="29"/>
  <c r="DH120" i="29"/>
  <c r="BI120" i="29" s="1"/>
  <c r="DG121" i="29"/>
  <c r="BS118" i="29"/>
  <c r="BU118" i="29"/>
  <c r="BT118" i="29"/>
  <c r="CC167" i="29"/>
  <c r="CD167" i="29"/>
  <c r="CM143" i="29"/>
  <c r="CN143" i="29"/>
  <c r="CK145" i="29"/>
  <c r="CL144" i="29"/>
  <c r="G95" i="46"/>
  <c r="H95" i="46" s="1"/>
  <c r="J95" i="46" s="1"/>
  <c r="N95" i="46" s="1"/>
  <c r="AT142" i="29"/>
  <c r="CJ141" i="29"/>
  <c r="DK141" i="29"/>
  <c r="DP141" i="29"/>
  <c r="BO141" i="29"/>
  <c r="DF141" i="29"/>
  <c r="T96" i="46"/>
  <c r="V96" i="46"/>
  <c r="D96" i="46" s="1"/>
  <c r="U96" i="46"/>
  <c r="O165" i="50"/>
  <c r="A166" i="50"/>
  <c r="AS143" i="29"/>
  <c r="E143" i="29" s="1"/>
  <c r="AK143" i="29" s="1"/>
  <c r="B151" i="50"/>
  <c r="R151" i="50" s="1"/>
  <c r="BF142" i="29"/>
  <c r="AB100" i="29" l="1"/>
  <c r="BT119" i="29"/>
  <c r="BS119" i="29"/>
  <c r="BU119" i="29"/>
  <c r="BL120" i="29"/>
  <c r="BK120" i="29"/>
  <c r="BJ120" i="29"/>
  <c r="CD168" i="29"/>
  <c r="CC168" i="29"/>
  <c r="DQ170" i="29"/>
  <c r="CA169" i="29"/>
  <c r="DH121" i="29"/>
  <c r="BI121" i="29" s="1"/>
  <c r="DG122" i="29"/>
  <c r="DL121" i="29"/>
  <c r="BR120" i="29"/>
  <c r="CK146" i="29"/>
  <c r="CL145" i="29"/>
  <c r="CN144" i="29"/>
  <c r="CM144" i="29"/>
  <c r="V97" i="46"/>
  <c r="D97" i="46" s="1"/>
  <c r="T97" i="46"/>
  <c r="U97" i="46"/>
  <c r="O166" i="50"/>
  <c r="A167" i="50"/>
  <c r="BO142" i="29"/>
  <c r="DF142" i="29"/>
  <c r="G96" i="46"/>
  <c r="H96" i="46" s="1"/>
  <c r="J96" i="46" s="1"/>
  <c r="N96" i="46" s="1"/>
  <c r="AT143" i="29"/>
  <c r="CJ142" i="29"/>
  <c r="DK142" i="29"/>
  <c r="DP142" i="29"/>
  <c r="AS144" i="29"/>
  <c r="E144" i="29" s="1"/>
  <c r="BF143" i="29"/>
  <c r="B152" i="50"/>
  <c r="R152" i="50" s="1"/>
  <c r="AJ143" i="29"/>
  <c r="M109" i="50" l="1"/>
  <c r="AG100" i="29"/>
  <c r="Y101" i="29"/>
  <c r="K110" i="50" s="1"/>
  <c r="DH122" i="29"/>
  <c r="BI122" i="29" s="1"/>
  <c r="DG123" i="29"/>
  <c r="BK121" i="29"/>
  <c r="BL121" i="29"/>
  <c r="BJ121" i="29"/>
  <c r="CC169" i="29"/>
  <c r="CD169" i="29"/>
  <c r="BU120" i="29"/>
  <c r="BS120" i="29"/>
  <c r="BT120" i="29"/>
  <c r="BR121" i="29"/>
  <c r="DL122" i="29"/>
  <c r="CA170" i="29"/>
  <c r="DQ171" i="29"/>
  <c r="AJ144" i="29"/>
  <c r="CM145" i="29"/>
  <c r="CN145" i="29"/>
  <c r="CK147" i="29"/>
  <c r="CL146" i="29"/>
  <c r="T98" i="46"/>
  <c r="V98" i="46"/>
  <c r="D98" i="46" s="1"/>
  <c r="U98" i="46"/>
  <c r="A168" i="50"/>
  <c r="O167" i="50"/>
  <c r="CJ143" i="29"/>
  <c r="AT144" i="29"/>
  <c r="DK143" i="29"/>
  <c r="DP143" i="29"/>
  <c r="G97" i="46"/>
  <c r="H97" i="46" s="1"/>
  <c r="J97" i="46" s="1"/>
  <c r="N97" i="46" s="1"/>
  <c r="BO143" i="29"/>
  <c r="DF143" i="29"/>
  <c r="AS145" i="29"/>
  <c r="E145" i="29" s="1"/>
  <c r="B153" i="50"/>
  <c r="R153" i="50" s="1"/>
  <c r="BF144" i="29"/>
  <c r="AK144" i="29"/>
  <c r="AB101" i="29" l="1"/>
  <c r="AK145" i="29"/>
  <c r="AG101" i="29"/>
  <c r="Y102" i="29"/>
  <c r="K111" i="50" s="1"/>
  <c r="M110" i="50"/>
  <c r="CA171" i="29"/>
  <c r="DQ172" i="29"/>
  <c r="DG124" i="29"/>
  <c r="DH123" i="29"/>
  <c r="BI123" i="29" s="1"/>
  <c r="BR122" i="29"/>
  <c r="DL123" i="29"/>
  <c r="BS121" i="29"/>
  <c r="BU121" i="29"/>
  <c r="BT121" i="29"/>
  <c r="CD170" i="29"/>
  <c r="CC170" i="29"/>
  <c r="BL122" i="29"/>
  <c r="BJ122" i="29"/>
  <c r="BK122" i="29"/>
  <c r="CM146" i="29"/>
  <c r="CN146" i="29"/>
  <c r="CL147" i="29"/>
  <c r="CK148" i="29"/>
  <c r="BO144" i="29"/>
  <c r="DF144" i="29"/>
  <c r="V99" i="46"/>
  <c r="D99" i="46" s="1"/>
  <c r="T99" i="46"/>
  <c r="U99" i="46"/>
  <c r="AT145" i="29"/>
  <c r="CJ144" i="29"/>
  <c r="DK144" i="29"/>
  <c r="DP144" i="29"/>
  <c r="AS146" i="29"/>
  <c r="E146" i="29" s="1"/>
  <c r="BF145" i="29"/>
  <c r="B154" i="50"/>
  <c r="R154" i="50" s="1"/>
  <c r="AJ145" i="29"/>
  <c r="A169" i="50"/>
  <c r="O168" i="50"/>
  <c r="G98" i="46"/>
  <c r="H98" i="46" s="1"/>
  <c r="J98" i="46" s="1"/>
  <c r="N98" i="46" s="1"/>
  <c r="AB102" i="29" l="1"/>
  <c r="Y103" i="29" s="1"/>
  <c r="K112" i="50" s="1"/>
  <c r="BJ123" i="29"/>
  <c r="BK123" i="29"/>
  <c r="BL123" i="29"/>
  <c r="DG125" i="29"/>
  <c r="DH124" i="29"/>
  <c r="BI124" i="29" s="1"/>
  <c r="DQ173" i="29"/>
  <c r="CA172" i="29"/>
  <c r="BR123" i="29"/>
  <c r="DL124" i="29"/>
  <c r="BS122" i="29"/>
  <c r="BT122" i="29"/>
  <c r="BU122" i="29"/>
  <c r="CD171" i="29"/>
  <c r="CC171" i="29"/>
  <c r="CK149" i="29"/>
  <c r="CL148" i="29"/>
  <c r="CM147" i="29"/>
  <c r="CN147" i="29"/>
  <c r="BO145" i="29"/>
  <c r="DF145" i="29"/>
  <c r="AS147" i="29"/>
  <c r="E147" i="29" s="1"/>
  <c r="B155" i="50"/>
  <c r="R155" i="50" s="1"/>
  <c r="BF146" i="29"/>
  <c r="CJ145" i="29"/>
  <c r="AT146" i="29"/>
  <c r="DK145" i="29"/>
  <c r="DP145" i="29"/>
  <c r="AJ146" i="29"/>
  <c r="AK146" i="29"/>
  <c r="T100" i="46"/>
  <c r="G100" i="46" s="1"/>
  <c r="H100" i="46" s="1"/>
  <c r="J100" i="46" s="1"/>
  <c r="N100" i="46" s="1"/>
  <c r="V100" i="46"/>
  <c r="D100" i="46" s="1"/>
  <c r="U100" i="46"/>
  <c r="A170" i="50"/>
  <c r="O169" i="50"/>
  <c r="G99" i="46"/>
  <c r="H99" i="46" s="1"/>
  <c r="J99" i="46" s="1"/>
  <c r="N99" i="46" s="1"/>
  <c r="AG102" i="29" l="1"/>
  <c r="M111" i="50"/>
  <c r="AB103" i="29"/>
  <c r="M112" i="50" s="1"/>
  <c r="BT123" i="29"/>
  <c r="BS123" i="29"/>
  <c r="BU123" i="29"/>
  <c r="DH125" i="29"/>
  <c r="BI125" i="29" s="1"/>
  <c r="DG126" i="29"/>
  <c r="CD172" i="29"/>
  <c r="CC172" i="29"/>
  <c r="CA173" i="29"/>
  <c r="DQ174" i="29"/>
  <c r="DL125" i="29"/>
  <c r="BR124" i="29"/>
  <c r="BJ124" i="29"/>
  <c r="BL124" i="29"/>
  <c r="BK124" i="29"/>
  <c r="CN148" i="29"/>
  <c r="CM148" i="29"/>
  <c r="CK150" i="29"/>
  <c r="CL149" i="29"/>
  <c r="AS148" i="29"/>
  <c r="E148" i="29" s="1"/>
  <c r="B156" i="50"/>
  <c r="R156" i="50" s="1"/>
  <c r="BF147" i="29"/>
  <c r="AK147" i="29"/>
  <c r="O170" i="50"/>
  <c r="A171" i="50"/>
  <c r="CJ146" i="29"/>
  <c r="AT147" i="29"/>
  <c r="DK146" i="29"/>
  <c r="DP146" i="29"/>
  <c r="V101" i="46"/>
  <c r="D101" i="46" s="1"/>
  <c r="T101" i="46"/>
  <c r="U101" i="46"/>
  <c r="AJ147" i="29"/>
  <c r="AJ148" i="29" s="1"/>
  <c r="BO146" i="29"/>
  <c r="DF146" i="29"/>
  <c r="AG103" i="29" l="1"/>
  <c r="Y104" i="29"/>
  <c r="K113" i="50" s="1"/>
  <c r="CD173" i="29"/>
  <c r="CC173" i="29"/>
  <c r="BL125" i="29"/>
  <c r="BK125" i="29"/>
  <c r="BJ125" i="29"/>
  <c r="BU124" i="29"/>
  <c r="BT124" i="29"/>
  <c r="BS124" i="29"/>
  <c r="BR125" i="29"/>
  <c r="DL126" i="29"/>
  <c r="DQ175" i="29"/>
  <c r="CA174" i="29"/>
  <c r="DH126" i="29"/>
  <c r="BI126" i="29" s="1"/>
  <c r="DG127" i="29"/>
  <c r="CN149" i="29"/>
  <c r="CM149" i="29"/>
  <c r="CK151" i="29"/>
  <c r="CL150" i="29"/>
  <c r="AS149" i="29"/>
  <c r="E149" i="29" s="1"/>
  <c r="AJ149" i="29" s="1"/>
  <c r="BF148" i="29"/>
  <c r="B157" i="50"/>
  <c r="R157" i="50" s="1"/>
  <c r="AK148" i="29"/>
  <c r="T102" i="46"/>
  <c r="V102" i="46"/>
  <c r="D102" i="46" s="1"/>
  <c r="U102" i="46"/>
  <c r="A172" i="50"/>
  <c r="O171" i="50"/>
  <c r="G101" i="46"/>
  <c r="H101" i="46" s="1"/>
  <c r="J101" i="46" s="1"/>
  <c r="N101" i="46" s="1"/>
  <c r="CJ147" i="29"/>
  <c r="AT148" i="29"/>
  <c r="DK147" i="29"/>
  <c r="DP147" i="29"/>
  <c r="BO147" i="29"/>
  <c r="DF147" i="29"/>
  <c r="AB104" i="29" l="1"/>
  <c r="M113" i="50" s="1"/>
  <c r="AG104" i="29"/>
  <c r="Y105" i="29"/>
  <c r="BL126" i="29"/>
  <c r="BK126" i="29"/>
  <c r="BJ126" i="29"/>
  <c r="BU125" i="29"/>
  <c r="BT125" i="29"/>
  <c r="BS125" i="29"/>
  <c r="CA175" i="29"/>
  <c r="DQ176" i="29"/>
  <c r="DG128" i="29"/>
  <c r="DH127" i="29"/>
  <c r="BI127" i="29" s="1"/>
  <c r="DL127" i="29"/>
  <c r="BR126" i="29"/>
  <c r="CD174" i="29"/>
  <c r="CC174" i="29"/>
  <c r="CN150" i="29"/>
  <c r="CM150" i="29"/>
  <c r="CL151" i="29"/>
  <c r="CK152" i="29"/>
  <c r="AT149" i="29"/>
  <c r="CJ148" i="29"/>
  <c r="DK148" i="29"/>
  <c r="DP148" i="29"/>
  <c r="V103" i="46"/>
  <c r="D103" i="46" s="1"/>
  <c r="T103" i="46"/>
  <c r="U103" i="46"/>
  <c r="O172" i="50"/>
  <c r="A173" i="50"/>
  <c r="AS150" i="29"/>
  <c r="E150" i="29" s="1"/>
  <c r="BF149" i="29"/>
  <c r="B158" i="50"/>
  <c r="R158" i="50" s="1"/>
  <c r="AK149" i="29"/>
  <c r="G102" i="46"/>
  <c r="H102" i="46" s="1"/>
  <c r="J102" i="46" s="1"/>
  <c r="N102" i="46" s="1"/>
  <c r="BO148" i="29"/>
  <c r="DF148" i="29"/>
  <c r="K114" i="50" l="1"/>
  <c r="AB105" i="29"/>
  <c r="CC175" i="29"/>
  <c r="CD175" i="29"/>
  <c r="BS126" i="29"/>
  <c r="BT126" i="29"/>
  <c r="BU126" i="29"/>
  <c r="CA176" i="29"/>
  <c r="DQ177" i="29"/>
  <c r="DL128" i="29"/>
  <c r="BR127" i="29"/>
  <c r="BL127" i="29"/>
  <c r="BJ127" i="29"/>
  <c r="BK127" i="29"/>
  <c r="DG129" i="29"/>
  <c r="DH128" i="29"/>
  <c r="BI128" i="29" s="1"/>
  <c r="CK153" i="29"/>
  <c r="CL152" i="29"/>
  <c r="CM151" i="29"/>
  <c r="CN151" i="29"/>
  <c r="T104" i="46"/>
  <c r="V104" i="46"/>
  <c r="D104" i="46" s="1"/>
  <c r="U104" i="46"/>
  <c r="BO149" i="29"/>
  <c r="DF149" i="29"/>
  <c r="CJ149" i="29"/>
  <c r="AT150" i="29"/>
  <c r="DK149" i="29"/>
  <c r="DP149" i="29"/>
  <c r="O173" i="50"/>
  <c r="A174" i="50"/>
  <c r="AS151" i="29"/>
  <c r="E151" i="29" s="1"/>
  <c r="BF150" i="29"/>
  <c r="B159" i="50"/>
  <c r="R159" i="50" s="1"/>
  <c r="G103" i="46"/>
  <c r="H103" i="46" s="1"/>
  <c r="J103" i="46" s="1"/>
  <c r="N103" i="46" s="1"/>
  <c r="AK150" i="29"/>
  <c r="AJ150" i="29"/>
  <c r="Y106" i="29" l="1"/>
  <c r="K115" i="50" s="1"/>
  <c r="M114" i="50"/>
  <c r="AB106" i="29"/>
  <c r="AG105" i="29"/>
  <c r="BR128" i="29"/>
  <c r="DL129" i="29"/>
  <c r="CA177" i="29"/>
  <c r="DQ178" i="29"/>
  <c r="BL128" i="29"/>
  <c r="BJ128" i="29"/>
  <c r="BK128" i="29"/>
  <c r="CD176" i="29"/>
  <c r="CC176" i="29"/>
  <c r="DH129" i="29"/>
  <c r="BI129" i="29" s="1"/>
  <c r="DG130" i="29"/>
  <c r="BS127" i="29"/>
  <c r="BT127" i="29"/>
  <c r="BU127" i="29"/>
  <c r="AJ151" i="29"/>
  <c r="AK151" i="29"/>
  <c r="CM152" i="29"/>
  <c r="CN152" i="29"/>
  <c r="CL153" i="29"/>
  <c r="CK154" i="29"/>
  <c r="V105" i="46"/>
  <c r="D105" i="46" s="1"/>
  <c r="T105" i="46"/>
  <c r="U105" i="46"/>
  <c r="AS152" i="29"/>
  <c r="E152" i="29" s="1"/>
  <c r="AJ152" i="29" s="1"/>
  <c r="B160" i="50"/>
  <c r="R160" i="50" s="1"/>
  <c r="BF151" i="29"/>
  <c r="BO150" i="29"/>
  <c r="DF150" i="29"/>
  <c r="O174" i="50"/>
  <c r="A175" i="50"/>
  <c r="CJ150" i="29"/>
  <c r="AT151" i="29"/>
  <c r="DK150" i="29"/>
  <c r="DP150" i="29"/>
  <c r="G104" i="46"/>
  <c r="H104" i="46" s="1"/>
  <c r="J104" i="46" s="1"/>
  <c r="N104" i="46" s="1"/>
  <c r="M115" i="50" l="1"/>
  <c r="AG106" i="29"/>
  <c r="Y107" i="29"/>
  <c r="K116" i="50" s="1"/>
  <c r="CA178" i="29"/>
  <c r="DQ179" i="29"/>
  <c r="DL130" i="29"/>
  <c r="BR129" i="29"/>
  <c r="DG131" i="29"/>
  <c r="DH130" i="29"/>
  <c r="BI130" i="29" s="1"/>
  <c r="CC177" i="29"/>
  <c r="CD177" i="29"/>
  <c r="BK129" i="29"/>
  <c r="BL129" i="29"/>
  <c r="BJ129" i="29"/>
  <c r="BT128" i="29"/>
  <c r="BS128" i="29"/>
  <c r="BU128" i="29"/>
  <c r="CK155" i="29"/>
  <c r="CL154" i="29"/>
  <c r="CM153" i="29"/>
  <c r="CN153" i="29"/>
  <c r="A176" i="50"/>
  <c r="O175" i="50"/>
  <c r="AS153" i="29"/>
  <c r="E153" i="29" s="1"/>
  <c r="AJ153" i="29" s="1"/>
  <c r="B161" i="50"/>
  <c r="R161" i="50" s="1"/>
  <c r="BF152" i="29"/>
  <c r="T106" i="46"/>
  <c r="G106" i="46" s="1"/>
  <c r="H106" i="46" s="1"/>
  <c r="J106" i="46" s="1"/>
  <c r="N106" i="46" s="1"/>
  <c r="V106" i="46"/>
  <c r="D106" i="46" s="1"/>
  <c r="U106" i="46"/>
  <c r="CJ151" i="29"/>
  <c r="AT152" i="29"/>
  <c r="DK151" i="29"/>
  <c r="DP151" i="29"/>
  <c r="AK152" i="29"/>
  <c r="BO151" i="29"/>
  <c r="DF151" i="29"/>
  <c r="G105" i="46"/>
  <c r="H105" i="46" s="1"/>
  <c r="J105" i="46" s="1"/>
  <c r="N105" i="46" s="1"/>
  <c r="AB107" i="29" l="1"/>
  <c r="AK153" i="29"/>
  <c r="BK130" i="29"/>
  <c r="BL130" i="29"/>
  <c r="BJ130" i="29"/>
  <c r="DQ180" i="29"/>
  <c r="CA179" i="29"/>
  <c r="BT129" i="29"/>
  <c r="BU129" i="29"/>
  <c r="BS129" i="29"/>
  <c r="BR130" i="29"/>
  <c r="DL131" i="29"/>
  <c r="DH131" i="29"/>
  <c r="BI131" i="29" s="1"/>
  <c r="DG132" i="29"/>
  <c r="CC178" i="29"/>
  <c r="CD178" i="29"/>
  <c r="CM154" i="29"/>
  <c r="CN154" i="29"/>
  <c r="CL155" i="29"/>
  <c r="CK156" i="29"/>
  <c r="A177" i="50"/>
  <c r="O176" i="50"/>
  <c r="BO152" i="29"/>
  <c r="DF152" i="29"/>
  <c r="CJ152" i="29"/>
  <c r="AT153" i="29"/>
  <c r="DK152" i="29"/>
  <c r="DP152" i="29"/>
  <c r="V107" i="46"/>
  <c r="D107" i="46" s="1"/>
  <c r="T107" i="46"/>
  <c r="U107" i="46"/>
  <c r="AS154" i="29"/>
  <c r="E154" i="29" s="1"/>
  <c r="AJ154" i="29" s="1"/>
  <c r="BF153" i="29"/>
  <c r="B162" i="50"/>
  <c r="R162" i="50" s="1"/>
  <c r="Y108" i="29" l="1"/>
  <c r="K117" i="50" s="1"/>
  <c r="M116" i="50"/>
  <c r="AG107" i="29"/>
  <c r="AB108" i="29"/>
  <c r="DG133" i="29"/>
  <c r="DH132" i="29"/>
  <c r="BI132" i="29" s="1"/>
  <c r="BJ131" i="29"/>
  <c r="BK131" i="29"/>
  <c r="BL131" i="29"/>
  <c r="BR131" i="29"/>
  <c r="DL132" i="29"/>
  <c r="DQ181" i="29"/>
  <c r="CA180" i="29"/>
  <c r="BU130" i="29"/>
  <c r="BT130" i="29"/>
  <c r="BS130" i="29"/>
  <c r="CD179" i="29"/>
  <c r="CC179" i="29"/>
  <c r="CL156" i="29"/>
  <c r="CK157" i="29"/>
  <c r="CM155" i="29"/>
  <c r="CN155" i="29"/>
  <c r="T108" i="46"/>
  <c r="G108" i="46" s="1"/>
  <c r="H108" i="46" s="1"/>
  <c r="J108" i="46" s="1"/>
  <c r="N108" i="46" s="1"/>
  <c r="V108" i="46"/>
  <c r="D108" i="46" s="1"/>
  <c r="U108" i="46"/>
  <c r="BO153" i="29"/>
  <c r="DF153" i="29"/>
  <c r="AS155" i="29"/>
  <c r="E155" i="29" s="1"/>
  <c r="B163" i="50"/>
  <c r="R163" i="50" s="1"/>
  <c r="BF154" i="29"/>
  <c r="G107" i="46"/>
  <c r="H107" i="46" s="1"/>
  <c r="J107" i="46" s="1"/>
  <c r="N107" i="46" s="1"/>
  <c r="CJ153" i="29"/>
  <c r="AT154" i="29"/>
  <c r="DK153" i="29"/>
  <c r="DP153" i="29"/>
  <c r="AK154" i="29"/>
  <c r="O177" i="50"/>
  <c r="A178" i="50"/>
  <c r="AG108" i="29" l="1"/>
  <c r="M117" i="50"/>
  <c r="Y109" i="29"/>
  <c r="K118" i="50" s="1"/>
  <c r="DQ182" i="29"/>
  <c r="CA181" i="29"/>
  <c r="BS131" i="29"/>
  <c r="BT131" i="29"/>
  <c r="BU131" i="29"/>
  <c r="BK132" i="29"/>
  <c r="BL132" i="29"/>
  <c r="BJ132" i="29"/>
  <c r="BR132" i="29"/>
  <c r="DL133" i="29"/>
  <c r="CC180" i="29"/>
  <c r="CD180" i="29"/>
  <c r="DH133" i="29"/>
  <c r="BI133" i="29" s="1"/>
  <c r="DG134" i="29"/>
  <c r="CK158" i="29"/>
  <c r="CL157" i="29"/>
  <c r="CN156" i="29"/>
  <c r="CM156" i="29"/>
  <c r="AS156" i="29"/>
  <c r="E156" i="29" s="1"/>
  <c r="B164" i="50"/>
  <c r="R164" i="50" s="1"/>
  <c r="BF155" i="29"/>
  <c r="AK155" i="29"/>
  <c r="O178" i="50"/>
  <c r="A179" i="50"/>
  <c r="BO154" i="29"/>
  <c r="DF154" i="29"/>
  <c r="AT155" i="29"/>
  <c r="CJ154" i="29"/>
  <c r="DK154" i="29"/>
  <c r="DP154" i="29"/>
  <c r="V109" i="46"/>
  <c r="D109" i="46" s="1"/>
  <c r="T109" i="46"/>
  <c r="G109" i="46" s="1"/>
  <c r="H109" i="46" s="1"/>
  <c r="J109" i="46" s="1"/>
  <c r="N109" i="46" s="1"/>
  <c r="U109" i="46"/>
  <c r="AJ155" i="29"/>
  <c r="AB109" i="29" l="1"/>
  <c r="AK156" i="29"/>
  <c r="AJ156" i="29"/>
  <c r="Y110" i="29"/>
  <c r="K119" i="50" s="1"/>
  <c r="M118" i="50"/>
  <c r="AG109" i="29"/>
  <c r="DG135" i="29"/>
  <c r="DH134" i="29"/>
  <c r="BI134" i="29" s="1"/>
  <c r="BL133" i="29"/>
  <c r="BK133" i="29"/>
  <c r="BJ133" i="29"/>
  <c r="DL134" i="29"/>
  <c r="BR133" i="29"/>
  <c r="CC181" i="29"/>
  <c r="CD181" i="29"/>
  <c r="BU132" i="29"/>
  <c r="BT132" i="29"/>
  <c r="BS132" i="29"/>
  <c r="DQ183" i="29"/>
  <c r="CA182" i="29"/>
  <c r="CN157" i="29"/>
  <c r="CM157" i="29"/>
  <c r="CK159" i="29"/>
  <c r="CL158" i="29"/>
  <c r="BO155" i="29"/>
  <c r="DF155" i="29"/>
  <c r="A180" i="50"/>
  <c r="O179" i="50"/>
  <c r="T110" i="46"/>
  <c r="V110" i="46"/>
  <c r="D110" i="46" s="1"/>
  <c r="U110" i="46"/>
  <c r="AT156" i="29"/>
  <c r="CJ155" i="29"/>
  <c r="DK155" i="29"/>
  <c r="DP155" i="29"/>
  <c r="AS157" i="29"/>
  <c r="E157" i="29" s="1"/>
  <c r="B165" i="50"/>
  <c r="R165" i="50" s="1"/>
  <c r="BF156" i="29"/>
  <c r="AB110" i="29" l="1"/>
  <c r="BR134" i="29"/>
  <c r="DL135" i="29"/>
  <c r="BJ134" i="29"/>
  <c r="BK134" i="29"/>
  <c r="BL134" i="29"/>
  <c r="BU133" i="29"/>
  <c r="BT133" i="29"/>
  <c r="BS133" i="29"/>
  <c r="CC182" i="29"/>
  <c r="CD182" i="29"/>
  <c r="CA183" i="29"/>
  <c r="DQ184" i="29"/>
  <c r="DG136" i="29"/>
  <c r="DH135" i="29"/>
  <c r="BI135" i="29" s="1"/>
  <c r="CN158" i="29"/>
  <c r="CM158" i="29"/>
  <c r="CK160" i="29"/>
  <c r="CL159" i="29"/>
  <c r="V111" i="46"/>
  <c r="D111" i="46" s="1"/>
  <c r="T111" i="46"/>
  <c r="U111" i="46"/>
  <c r="BO156" i="29"/>
  <c r="DF156" i="29"/>
  <c r="AT157" i="29"/>
  <c r="CJ156" i="29"/>
  <c r="DK156" i="29"/>
  <c r="DP156" i="29"/>
  <c r="G110" i="46"/>
  <c r="H110" i="46" s="1"/>
  <c r="J110" i="46" s="1"/>
  <c r="N110" i="46" s="1"/>
  <c r="AS158" i="29"/>
  <c r="E158" i="29" s="1"/>
  <c r="BF157" i="29"/>
  <c r="B166" i="50"/>
  <c r="R166" i="50" s="1"/>
  <c r="AJ157" i="29"/>
  <c r="O180" i="50"/>
  <c r="A181" i="50"/>
  <c r="AK157" i="29"/>
  <c r="Y111" i="29" l="1"/>
  <c r="AG110" i="29"/>
  <c r="M119" i="50"/>
  <c r="BK135" i="29"/>
  <c r="BJ135" i="29"/>
  <c r="BL135" i="29"/>
  <c r="DQ185" i="29"/>
  <c r="CA184" i="29"/>
  <c r="CC183" i="29"/>
  <c r="CD183" i="29"/>
  <c r="DH136" i="29"/>
  <c r="BI136" i="29" s="1"/>
  <c r="DG137" i="29"/>
  <c r="DL136" i="29"/>
  <c r="BR135" i="29"/>
  <c r="BU134" i="29"/>
  <c r="BT134" i="29"/>
  <c r="BS134" i="29"/>
  <c r="CM159" i="29"/>
  <c r="CN159" i="29"/>
  <c r="CL160" i="29"/>
  <c r="CK161" i="29"/>
  <c r="AS159" i="29"/>
  <c r="E159" i="29" s="1"/>
  <c r="BF158" i="29"/>
  <c r="B167" i="50"/>
  <c r="R167" i="50" s="1"/>
  <c r="T112" i="46"/>
  <c r="V112" i="46"/>
  <c r="D112" i="46" s="1"/>
  <c r="U112" i="46"/>
  <c r="O181" i="50"/>
  <c r="A182" i="50"/>
  <c r="G111" i="46"/>
  <c r="H111" i="46" s="1"/>
  <c r="J111" i="46" s="1"/>
  <c r="N111" i="46" s="1"/>
  <c r="AJ158" i="29"/>
  <c r="BO157" i="29"/>
  <c r="DF157" i="29"/>
  <c r="AK158" i="29"/>
  <c r="CJ157" i="29"/>
  <c r="AT158" i="29"/>
  <c r="DK157" i="29"/>
  <c r="DP157" i="29"/>
  <c r="AK159" i="29" l="1"/>
  <c r="K120" i="50"/>
  <c r="AB111" i="29"/>
  <c r="DQ186" i="29"/>
  <c r="CA185" i="29"/>
  <c r="BS135" i="29"/>
  <c r="BU135" i="29"/>
  <c r="BT135" i="29"/>
  <c r="BR136" i="29"/>
  <c r="DL137" i="29"/>
  <c r="BJ136" i="29"/>
  <c r="BK136" i="29"/>
  <c r="BL136" i="29"/>
  <c r="DH137" i="29"/>
  <c r="BI137" i="29" s="1"/>
  <c r="DG138" i="29"/>
  <c r="CC184" i="29"/>
  <c r="CD184" i="29"/>
  <c r="AJ159" i="29"/>
  <c r="CL161" i="29"/>
  <c r="CK162" i="29"/>
  <c r="CM160" i="29"/>
  <c r="CN160" i="29"/>
  <c r="V113" i="46"/>
  <c r="D113" i="46" s="1"/>
  <c r="T113" i="46"/>
  <c r="G113" i="46" s="1"/>
  <c r="H113" i="46" s="1"/>
  <c r="J113" i="46" s="1"/>
  <c r="N113" i="46" s="1"/>
  <c r="U113" i="46"/>
  <c r="G112" i="46"/>
  <c r="H112" i="46" s="1"/>
  <c r="J112" i="46" s="1"/>
  <c r="N112" i="46" s="1"/>
  <c r="BO158" i="29"/>
  <c r="DF158" i="29"/>
  <c r="O182" i="50"/>
  <c r="A183" i="50"/>
  <c r="CJ158" i="29"/>
  <c r="AT159" i="29"/>
  <c r="DK158" i="29"/>
  <c r="DP158" i="29"/>
  <c r="AS160" i="29"/>
  <c r="E160" i="29" s="1"/>
  <c r="AK160" i="29" s="1"/>
  <c r="BF159" i="29"/>
  <c r="B168" i="50"/>
  <c r="R168" i="50" s="1"/>
  <c r="Y112" i="29" l="1"/>
  <c r="K121" i="50" s="1"/>
  <c r="AB112" i="29"/>
  <c r="M120" i="50"/>
  <c r="AG111" i="29"/>
  <c r="DG139" i="29"/>
  <c r="DH138" i="29"/>
  <c r="BI138" i="29" s="1"/>
  <c r="BR137" i="29"/>
  <c r="DL138" i="29"/>
  <c r="BS136" i="29"/>
  <c r="BT136" i="29"/>
  <c r="BU136" i="29"/>
  <c r="BL137" i="29"/>
  <c r="BK137" i="29"/>
  <c r="BJ137" i="29"/>
  <c r="CD185" i="29"/>
  <c r="CC185" i="29"/>
  <c r="DQ187" i="29"/>
  <c r="CA186" i="29"/>
  <c r="CK163" i="29"/>
  <c r="CL162" i="29"/>
  <c r="CM161" i="29"/>
  <c r="CN161" i="29"/>
  <c r="CJ159" i="29"/>
  <c r="AT160" i="29"/>
  <c r="DK159" i="29"/>
  <c r="DP159" i="29"/>
  <c r="AS161" i="29"/>
  <c r="E161" i="29" s="1"/>
  <c r="AK161" i="29" s="1"/>
  <c r="BF160" i="29"/>
  <c r="B169" i="50"/>
  <c r="R169" i="50" s="1"/>
  <c r="A184" i="50"/>
  <c r="O183" i="50"/>
  <c r="AJ160" i="29"/>
  <c r="BO159" i="29"/>
  <c r="DF159" i="29"/>
  <c r="T114" i="46"/>
  <c r="V114" i="46"/>
  <c r="D114" i="46" s="1"/>
  <c r="U114" i="46"/>
  <c r="AG112" i="29" l="1"/>
  <c r="Y113" i="29"/>
  <c r="K122" i="50" s="1"/>
  <c r="M121" i="50"/>
  <c r="AB113" i="29"/>
  <c r="AJ161" i="29"/>
  <c r="BT137" i="29"/>
  <c r="BS137" i="29"/>
  <c r="BU137" i="29"/>
  <c r="DQ188" i="29"/>
  <c r="CA188" i="29" s="1"/>
  <c r="CA187" i="29"/>
  <c r="BL138" i="29"/>
  <c r="BK138" i="29"/>
  <c r="BJ138" i="29"/>
  <c r="DL139" i="29"/>
  <c r="BR138" i="29"/>
  <c r="CD186" i="29"/>
  <c r="CC186" i="29"/>
  <c r="DG140" i="29"/>
  <c r="DH139" i="29"/>
  <c r="BI139" i="29" s="1"/>
  <c r="CM162" i="29"/>
  <c r="CN162" i="29"/>
  <c r="CK164" i="29"/>
  <c r="CL163" i="29"/>
  <c r="G114" i="46"/>
  <c r="H114" i="46" s="1"/>
  <c r="J114" i="46" s="1"/>
  <c r="N114" i="46" s="1"/>
  <c r="BO160" i="29"/>
  <c r="DF160" i="29"/>
  <c r="V115" i="46"/>
  <c r="D115" i="46" s="1"/>
  <c r="T115" i="46"/>
  <c r="U115" i="46"/>
  <c r="AT161" i="29"/>
  <c r="CJ160" i="29"/>
  <c r="DK160" i="29"/>
  <c r="DP160" i="29"/>
  <c r="A185" i="50"/>
  <c r="O184" i="50"/>
  <c r="AS162" i="29"/>
  <c r="E162" i="29" s="1"/>
  <c r="AK162" i="29" s="1"/>
  <c r="BF161" i="29"/>
  <c r="B170" i="50"/>
  <c r="R170" i="50" s="1"/>
  <c r="Y114" i="29" l="1"/>
  <c r="K123" i="50" s="1"/>
  <c r="M122" i="50"/>
  <c r="AG113" i="29"/>
  <c r="CD188" i="29"/>
  <c r="CC188" i="29"/>
  <c r="BK139" i="29"/>
  <c r="BL139" i="29"/>
  <c r="BJ139" i="29"/>
  <c r="BS138" i="29"/>
  <c r="BU138" i="29"/>
  <c r="BT138" i="29"/>
  <c r="DH140" i="29"/>
  <c r="BI140" i="29" s="1"/>
  <c r="DG141" i="29"/>
  <c r="BR139" i="29"/>
  <c r="DL140" i="29"/>
  <c r="CC187" i="29"/>
  <c r="CD187" i="29"/>
  <c r="CM163" i="29"/>
  <c r="CN163" i="29"/>
  <c r="CK165" i="29"/>
  <c r="CL164" i="29"/>
  <c r="AS163" i="29"/>
  <c r="E163" i="29" s="1"/>
  <c r="BF162" i="29"/>
  <c r="B171" i="50"/>
  <c r="R171" i="50" s="1"/>
  <c r="T116" i="46"/>
  <c r="G116" i="46" s="1"/>
  <c r="H116" i="46" s="1"/>
  <c r="J116" i="46" s="1"/>
  <c r="N116" i="46" s="1"/>
  <c r="V116" i="46"/>
  <c r="D116" i="46" s="1"/>
  <c r="U116" i="46"/>
  <c r="G115" i="46"/>
  <c r="H115" i="46" s="1"/>
  <c r="J115" i="46" s="1"/>
  <c r="N115" i="46" s="1"/>
  <c r="BO161" i="29"/>
  <c r="DF161" i="29"/>
  <c r="AJ162" i="29"/>
  <c r="A186" i="50"/>
  <c r="O185" i="50"/>
  <c r="AT162" i="29"/>
  <c r="CJ161" i="29"/>
  <c r="DK161" i="29"/>
  <c r="DP161" i="29"/>
  <c r="AB114" i="29" l="1"/>
  <c r="DL141" i="29"/>
  <c r="BR140" i="29"/>
  <c r="BT139" i="29"/>
  <c r="BS139" i="29"/>
  <c r="BU139" i="29"/>
  <c r="DG142" i="29"/>
  <c r="DH141" i="29"/>
  <c r="BI141" i="29" s="1"/>
  <c r="BK140" i="29"/>
  <c r="BL140" i="29"/>
  <c r="BJ140" i="29"/>
  <c r="CN164" i="29"/>
  <c r="CM164" i="29"/>
  <c r="CL165" i="29"/>
  <c r="CK166" i="29"/>
  <c r="O186" i="50"/>
  <c r="A187" i="50"/>
  <c r="AS164" i="29"/>
  <c r="E164" i="29" s="1"/>
  <c r="BF163" i="29"/>
  <c r="B172" i="50"/>
  <c r="R172" i="50" s="1"/>
  <c r="AJ163" i="29"/>
  <c r="CJ162" i="29"/>
  <c r="AT163" i="29"/>
  <c r="DK162" i="29"/>
  <c r="DP162" i="29"/>
  <c r="V117" i="46"/>
  <c r="D117" i="46" s="1"/>
  <c r="T117" i="46"/>
  <c r="U117" i="46"/>
  <c r="BO162" i="29"/>
  <c r="DF162" i="29"/>
  <c r="AK163" i="29"/>
  <c r="AG114" i="29" l="1"/>
  <c r="M123" i="50"/>
  <c r="Y115" i="29"/>
  <c r="BL141" i="29"/>
  <c r="BK141" i="29"/>
  <c r="BJ141" i="29"/>
  <c r="BS140" i="29"/>
  <c r="BT140" i="29"/>
  <c r="BU140" i="29"/>
  <c r="DH142" i="29"/>
  <c r="BI142" i="29" s="1"/>
  <c r="DG143" i="29"/>
  <c r="DL142" i="29"/>
  <c r="BR141" i="29"/>
  <c r="CK167" i="29"/>
  <c r="CL166" i="29"/>
  <c r="CN165" i="29"/>
  <c r="CM165" i="29"/>
  <c r="T118" i="46"/>
  <c r="G118" i="46" s="1"/>
  <c r="H118" i="46" s="1"/>
  <c r="J118" i="46" s="1"/>
  <c r="N118" i="46" s="1"/>
  <c r="V118" i="46"/>
  <c r="D118" i="46" s="1"/>
  <c r="U118" i="46"/>
  <c r="CJ163" i="29"/>
  <c r="AT164" i="29"/>
  <c r="DK163" i="29"/>
  <c r="DP163" i="29"/>
  <c r="AJ164" i="29"/>
  <c r="O187" i="50"/>
  <c r="A188" i="50"/>
  <c r="BO163" i="29"/>
  <c r="DF163" i="29"/>
  <c r="AS165" i="29"/>
  <c r="E165" i="29" s="1"/>
  <c r="B173" i="50"/>
  <c r="R173" i="50" s="1"/>
  <c r="BF164" i="29"/>
  <c r="AK164" i="29"/>
  <c r="G117" i="46"/>
  <c r="H117" i="46" s="1"/>
  <c r="J117" i="46" s="1"/>
  <c r="N117" i="46" s="1"/>
  <c r="K124" i="50" l="1"/>
  <c r="AB115" i="29"/>
  <c r="BU141" i="29"/>
  <c r="BS141" i="29"/>
  <c r="BT141" i="29"/>
  <c r="DG144" i="29"/>
  <c r="DH143" i="29"/>
  <c r="BI143" i="29" s="1"/>
  <c r="BL142" i="29"/>
  <c r="BJ142" i="29"/>
  <c r="BK142" i="29"/>
  <c r="DL143" i="29"/>
  <c r="BR142" i="29"/>
  <c r="CN166" i="29"/>
  <c r="CM166" i="29"/>
  <c r="CK168" i="29"/>
  <c r="CL167" i="29"/>
  <c r="AS166" i="29"/>
  <c r="E166" i="29" s="1"/>
  <c r="BF165" i="29"/>
  <c r="B174" i="50"/>
  <c r="R174" i="50" s="1"/>
  <c r="AK165" i="29"/>
  <c r="AK166" i="29" s="1"/>
  <c r="AT165" i="29"/>
  <c r="CJ164" i="29"/>
  <c r="DK164" i="29"/>
  <c r="DP164" i="29"/>
  <c r="BO164" i="29"/>
  <c r="DF164" i="29"/>
  <c r="O188" i="50"/>
  <c r="A189" i="50"/>
  <c r="AJ165" i="29"/>
  <c r="AJ166" i="29" s="1"/>
  <c r="V119" i="46"/>
  <c r="D119" i="46" s="1"/>
  <c r="T119" i="46"/>
  <c r="U119" i="46"/>
  <c r="Y116" i="29" l="1"/>
  <c r="K125" i="50" s="1"/>
  <c r="M124" i="50"/>
  <c r="AB116" i="29"/>
  <c r="AG115" i="29"/>
  <c r="BT142" i="29"/>
  <c r="BS142" i="29"/>
  <c r="BU142" i="29"/>
  <c r="DH144" i="29"/>
  <c r="BI144" i="29" s="1"/>
  <c r="DG145" i="29"/>
  <c r="BR143" i="29"/>
  <c r="DL144" i="29"/>
  <c r="BJ143" i="29"/>
  <c r="BL143" i="29"/>
  <c r="BK143" i="29"/>
  <c r="CM167" i="29"/>
  <c r="CN167" i="29"/>
  <c r="CK169" i="29"/>
  <c r="CL168" i="29"/>
  <c r="CJ165" i="29"/>
  <c r="AT166" i="29"/>
  <c r="DK165" i="29"/>
  <c r="DP165" i="29"/>
  <c r="T120" i="46"/>
  <c r="G120" i="46" s="1"/>
  <c r="H120" i="46" s="1"/>
  <c r="J120" i="46" s="1"/>
  <c r="N120" i="46" s="1"/>
  <c r="V120" i="46"/>
  <c r="D120" i="46" s="1"/>
  <c r="U120" i="46"/>
  <c r="BO165" i="29"/>
  <c r="DF165" i="29"/>
  <c r="O189" i="50"/>
  <c r="A190" i="50"/>
  <c r="G119" i="46"/>
  <c r="H119" i="46" s="1"/>
  <c r="J119" i="46" s="1"/>
  <c r="N119" i="46" s="1"/>
  <c r="AS167" i="29"/>
  <c r="E167" i="29" s="1"/>
  <c r="AJ167" i="29" s="1"/>
  <c r="BF166" i="29"/>
  <c r="B175" i="50"/>
  <c r="R175" i="50" s="1"/>
  <c r="M125" i="50" l="1"/>
  <c r="Y117" i="29"/>
  <c r="K126" i="50" s="1"/>
  <c r="AG116" i="29"/>
  <c r="BK144" i="29"/>
  <c r="BJ144" i="29"/>
  <c r="BL144" i="29"/>
  <c r="BR144" i="29"/>
  <c r="DL145" i="29"/>
  <c r="BU143" i="29"/>
  <c r="BT143" i="29"/>
  <c r="BS143" i="29"/>
  <c r="DH145" i="29"/>
  <c r="BI145" i="29" s="1"/>
  <c r="DG146" i="29"/>
  <c r="AK167" i="29"/>
  <c r="CM168" i="29"/>
  <c r="CN168" i="29"/>
  <c r="CL169" i="29"/>
  <c r="CK170" i="29"/>
  <c r="V121" i="46"/>
  <c r="D121" i="46" s="1"/>
  <c r="T121" i="46"/>
  <c r="U121" i="46"/>
  <c r="BO166" i="29"/>
  <c r="DF166" i="29"/>
  <c r="O190" i="50"/>
  <c r="A191" i="50"/>
  <c r="AS168" i="29"/>
  <c r="E168" i="29" s="1"/>
  <c r="BF167" i="29"/>
  <c r="B176" i="50"/>
  <c r="R176" i="50" s="1"/>
  <c r="AT167" i="29"/>
  <c r="CJ166" i="29"/>
  <c r="DK166" i="29"/>
  <c r="DP166" i="29"/>
  <c r="AB117" i="29" l="1"/>
  <c r="BT144" i="29"/>
  <c r="BS144" i="29"/>
  <c r="BU144" i="29"/>
  <c r="BJ145" i="29"/>
  <c r="BK145" i="29"/>
  <c r="BL145" i="29"/>
  <c r="DH146" i="29"/>
  <c r="BI146" i="29" s="1"/>
  <c r="DG147" i="29"/>
  <c r="AK168" i="29"/>
  <c r="DL146" i="29"/>
  <c r="BR145" i="29"/>
  <c r="CK171" i="29"/>
  <c r="CL170" i="29"/>
  <c r="CM169" i="29"/>
  <c r="CN169" i="29"/>
  <c r="AS169" i="29"/>
  <c r="E169" i="29" s="1"/>
  <c r="B177" i="50"/>
  <c r="R177" i="50" s="1"/>
  <c r="BF168" i="29"/>
  <c r="O191" i="50"/>
  <c r="A192" i="50"/>
  <c r="T122" i="46"/>
  <c r="G122" i="46" s="1"/>
  <c r="H122" i="46" s="1"/>
  <c r="J122" i="46" s="1"/>
  <c r="N122" i="46" s="1"/>
  <c r="V122" i="46"/>
  <c r="D122" i="46" s="1"/>
  <c r="U122" i="46"/>
  <c r="G121" i="46"/>
  <c r="H121" i="46" s="1"/>
  <c r="J121" i="46" s="1"/>
  <c r="N121" i="46" s="1"/>
  <c r="CJ167" i="29"/>
  <c r="AT168" i="29"/>
  <c r="DK167" i="29"/>
  <c r="DP167" i="29"/>
  <c r="BO167" i="29"/>
  <c r="DF167" i="29"/>
  <c r="AJ168" i="29"/>
  <c r="M126" i="50" l="1"/>
  <c r="AG117" i="29"/>
  <c r="Y118" i="29"/>
  <c r="K127" i="50" s="1"/>
  <c r="DG148" i="29"/>
  <c r="DH147" i="29"/>
  <c r="BI147" i="29" s="1"/>
  <c r="BU145" i="29"/>
  <c r="BT145" i="29"/>
  <c r="BS145" i="29"/>
  <c r="BK146" i="29"/>
  <c r="BJ146" i="29"/>
  <c r="BL146" i="29"/>
  <c r="DL147" i="29"/>
  <c r="BR146" i="29"/>
  <c r="AJ169" i="29"/>
  <c r="CM170" i="29"/>
  <c r="CN170" i="29"/>
  <c r="CL171" i="29"/>
  <c r="CK172" i="29"/>
  <c r="BO168" i="29"/>
  <c r="DF168" i="29"/>
  <c r="CJ168" i="29"/>
  <c r="AT169" i="29"/>
  <c r="DK168" i="29"/>
  <c r="DP168" i="29"/>
  <c r="O192" i="50"/>
  <c r="A193" i="50"/>
  <c r="AS170" i="29"/>
  <c r="E170" i="29" s="1"/>
  <c r="BF169" i="29"/>
  <c r="B178" i="50"/>
  <c r="R178" i="50" s="1"/>
  <c r="V123" i="46"/>
  <c r="D123" i="46" s="1"/>
  <c r="T123" i="46"/>
  <c r="U123" i="46"/>
  <c r="AK169" i="29"/>
  <c r="AB118" i="29" l="1"/>
  <c r="Y119" i="29"/>
  <c r="K128" i="50" s="1"/>
  <c r="AG118" i="29"/>
  <c r="M127" i="50"/>
  <c r="BT146" i="29"/>
  <c r="BS146" i="29"/>
  <c r="BU146" i="29"/>
  <c r="BJ147" i="29"/>
  <c r="BK147" i="29"/>
  <c r="BL147" i="29"/>
  <c r="BR147" i="29"/>
  <c r="DL148" i="29"/>
  <c r="DG149" i="29"/>
  <c r="DH148" i="29"/>
  <c r="BI148" i="29" s="1"/>
  <c r="AK170" i="29"/>
  <c r="CK173" i="29"/>
  <c r="CL172" i="29"/>
  <c r="CM171" i="29"/>
  <c r="CN171" i="29"/>
  <c r="T124" i="46"/>
  <c r="G124" i="46" s="1"/>
  <c r="H124" i="46" s="1"/>
  <c r="J124" i="46" s="1"/>
  <c r="N124" i="46" s="1"/>
  <c r="V124" i="46"/>
  <c r="D124" i="46" s="1"/>
  <c r="U124" i="46"/>
  <c r="BO169" i="29"/>
  <c r="DF169" i="29"/>
  <c r="O193" i="50"/>
  <c r="A194" i="50"/>
  <c r="G123" i="46"/>
  <c r="H123" i="46" s="1"/>
  <c r="J123" i="46" s="1"/>
  <c r="N123" i="46" s="1"/>
  <c r="CJ169" i="29"/>
  <c r="AT170" i="29"/>
  <c r="DK169" i="29"/>
  <c r="DP169" i="29"/>
  <c r="AS171" i="29"/>
  <c r="E171" i="29" s="1"/>
  <c r="BF170" i="29"/>
  <c r="B179" i="50"/>
  <c r="R179" i="50" s="1"/>
  <c r="AJ170" i="29"/>
  <c r="AB119" i="29" l="1"/>
  <c r="M128" i="50" s="1"/>
  <c r="AG119" i="29"/>
  <c r="BT147" i="29"/>
  <c r="BU147" i="29"/>
  <c r="BS147" i="29"/>
  <c r="BL148" i="29"/>
  <c r="BK148" i="29"/>
  <c r="BJ148" i="29"/>
  <c r="DL149" i="29"/>
  <c r="BR148" i="29"/>
  <c r="DH149" i="29"/>
  <c r="BI149" i="29" s="1"/>
  <c r="DG150" i="29"/>
  <c r="CN172" i="29"/>
  <c r="CM172" i="29"/>
  <c r="CL173" i="29"/>
  <c r="CK174" i="29"/>
  <c r="AS172" i="29"/>
  <c r="E172" i="29" s="1"/>
  <c r="B180" i="50"/>
  <c r="R180" i="50" s="1"/>
  <c r="BF171" i="29"/>
  <c r="AK171" i="29"/>
  <c r="BO170" i="29"/>
  <c r="DF170" i="29"/>
  <c r="O194" i="50"/>
  <c r="A195" i="50"/>
  <c r="AJ171" i="29"/>
  <c r="AT171" i="29"/>
  <c r="CJ170" i="29"/>
  <c r="DK170" i="29"/>
  <c r="DP170" i="29"/>
  <c r="V125" i="46"/>
  <c r="D125" i="46" s="1"/>
  <c r="T125" i="46"/>
  <c r="G125" i="46" s="1"/>
  <c r="H125" i="46" s="1"/>
  <c r="J125" i="46" s="1"/>
  <c r="N125" i="46" s="1"/>
  <c r="U125" i="46"/>
  <c r="Y120" i="29" l="1"/>
  <c r="DH150" i="29"/>
  <c r="BI150" i="29" s="1"/>
  <c r="DG151" i="29"/>
  <c r="BL149" i="29"/>
  <c r="BK149" i="29"/>
  <c r="BJ149" i="29"/>
  <c r="BT148" i="29"/>
  <c r="BS148" i="29"/>
  <c r="BU148" i="29"/>
  <c r="DL150" i="29"/>
  <c r="BR149" i="29"/>
  <c r="CK175" i="29"/>
  <c r="CL174" i="29"/>
  <c r="CM173" i="29"/>
  <c r="CN173" i="29"/>
  <c r="AS173" i="29"/>
  <c r="E173" i="29" s="1"/>
  <c r="B181" i="50"/>
  <c r="R181" i="50" s="1"/>
  <c r="BF172" i="29"/>
  <c r="AT172" i="29"/>
  <c r="CJ171" i="29"/>
  <c r="DK171" i="29"/>
  <c r="DP171" i="29"/>
  <c r="AJ172" i="29"/>
  <c r="O195" i="50"/>
  <c r="A196" i="50"/>
  <c r="AK172" i="29"/>
  <c r="T126" i="46"/>
  <c r="V126" i="46"/>
  <c r="D126" i="46" s="1"/>
  <c r="U126" i="46"/>
  <c r="BO171" i="29"/>
  <c r="DF171" i="29"/>
  <c r="K129" i="50" l="1"/>
  <c r="AB120" i="29"/>
  <c r="BS149" i="29"/>
  <c r="BT149" i="29"/>
  <c r="BU149" i="29"/>
  <c r="DG152" i="29"/>
  <c r="DH151" i="29"/>
  <c r="BI151" i="29" s="1"/>
  <c r="BR150" i="29"/>
  <c r="DL151" i="29"/>
  <c r="BK150" i="29"/>
  <c r="BJ150" i="29"/>
  <c r="BL150" i="29"/>
  <c r="CN174" i="29"/>
  <c r="CM174" i="29"/>
  <c r="CK176" i="29"/>
  <c r="CL175" i="29"/>
  <c r="AS174" i="29"/>
  <c r="E174" i="29" s="1"/>
  <c r="BF173" i="29"/>
  <c r="B182" i="50"/>
  <c r="R182" i="50" s="1"/>
  <c r="AK173" i="29"/>
  <c r="V127" i="46"/>
  <c r="D127" i="46" s="1"/>
  <c r="T127" i="46"/>
  <c r="U127" i="46"/>
  <c r="A197" i="50"/>
  <c r="O197" i="50" s="1"/>
  <c r="O196" i="50"/>
  <c r="G126" i="46"/>
  <c r="H126" i="46" s="1"/>
  <c r="J126" i="46" s="1"/>
  <c r="N126" i="46" s="1"/>
  <c r="AJ173" i="29"/>
  <c r="CJ172" i="29"/>
  <c r="AT173" i="29"/>
  <c r="DK172" i="29"/>
  <c r="DP172" i="29"/>
  <c r="BO172" i="29"/>
  <c r="DF172" i="29"/>
  <c r="M129" i="50" l="1"/>
  <c r="Y121" i="29"/>
  <c r="K130" i="50" s="1"/>
  <c r="AB121" i="29"/>
  <c r="AG120" i="29"/>
  <c r="DG153" i="29"/>
  <c r="DH152" i="29"/>
  <c r="BI152" i="29" s="1"/>
  <c r="DL152" i="29"/>
  <c r="BR151" i="29"/>
  <c r="BT150" i="29"/>
  <c r="BU150" i="29"/>
  <c r="BS150" i="29"/>
  <c r="BJ151" i="29"/>
  <c r="BK151" i="29"/>
  <c r="BL151" i="29"/>
  <c r="CL176" i="29"/>
  <c r="CK177" i="29"/>
  <c r="CM175" i="29"/>
  <c r="CN175" i="29"/>
  <c r="CJ173" i="29"/>
  <c r="AT174" i="29"/>
  <c r="DK173" i="29"/>
  <c r="DP173" i="29"/>
  <c r="G127" i="46"/>
  <c r="H127" i="46" s="1"/>
  <c r="J127" i="46" s="1"/>
  <c r="N127" i="46" s="1"/>
  <c r="AK174" i="29"/>
  <c r="AS175" i="29"/>
  <c r="E175" i="29" s="1"/>
  <c r="BF174" i="29"/>
  <c r="B183" i="50"/>
  <c r="R183" i="50" s="1"/>
  <c r="T128" i="46"/>
  <c r="V128" i="46"/>
  <c r="D128" i="46" s="1"/>
  <c r="U128" i="46"/>
  <c r="AJ174" i="29"/>
  <c r="BO173" i="29"/>
  <c r="DF173" i="29"/>
  <c r="M130" i="50" l="1"/>
  <c r="AG121" i="29"/>
  <c r="Y122" i="29"/>
  <c r="BJ152" i="29"/>
  <c r="BL152" i="29"/>
  <c r="BK152" i="29"/>
  <c r="BT151" i="29"/>
  <c r="BS151" i="29"/>
  <c r="BU151" i="29"/>
  <c r="DL153" i="29"/>
  <c r="BR152" i="29"/>
  <c r="DH153" i="29"/>
  <c r="BI153" i="29" s="1"/>
  <c r="DG154" i="29"/>
  <c r="CK178" i="29"/>
  <c r="CL177" i="29"/>
  <c r="CM176" i="29"/>
  <c r="CN176" i="29"/>
  <c r="AT175" i="29"/>
  <c r="CJ174" i="29"/>
  <c r="DK174" i="29"/>
  <c r="DP174" i="29"/>
  <c r="AJ175" i="29"/>
  <c r="AS176" i="29"/>
  <c r="E176" i="29" s="1"/>
  <c r="B184" i="50"/>
  <c r="R184" i="50" s="1"/>
  <c r="BF175" i="29"/>
  <c r="G128" i="46"/>
  <c r="H128" i="46" s="1"/>
  <c r="J128" i="46" s="1"/>
  <c r="N128" i="46" s="1"/>
  <c r="V129" i="46"/>
  <c r="D129" i="46" s="1"/>
  <c r="T129" i="46"/>
  <c r="U129" i="46"/>
  <c r="AK175" i="29"/>
  <c r="BO174" i="29"/>
  <c r="DF174" i="29"/>
  <c r="K131" i="50" l="1"/>
  <c r="AB122" i="29"/>
  <c r="BT152" i="29"/>
  <c r="BU152" i="29"/>
  <c r="BS152" i="29"/>
  <c r="DL154" i="29"/>
  <c r="BR153" i="29"/>
  <c r="DG155" i="29"/>
  <c r="DH154" i="29"/>
  <c r="BI154" i="29" s="1"/>
  <c r="BK153" i="29"/>
  <c r="BJ153" i="29"/>
  <c r="BL153" i="29"/>
  <c r="AK176" i="29"/>
  <c r="CM177" i="29"/>
  <c r="CN177" i="29"/>
  <c r="CL178" i="29"/>
  <c r="CK179" i="29"/>
  <c r="G129" i="46"/>
  <c r="H129" i="46" s="1"/>
  <c r="J129" i="46" s="1"/>
  <c r="N129" i="46" s="1"/>
  <c r="BO175" i="29"/>
  <c r="DF175" i="29"/>
  <c r="T130" i="46"/>
  <c r="G130" i="46" s="1"/>
  <c r="H130" i="46" s="1"/>
  <c r="J130" i="46" s="1"/>
  <c r="N130" i="46" s="1"/>
  <c r="V130" i="46"/>
  <c r="D130" i="46" s="1"/>
  <c r="U130" i="46"/>
  <c r="AS177" i="29"/>
  <c r="E177" i="29" s="1"/>
  <c r="BF176" i="29"/>
  <c r="B185" i="50"/>
  <c r="R185" i="50" s="1"/>
  <c r="AJ176" i="29"/>
  <c r="AT176" i="29"/>
  <c r="CJ175" i="29"/>
  <c r="DK175" i="29"/>
  <c r="DP175" i="29"/>
  <c r="M131" i="50" l="1"/>
  <c r="AG122" i="29"/>
  <c r="Y123" i="29"/>
  <c r="K132" i="50" s="1"/>
  <c r="BR154" i="29"/>
  <c r="DL155" i="29"/>
  <c r="DG156" i="29"/>
  <c r="DH155" i="29"/>
  <c r="BI155" i="29" s="1"/>
  <c r="BL154" i="29"/>
  <c r="BK154" i="29"/>
  <c r="BJ154" i="29"/>
  <c r="BU153" i="29"/>
  <c r="BT153" i="29"/>
  <c r="BS153" i="29"/>
  <c r="CK180" i="29"/>
  <c r="CL179" i="29"/>
  <c r="CN178" i="29"/>
  <c r="CM178" i="29"/>
  <c r="CJ176" i="29"/>
  <c r="AT177" i="29"/>
  <c r="DK176" i="29"/>
  <c r="DP176" i="29"/>
  <c r="AS178" i="29"/>
  <c r="E178" i="29" s="1"/>
  <c r="B186" i="50"/>
  <c r="R186" i="50" s="1"/>
  <c r="BF177" i="29"/>
  <c r="AK177" i="29"/>
  <c r="AK178" i="29" s="1"/>
  <c r="AJ177" i="29"/>
  <c r="AJ178" i="29" s="1"/>
  <c r="BO176" i="29"/>
  <c r="DF176" i="29"/>
  <c r="V131" i="46"/>
  <c r="D131" i="46" s="1"/>
  <c r="T131" i="46"/>
  <c r="U131" i="46"/>
  <c r="AB123" i="29" l="1"/>
  <c r="BK155" i="29"/>
  <c r="BL155" i="29"/>
  <c r="BJ155" i="29"/>
  <c r="DG157" i="29"/>
  <c r="DH156" i="29"/>
  <c r="BI156" i="29" s="1"/>
  <c r="DL156" i="29"/>
  <c r="BR155" i="29"/>
  <c r="BU154" i="29"/>
  <c r="BT154" i="29"/>
  <c r="BS154" i="29"/>
  <c r="CN179" i="29"/>
  <c r="CM179" i="29"/>
  <c r="CK181" i="29"/>
  <c r="CL180" i="29"/>
  <c r="BO177" i="29"/>
  <c r="DF177" i="29"/>
  <c r="AT178" i="29"/>
  <c r="CJ177" i="29"/>
  <c r="DK177" i="29"/>
  <c r="DP177" i="29"/>
  <c r="T132" i="46"/>
  <c r="V132" i="46"/>
  <c r="D132" i="46" s="1"/>
  <c r="U132" i="46"/>
  <c r="G131" i="46"/>
  <c r="H131" i="46" s="1"/>
  <c r="J131" i="46" s="1"/>
  <c r="N131" i="46" s="1"/>
  <c r="AS179" i="29"/>
  <c r="E179" i="29" s="1"/>
  <c r="AJ179" i="29" s="1"/>
  <c r="BF178" i="29"/>
  <c r="B187" i="50"/>
  <c r="R187" i="50" s="1"/>
  <c r="AG123" i="29" l="1"/>
  <c r="Y124" i="29"/>
  <c r="K133" i="50" s="1"/>
  <c r="M132" i="50"/>
  <c r="AB124" i="29"/>
  <c r="DH157" i="29"/>
  <c r="BI157" i="29" s="1"/>
  <c r="DG158" i="29"/>
  <c r="BS155" i="29"/>
  <c r="BT155" i="29"/>
  <c r="BU155" i="29"/>
  <c r="DL157" i="29"/>
  <c r="BR156" i="29"/>
  <c r="BJ156" i="29"/>
  <c r="BL156" i="29"/>
  <c r="BK156" i="29"/>
  <c r="AK179" i="29"/>
  <c r="CM180" i="29"/>
  <c r="CN180" i="29"/>
  <c r="CL181" i="29"/>
  <c r="CK182" i="29"/>
  <c r="V133" i="46"/>
  <c r="D133" i="46" s="1"/>
  <c r="T133" i="46"/>
  <c r="G133" i="46" s="1"/>
  <c r="H133" i="46" s="1"/>
  <c r="J133" i="46" s="1"/>
  <c r="N133" i="46" s="1"/>
  <c r="U133" i="46"/>
  <c r="G132" i="46"/>
  <c r="H132" i="46" s="1"/>
  <c r="J132" i="46" s="1"/>
  <c r="N132" i="46" s="1"/>
  <c r="AT179" i="29"/>
  <c r="CJ178" i="29"/>
  <c r="DK178" i="29"/>
  <c r="DP178" i="29"/>
  <c r="BO178" i="29"/>
  <c r="DF178" i="29"/>
  <c r="AS180" i="29"/>
  <c r="E180" i="29" s="1"/>
  <c r="B188" i="50"/>
  <c r="R188" i="50" s="1"/>
  <c r="BF179" i="29"/>
  <c r="M133" i="50" l="1"/>
  <c r="Y125" i="29"/>
  <c r="AG124" i="29"/>
  <c r="AK180" i="29"/>
  <c r="BS156" i="29"/>
  <c r="BT156" i="29"/>
  <c r="BU156" i="29"/>
  <c r="BR157" i="29"/>
  <c r="DL158" i="29"/>
  <c r="DG159" i="29"/>
  <c r="DH158" i="29"/>
  <c r="BI158" i="29" s="1"/>
  <c r="BK157" i="29"/>
  <c r="BJ157" i="29"/>
  <c r="BL157" i="29"/>
  <c r="CK183" i="29"/>
  <c r="CL182" i="29"/>
  <c r="CN181" i="29"/>
  <c r="CM181" i="29"/>
  <c r="AS181" i="29"/>
  <c r="E181" i="29" s="1"/>
  <c r="BF180" i="29"/>
  <c r="B189" i="50"/>
  <c r="R189" i="50" s="1"/>
  <c r="CJ179" i="29"/>
  <c r="AT180" i="29"/>
  <c r="DK179" i="29"/>
  <c r="DP179" i="29"/>
  <c r="AJ180" i="29"/>
  <c r="BO179" i="29"/>
  <c r="DF179" i="29"/>
  <c r="T134" i="46"/>
  <c r="G134" i="46" s="1"/>
  <c r="V134" i="46"/>
  <c r="U134" i="46"/>
  <c r="K134" i="50" l="1"/>
  <c r="AB125" i="29"/>
  <c r="BJ158" i="29"/>
  <c r="BL158" i="29"/>
  <c r="BK158" i="29"/>
  <c r="DH159" i="29"/>
  <c r="BI159" i="29" s="1"/>
  <c r="DG160" i="29"/>
  <c r="BR158" i="29"/>
  <c r="DL159" i="29"/>
  <c r="BT157" i="29"/>
  <c r="BU157" i="29"/>
  <c r="BS157" i="29"/>
  <c r="CM182" i="29"/>
  <c r="CN182" i="29"/>
  <c r="CL183" i="29"/>
  <c r="CK184" i="29"/>
  <c r="CJ180" i="29"/>
  <c r="AT181" i="29"/>
  <c r="DK180" i="29"/>
  <c r="DP180" i="29"/>
  <c r="H134" i="46"/>
  <c r="G13" i="46"/>
  <c r="AS182" i="29"/>
  <c r="E182" i="29" s="1"/>
  <c r="BF181" i="29"/>
  <c r="B190" i="50"/>
  <c r="R190" i="50" s="1"/>
  <c r="AJ181" i="29"/>
  <c r="BO180" i="29"/>
  <c r="DF180" i="29"/>
  <c r="D134" i="46"/>
  <c r="D11" i="46" s="1"/>
  <c r="V11" i="46"/>
  <c r="K9" i="46" s="1"/>
  <c r="AK181" i="29"/>
  <c r="Y126" i="29" l="1"/>
  <c r="AG125" i="29"/>
  <c r="M134" i="50"/>
  <c r="DL160" i="29"/>
  <c r="BR159" i="29"/>
  <c r="BL159" i="29"/>
  <c r="BK159" i="29"/>
  <c r="BJ159" i="29"/>
  <c r="BU158" i="29"/>
  <c r="BT158" i="29"/>
  <c r="BS158" i="29"/>
  <c r="DH160" i="29"/>
  <c r="BI160" i="29" s="1"/>
  <c r="DG161" i="29"/>
  <c r="CL184" i="29"/>
  <c r="CK185" i="29"/>
  <c r="CM183" i="29"/>
  <c r="CN183" i="29"/>
  <c r="AJ182" i="29"/>
  <c r="BO181" i="29"/>
  <c r="DF181" i="29"/>
  <c r="AS183" i="29"/>
  <c r="E183" i="29" s="1"/>
  <c r="B191" i="50"/>
  <c r="R191" i="50" s="1"/>
  <c r="BF182" i="29"/>
  <c r="AT182" i="29"/>
  <c r="CJ181" i="29"/>
  <c r="DK181" i="29"/>
  <c r="DP181" i="29"/>
  <c r="AK182" i="29"/>
  <c r="J134" i="46"/>
  <c r="H4" i="46"/>
  <c r="H13" i="46"/>
  <c r="K135" i="50" l="1"/>
  <c r="AB126" i="29"/>
  <c r="DH161" i="29"/>
  <c r="BI161" i="29" s="1"/>
  <c r="DG162" i="29"/>
  <c r="BS159" i="29"/>
  <c r="BT159" i="29"/>
  <c r="BU159" i="29"/>
  <c r="BL160" i="29"/>
  <c r="BJ160" i="29"/>
  <c r="BK160" i="29"/>
  <c r="DL161" i="29"/>
  <c r="BR160" i="29"/>
  <c r="AJ183" i="29"/>
  <c r="AK183" i="29"/>
  <c r="CK186" i="29"/>
  <c r="CL185" i="29"/>
  <c r="CM184" i="29"/>
  <c r="CN184" i="29"/>
  <c r="CJ182" i="29"/>
  <c r="AT183" i="29"/>
  <c r="DK182" i="29"/>
  <c r="DP182" i="29"/>
  <c r="N134" i="46"/>
  <c r="J4" i="46"/>
  <c r="J13" i="46"/>
  <c r="H7" i="46"/>
  <c r="H6" i="46"/>
  <c r="BO182" i="29"/>
  <c r="DF182" i="29"/>
  <c r="AS184" i="29"/>
  <c r="E184" i="29" s="1"/>
  <c r="B192" i="50"/>
  <c r="R192" i="50" s="1"/>
  <c r="BF183" i="29"/>
  <c r="AG126" i="29" l="1"/>
  <c r="M135" i="50"/>
  <c r="Y127" i="29"/>
  <c r="K136" i="50" s="1"/>
  <c r="BU160" i="29"/>
  <c r="BT160" i="29"/>
  <c r="BS160" i="29"/>
  <c r="DH162" i="29"/>
  <c r="BI162" i="29" s="1"/>
  <c r="DG163" i="29"/>
  <c r="BR161" i="29"/>
  <c r="DL162" i="29"/>
  <c r="BL161" i="29"/>
  <c r="BJ161" i="29"/>
  <c r="BK161" i="29"/>
  <c r="CM185" i="29"/>
  <c r="CN185" i="29"/>
  <c r="CK187" i="29"/>
  <c r="CL186" i="29"/>
  <c r="J7" i="46"/>
  <c r="J6" i="46"/>
  <c r="N178" i="46"/>
  <c r="N13" i="46"/>
  <c r="N4" i="46"/>
  <c r="AS185" i="29"/>
  <c r="E185" i="29" s="1"/>
  <c r="BF184" i="29"/>
  <c r="B193" i="50"/>
  <c r="R193" i="50" s="1"/>
  <c r="AJ184" i="29"/>
  <c r="AK184" i="29"/>
  <c r="BO183" i="29"/>
  <c r="DF183" i="29"/>
  <c r="CJ183" i="29"/>
  <c r="AT184" i="29"/>
  <c r="DK183" i="29"/>
  <c r="DP183" i="29"/>
  <c r="AB127" i="29" l="1"/>
  <c r="BK162" i="29"/>
  <c r="BJ162" i="29"/>
  <c r="BL162" i="29"/>
  <c r="DL163" i="29"/>
  <c r="BR162" i="29"/>
  <c r="BS161" i="29"/>
  <c r="BT161" i="29"/>
  <c r="BU161" i="29"/>
  <c r="DG164" i="29"/>
  <c r="DH163" i="29"/>
  <c r="BI163" i="29" s="1"/>
  <c r="AK185" i="29"/>
  <c r="AJ185" i="29"/>
  <c r="CK188" i="29"/>
  <c r="CL188" i="29" s="1"/>
  <c r="CL187" i="29"/>
  <c r="CM186" i="29"/>
  <c r="CN186" i="29"/>
  <c r="BO184" i="29"/>
  <c r="DF184" i="29"/>
  <c r="AT185" i="29"/>
  <c r="CJ184" i="29"/>
  <c r="DK184" i="29"/>
  <c r="DP184" i="29"/>
  <c r="AS186" i="29"/>
  <c r="E186" i="29" s="1"/>
  <c r="B194" i="50"/>
  <c r="R194" i="50" s="1"/>
  <c r="BF185" i="29"/>
  <c r="N7" i="46"/>
  <c r="N6" i="46"/>
  <c r="AJ186" i="29" l="1"/>
  <c r="AG127" i="29"/>
  <c r="Y128" i="29"/>
  <c r="K137" i="50" s="1"/>
  <c r="M136" i="50"/>
  <c r="AK186" i="29"/>
  <c r="BJ163" i="29"/>
  <c r="BL163" i="29"/>
  <c r="BK163" i="29"/>
  <c r="DH164" i="29"/>
  <c r="BI164" i="29" s="1"/>
  <c r="DG165" i="29"/>
  <c r="BS162" i="29"/>
  <c r="BT162" i="29"/>
  <c r="BU162" i="29"/>
  <c r="BR163" i="29"/>
  <c r="DL164" i="29"/>
  <c r="CM187" i="29"/>
  <c r="CN187" i="29"/>
  <c r="CM188" i="29"/>
  <c r="CN188" i="29"/>
  <c r="AT186" i="29"/>
  <c r="CJ185" i="29"/>
  <c r="DK185" i="29"/>
  <c r="DP185" i="29"/>
  <c r="BO185" i="29"/>
  <c r="DF185" i="29"/>
  <c r="AS187" i="29"/>
  <c r="E187" i="29" s="1"/>
  <c r="AK187" i="29" s="1"/>
  <c r="B195" i="50"/>
  <c r="R195" i="50" s="1"/>
  <c r="BF186" i="29"/>
  <c r="AB128" i="29" l="1"/>
  <c r="CM2" i="29"/>
  <c r="BK164" i="29"/>
  <c r="BL164" i="29"/>
  <c r="BJ164" i="29"/>
  <c r="BR164" i="29"/>
  <c r="DL165" i="29"/>
  <c r="BS163" i="29"/>
  <c r="BT163" i="29"/>
  <c r="BU163" i="29"/>
  <c r="DG166" i="29"/>
  <c r="DH165" i="29"/>
  <c r="BI165" i="29" s="1"/>
  <c r="CN2" i="29"/>
  <c r="AS188" i="29"/>
  <c r="E188" i="29" s="1"/>
  <c r="B196" i="50"/>
  <c r="R196" i="50" s="1"/>
  <c r="BF187" i="29"/>
  <c r="BO186" i="29"/>
  <c r="DF186" i="29"/>
  <c r="AJ187" i="29"/>
  <c r="CJ186" i="29"/>
  <c r="AT187" i="29"/>
  <c r="DK186" i="29"/>
  <c r="DP186" i="29"/>
  <c r="M137" i="50" l="1"/>
  <c r="AG128" i="29"/>
  <c r="Y129" i="29"/>
  <c r="K138" i="50" s="1"/>
  <c r="AB129" i="29"/>
  <c r="CJ4" i="29"/>
  <c r="DH166" i="29"/>
  <c r="BI166" i="29" s="1"/>
  <c r="DG167" i="29"/>
  <c r="DL166" i="29"/>
  <c r="BR165" i="29"/>
  <c r="BS164" i="29"/>
  <c r="BU164" i="29"/>
  <c r="BT164" i="29"/>
  <c r="BJ165" i="29"/>
  <c r="BK165" i="29"/>
  <c r="BL165" i="29"/>
  <c r="AJ188" i="29"/>
  <c r="AJ189" i="29" s="1"/>
  <c r="AJ195" i="29" s="1"/>
  <c r="AT188" i="29"/>
  <c r="CJ187" i="29"/>
  <c r="DK187" i="29"/>
  <c r="DP187" i="29"/>
  <c r="BO187" i="29"/>
  <c r="DF187" i="29"/>
  <c r="B197" i="50"/>
  <c r="BF188" i="29"/>
  <c r="M202" i="29"/>
  <c r="P202" i="29"/>
  <c r="T202" i="29"/>
  <c r="W202" i="29"/>
  <c r="AC202" i="29"/>
  <c r="AK188" i="29"/>
  <c r="AK189" i="29" s="1"/>
  <c r="AK195" i="29" s="1"/>
  <c r="O20" i="30" s="1"/>
  <c r="P20" i="30" s="1"/>
  <c r="AG129" i="29" l="1"/>
  <c r="M138" i="50"/>
  <c r="Y130" i="29"/>
  <c r="K139" i="50" s="1"/>
  <c r="AB130" i="29"/>
  <c r="BU165" i="29"/>
  <c r="BT165" i="29"/>
  <c r="BS165" i="29"/>
  <c r="DL167" i="29"/>
  <c r="BR166" i="29"/>
  <c r="DH167" i="29"/>
  <c r="BI167" i="29" s="1"/>
  <c r="DG168" i="29"/>
  <c r="BJ166" i="29"/>
  <c r="BK166" i="29"/>
  <c r="BL166" i="29"/>
  <c r="P209" i="29"/>
  <c r="P204" i="29"/>
  <c r="P206" i="29" s="1"/>
  <c r="P213" i="29"/>
  <c r="M209" i="29"/>
  <c r="M204" i="29"/>
  <c r="M206" i="29" s="1"/>
  <c r="M213" i="29"/>
  <c r="CJ188" i="29"/>
  <c r="DK188" i="29"/>
  <c r="DP188" i="29"/>
  <c r="AD202" i="29"/>
  <c r="AC204" i="29"/>
  <c r="AC206" i="29" s="1"/>
  <c r="AC213" i="29"/>
  <c r="AC209" i="29"/>
  <c r="AC212" i="29" s="1"/>
  <c r="W204" i="29"/>
  <c r="W206" i="29" s="1"/>
  <c r="W213" i="29"/>
  <c r="W209" i="29"/>
  <c r="BO188" i="29"/>
  <c r="DF188" i="29"/>
  <c r="T213" i="29"/>
  <c r="T204" i="29"/>
  <c r="T206" i="29" s="1"/>
  <c r="T209" i="29"/>
  <c r="R197" i="50"/>
  <c r="R198" i="50" s="1"/>
  <c r="R199" i="50" s="1"/>
  <c r="R201" i="50" s="1"/>
  <c r="M10" i="50" s="1"/>
  <c r="U198" i="50"/>
  <c r="T198" i="50"/>
  <c r="M139" i="50" l="1"/>
  <c r="AG130" i="29"/>
  <c r="Y131" i="29"/>
  <c r="K140" i="50" s="1"/>
  <c r="AB131" i="29"/>
  <c r="T208" i="29"/>
  <c r="T211" i="29" s="1"/>
  <c r="T212" i="29"/>
  <c r="AC191" i="29"/>
  <c r="J20" i="30"/>
  <c r="P208" i="29"/>
  <c r="P211" i="29" s="1"/>
  <c r="P212" i="29"/>
  <c r="W208" i="29"/>
  <c r="W211" i="29" s="1"/>
  <c r="W212" i="29"/>
  <c r="M208" i="29"/>
  <c r="M211" i="29" s="1"/>
  <c r="M212" i="29"/>
  <c r="BT166" i="29"/>
  <c r="BU166" i="29"/>
  <c r="BS166" i="29"/>
  <c r="DL168" i="29"/>
  <c r="BR167" i="29"/>
  <c r="DH168" i="29"/>
  <c r="BI168" i="29" s="1"/>
  <c r="DG169" i="29"/>
  <c r="BJ167" i="29"/>
  <c r="BK167" i="29"/>
  <c r="BL167" i="29"/>
  <c r="AC192" i="29"/>
  <c r="K20" i="30"/>
  <c r="W192" i="29"/>
  <c r="K18" i="30"/>
  <c r="K14" i="30"/>
  <c r="P192" i="29"/>
  <c r="M192" i="29"/>
  <c r="K11" i="30"/>
  <c r="T192" i="29"/>
  <c r="K16" i="30"/>
  <c r="AC208" i="29"/>
  <c r="AD209" i="29"/>
  <c r="J107" i="30"/>
  <c r="Y132" i="29" l="1"/>
  <c r="K141" i="50" s="1"/>
  <c r="M140" i="50"/>
  <c r="AG131" i="29"/>
  <c r="AB132" i="29"/>
  <c r="J18" i="30"/>
  <c r="G20" i="30" s="1"/>
  <c r="W191" i="29"/>
  <c r="I18" i="30"/>
  <c r="W190" i="29"/>
  <c r="M191" i="29"/>
  <c r="J11" i="30"/>
  <c r="W4" i="30" s="1"/>
  <c r="T191" i="29"/>
  <c r="J16" i="30"/>
  <c r="M1" i="50"/>
  <c r="N1" i="50" s="1"/>
  <c r="W12" i="30"/>
  <c r="S18" i="30"/>
  <c r="AD208" i="29"/>
  <c r="AC211" i="29"/>
  <c r="J14" i="30"/>
  <c r="P191" i="29"/>
  <c r="M190" i="29"/>
  <c r="I11" i="30"/>
  <c r="I14" i="30"/>
  <c r="P190" i="29"/>
  <c r="T190" i="29"/>
  <c r="I16" i="30"/>
  <c r="BJ168" i="29"/>
  <c r="BK168" i="29"/>
  <c r="BL168" i="29"/>
  <c r="BS167" i="29"/>
  <c r="BU167" i="29"/>
  <c r="BT167" i="29"/>
  <c r="DG170" i="29"/>
  <c r="DH169" i="29"/>
  <c r="BI169" i="29" s="1"/>
  <c r="DL169" i="29"/>
  <c r="BR168" i="29"/>
  <c r="Y133" i="29" l="1"/>
  <c r="K142" i="50" s="1"/>
  <c r="M141" i="50"/>
  <c r="AB133" i="29"/>
  <c r="AG132" i="29"/>
  <c r="G16" i="30"/>
  <c r="W7" i="30"/>
  <c r="G14" i="30"/>
  <c r="W5" i="30"/>
  <c r="I20" i="30"/>
  <c r="F22" i="30" s="1"/>
  <c r="AC190" i="29"/>
  <c r="W10" i="30"/>
  <c r="G18" i="30"/>
  <c r="BR169" i="29"/>
  <c r="DL170" i="29"/>
  <c r="BJ169" i="29"/>
  <c r="BK169" i="29"/>
  <c r="BL169" i="29"/>
  <c r="DG171" i="29"/>
  <c r="DH170" i="29"/>
  <c r="BI170" i="29" s="1"/>
  <c r="BS168" i="29"/>
  <c r="BU168" i="29"/>
  <c r="BT168" i="29"/>
  <c r="Y134" i="29" l="1"/>
  <c r="K143" i="50" s="1"/>
  <c r="AG133" i="29"/>
  <c r="M142" i="50"/>
  <c r="AB134" i="29"/>
  <c r="DH171" i="29"/>
  <c r="BI171" i="29" s="1"/>
  <c r="DG172" i="29"/>
  <c r="BK170" i="29"/>
  <c r="BJ170" i="29"/>
  <c r="BL170" i="29"/>
  <c r="DL171" i="29"/>
  <c r="BR170" i="29"/>
  <c r="BS169" i="29"/>
  <c r="BT169" i="29"/>
  <c r="BU169" i="29"/>
  <c r="M143" i="50" l="1"/>
  <c r="Y135" i="29"/>
  <c r="K144" i="50" s="1"/>
  <c r="AG134" i="29"/>
  <c r="AB135" i="29"/>
  <c r="AG135" i="29" s="1"/>
  <c r="BS170" i="29"/>
  <c r="BU170" i="29"/>
  <c r="BT170" i="29"/>
  <c r="DL172" i="29"/>
  <c r="BR171" i="29"/>
  <c r="DG173" i="29"/>
  <c r="DH172" i="29"/>
  <c r="BI172" i="29" s="1"/>
  <c r="BK171" i="29"/>
  <c r="BJ171" i="29"/>
  <c r="BL171" i="29"/>
  <c r="M144" i="50" l="1"/>
  <c r="Y136" i="29"/>
  <c r="K145" i="50"/>
  <c r="AB136" i="29"/>
  <c r="DL173" i="29"/>
  <c r="BR172" i="29"/>
  <c r="BL172" i="29"/>
  <c r="BK172" i="29"/>
  <c r="BJ172" i="29"/>
  <c r="DH173" i="29"/>
  <c r="BI173" i="29" s="1"/>
  <c r="DG174" i="29"/>
  <c r="BS171" i="29"/>
  <c r="BT171" i="29"/>
  <c r="BU171" i="29"/>
  <c r="AG136" i="29" l="1"/>
  <c r="Y137" i="29"/>
  <c r="K146" i="50" s="1"/>
  <c r="M145" i="50"/>
  <c r="AB137" i="29"/>
  <c r="Y138" i="29" s="1"/>
  <c r="DG175" i="29"/>
  <c r="DH174" i="29"/>
  <c r="BI174" i="29" s="1"/>
  <c r="BJ173" i="29"/>
  <c r="BK173" i="29"/>
  <c r="BL173" i="29"/>
  <c r="BT172" i="29"/>
  <c r="BS172" i="29"/>
  <c r="BU172" i="29"/>
  <c r="DL174" i="29"/>
  <c r="BR173" i="29"/>
  <c r="M146" i="50" l="1"/>
  <c r="AG137" i="29"/>
  <c r="BS173" i="29"/>
  <c r="BT173" i="29"/>
  <c r="BU173" i="29"/>
  <c r="BK174" i="29"/>
  <c r="BL174" i="29"/>
  <c r="BJ174" i="29"/>
  <c r="DL175" i="29"/>
  <c r="BR174" i="29"/>
  <c r="DG176" i="29"/>
  <c r="DH175" i="29"/>
  <c r="BI175" i="29" s="1"/>
  <c r="AB138" i="29"/>
  <c r="K147" i="50"/>
  <c r="BU174" i="29" l="1"/>
  <c r="BT174" i="29"/>
  <c r="BS174" i="29"/>
  <c r="BR175" i="29"/>
  <c r="DL176" i="29"/>
  <c r="BK175" i="29"/>
  <c r="BJ175" i="29"/>
  <c r="BL175" i="29"/>
  <c r="DH176" i="29"/>
  <c r="BI176" i="29" s="1"/>
  <c r="DG177" i="29"/>
  <c r="M147" i="50"/>
  <c r="Y139" i="29"/>
  <c r="AG138" i="29"/>
  <c r="BT175" i="29" l="1"/>
  <c r="BU175" i="29"/>
  <c r="BS175" i="29"/>
  <c r="DG178" i="29"/>
  <c r="DH177" i="29"/>
  <c r="BI177" i="29" s="1"/>
  <c r="BK176" i="29"/>
  <c r="BL176" i="29"/>
  <c r="BJ176" i="29"/>
  <c r="BR176" i="29"/>
  <c r="DL177" i="29"/>
  <c r="K148" i="50"/>
  <c r="AB139" i="29"/>
  <c r="DH178" i="29" l="1"/>
  <c r="BI178" i="29" s="1"/>
  <c r="DG179" i="29"/>
  <c r="BR177" i="29"/>
  <c r="DL178" i="29"/>
  <c r="BS176" i="29"/>
  <c r="BT176" i="29"/>
  <c r="BU176" i="29"/>
  <c r="BK177" i="29"/>
  <c r="BJ177" i="29"/>
  <c r="BL177" i="29"/>
  <c r="Y140" i="29"/>
  <c r="AG139" i="29"/>
  <c r="M148" i="50"/>
  <c r="DL179" i="29" l="1"/>
  <c r="BR178" i="29"/>
  <c r="BU177" i="29"/>
  <c r="BS177" i="29"/>
  <c r="BT177" i="29"/>
  <c r="DH179" i="29"/>
  <c r="BI179" i="29" s="1"/>
  <c r="DG180" i="29"/>
  <c r="BK178" i="29"/>
  <c r="BL178" i="29"/>
  <c r="BJ178" i="29"/>
  <c r="K149" i="50"/>
  <c r="AB140" i="29"/>
  <c r="DH180" i="29" l="1"/>
  <c r="BI180" i="29" s="1"/>
  <c r="DG181" i="29"/>
  <c r="BJ179" i="29"/>
  <c r="BL179" i="29"/>
  <c r="BK179" i="29"/>
  <c r="BT178" i="29"/>
  <c r="BS178" i="29"/>
  <c r="BU178" i="29"/>
  <c r="DL180" i="29"/>
  <c r="BR179" i="29"/>
  <c r="Y141" i="29"/>
  <c r="K150" i="50" s="1"/>
  <c r="AG140" i="29"/>
  <c r="M149" i="50"/>
  <c r="AB141" i="29" l="1"/>
  <c r="BT179" i="29"/>
  <c r="BU179" i="29"/>
  <c r="BS179" i="29"/>
  <c r="DH181" i="29"/>
  <c r="BI181" i="29" s="1"/>
  <c r="DG182" i="29"/>
  <c r="BR180" i="29"/>
  <c r="DL181" i="29"/>
  <c r="BJ180" i="29"/>
  <c r="BK180" i="29"/>
  <c r="BL180" i="29"/>
  <c r="AG141" i="29"/>
  <c r="M150" i="50"/>
  <c r="Y142" i="29"/>
  <c r="K151" i="50" s="1"/>
  <c r="AB142" i="29"/>
  <c r="BK181" i="29" l="1"/>
  <c r="BJ181" i="29"/>
  <c r="BL181" i="29"/>
  <c r="DL182" i="29"/>
  <c r="BR181" i="29"/>
  <c r="BT180" i="29"/>
  <c r="BU180" i="29"/>
  <c r="BS180" i="29"/>
  <c r="DG183" i="29"/>
  <c r="DH182" i="29"/>
  <c r="BI182" i="29" s="1"/>
  <c r="AG142" i="29"/>
  <c r="M151" i="50"/>
  <c r="Y143" i="29"/>
  <c r="K152" i="50" s="1"/>
  <c r="BR182" i="29" l="1"/>
  <c r="DL183" i="29"/>
  <c r="BL182" i="29"/>
  <c r="BK182" i="29"/>
  <c r="BJ182" i="29"/>
  <c r="DG184" i="29"/>
  <c r="DH183" i="29"/>
  <c r="BI183" i="29" s="1"/>
  <c r="BT181" i="29"/>
  <c r="BS181" i="29"/>
  <c r="BU181" i="29"/>
  <c r="AB143" i="29"/>
  <c r="BK183" i="29" l="1"/>
  <c r="BJ183" i="29"/>
  <c r="BL183" i="29"/>
  <c r="DG185" i="29"/>
  <c r="DH184" i="29"/>
  <c r="BI184" i="29" s="1"/>
  <c r="DL184" i="29"/>
  <c r="BR183" i="29"/>
  <c r="BS182" i="29"/>
  <c r="BT182" i="29"/>
  <c r="BU182" i="29"/>
  <c r="Y144" i="29"/>
  <c r="K153" i="50" s="1"/>
  <c r="AG143" i="29"/>
  <c r="M152" i="50"/>
  <c r="DG186" i="29" l="1"/>
  <c r="DH185" i="29"/>
  <c r="BI185" i="29" s="1"/>
  <c r="BT183" i="29"/>
  <c r="BU183" i="29"/>
  <c r="BS183" i="29"/>
  <c r="DL185" i="29"/>
  <c r="BR184" i="29"/>
  <c r="AB144" i="29"/>
  <c r="AG144" i="29" s="1"/>
  <c r="BJ184" i="29"/>
  <c r="BL184" i="29"/>
  <c r="BK184" i="29"/>
  <c r="M153" i="50" l="1"/>
  <c r="BS184" i="29"/>
  <c r="BT184" i="29"/>
  <c r="BU184" i="29"/>
  <c r="Y145" i="29"/>
  <c r="K154" i="50" s="1"/>
  <c r="DL186" i="29"/>
  <c r="BR185" i="29"/>
  <c r="BJ185" i="29"/>
  <c r="BK185" i="29"/>
  <c r="BL185" i="29"/>
  <c r="DG187" i="29"/>
  <c r="DH186" i="29"/>
  <c r="BI186" i="29" s="1"/>
  <c r="AB145" i="29"/>
  <c r="BL186" i="29" l="1"/>
  <c r="BJ186" i="29"/>
  <c r="BK186" i="29"/>
  <c r="DG188" i="29"/>
  <c r="DH188" i="29" s="1"/>
  <c r="BI188" i="29" s="1"/>
  <c r="DH187" i="29"/>
  <c r="BI187" i="29" s="1"/>
  <c r="BT185" i="29"/>
  <c r="BS185" i="29"/>
  <c r="BU185" i="29"/>
  <c r="BR186" i="29"/>
  <c r="DL187" i="29"/>
  <c r="Y146" i="29"/>
  <c r="K155" i="50" s="1"/>
  <c r="AG145" i="29"/>
  <c r="M154" i="50"/>
  <c r="DL188" i="29" l="1"/>
  <c r="BR188" i="29" s="1"/>
  <c r="BR187" i="29"/>
  <c r="BK188" i="29"/>
  <c r="BJ188" i="29"/>
  <c r="BL188" i="29"/>
  <c r="BS186" i="29"/>
  <c r="BT186" i="29"/>
  <c r="BU186" i="29"/>
  <c r="BL187" i="29"/>
  <c r="BJ187" i="29"/>
  <c r="BK187" i="29"/>
  <c r="BL3" i="29"/>
  <c r="Q87" i="30" s="1"/>
  <c r="Q25" i="30" s="1"/>
  <c r="AB146" i="29"/>
  <c r="BK3" i="29" l="1"/>
  <c r="DF4" i="29" s="1"/>
  <c r="BU187" i="29"/>
  <c r="BT187" i="29"/>
  <c r="BS187" i="29"/>
  <c r="BT188" i="29"/>
  <c r="BS188" i="29"/>
  <c r="BU188" i="29"/>
  <c r="Y147" i="29"/>
  <c r="K156" i="50" s="1"/>
  <c r="M155" i="50"/>
  <c r="AG146" i="29"/>
  <c r="P87" i="30" l="1"/>
  <c r="P25" i="30" s="1"/>
  <c r="AB147" i="29"/>
  <c r="M156" i="50" s="1"/>
  <c r="BT3" i="29"/>
  <c r="BU3" i="29"/>
  <c r="Y148" i="29" l="1"/>
  <c r="K157" i="50" s="1"/>
  <c r="AG147" i="29"/>
  <c r="AB148" i="29"/>
  <c r="M157" i="50" s="1"/>
  <c r="AG148" i="29" l="1"/>
  <c r="Y149" i="29"/>
  <c r="K158" i="50" s="1"/>
  <c r="AB149" i="29"/>
  <c r="M158" i="50" s="1"/>
  <c r="Y150" i="29" l="1"/>
  <c r="K159" i="50" s="1"/>
  <c r="AG149" i="29"/>
  <c r="AB150" i="29" l="1"/>
  <c r="AG150" i="29" s="1"/>
  <c r="M159" i="50" l="1"/>
  <c r="Y151" i="29"/>
  <c r="K160" i="50" s="1"/>
  <c r="AB151" i="29" l="1"/>
  <c r="M160" i="50" l="1"/>
  <c r="AG151" i="29"/>
  <c r="Y152" i="29"/>
  <c r="K161" i="50" s="1"/>
  <c r="AB152" i="29"/>
  <c r="Y153" i="29" l="1"/>
  <c r="K162" i="50" s="1"/>
  <c r="AG152" i="29"/>
  <c r="M161" i="50"/>
  <c r="AB153" i="29"/>
  <c r="M162" i="50" l="1"/>
  <c r="Y154" i="29"/>
  <c r="K163" i="50" s="1"/>
  <c r="AG153" i="29"/>
  <c r="AB154" i="29"/>
  <c r="M163" i="50" l="1"/>
  <c r="Y155" i="29"/>
  <c r="K164" i="50" s="1"/>
  <c r="AG154" i="29"/>
  <c r="AB155" i="29"/>
  <c r="M164" i="50" l="1"/>
  <c r="Y156" i="29"/>
  <c r="K165" i="50" s="1"/>
  <c r="AG155" i="29"/>
  <c r="AB156" i="29"/>
  <c r="M165" i="50" l="1"/>
  <c r="AG156" i="29"/>
  <c r="Y157" i="29"/>
  <c r="K166" i="50" s="1"/>
  <c r="AB157" i="29" l="1"/>
  <c r="M166" i="50" l="1"/>
  <c r="AG157" i="29"/>
  <c r="Y158" i="29"/>
  <c r="K167" i="50" s="1"/>
  <c r="AB158" i="29" l="1"/>
  <c r="M167" i="50" l="1"/>
  <c r="AG158" i="29"/>
  <c r="Y159" i="29"/>
  <c r="K168" i="50" s="1"/>
  <c r="AB159" i="29" l="1"/>
  <c r="AG159" i="29" s="1"/>
  <c r="Y160" i="29" l="1"/>
  <c r="K169" i="50" s="1"/>
  <c r="M168" i="50"/>
  <c r="AB160" i="29"/>
  <c r="M169" i="50" l="1"/>
  <c r="AG160" i="29"/>
  <c r="Y161" i="29"/>
  <c r="K170" i="50" s="1"/>
  <c r="AB161" i="29" l="1"/>
  <c r="AG161" i="29" l="1"/>
  <c r="Y162" i="29"/>
  <c r="K171" i="50" s="1"/>
  <c r="M170" i="50"/>
  <c r="AB162" i="29"/>
  <c r="AG162" i="29" l="1"/>
  <c r="M171" i="50"/>
  <c r="Y163" i="29"/>
  <c r="K172" i="50" s="1"/>
  <c r="AB163" i="29"/>
  <c r="AG163" i="29" l="1"/>
  <c r="Y164" i="29"/>
  <c r="K173" i="50" s="1"/>
  <c r="M172" i="50"/>
  <c r="AB164" i="29" l="1"/>
  <c r="AG164" i="29" l="1"/>
  <c r="Y165" i="29"/>
  <c r="K174" i="50" s="1"/>
  <c r="M173" i="50"/>
  <c r="AB165" i="29" l="1"/>
  <c r="Y166" i="29"/>
  <c r="K175" i="50" s="1"/>
  <c r="AG165" i="29"/>
  <c r="M174" i="50"/>
  <c r="AB166" i="29" l="1"/>
  <c r="M175" i="50" l="1"/>
  <c r="AG166" i="29"/>
  <c r="Y167" i="29"/>
  <c r="K176" i="50" s="1"/>
  <c r="AB167" i="29"/>
  <c r="AG167" i="29" l="1"/>
  <c r="M176" i="50"/>
  <c r="Y168" i="29"/>
  <c r="K177" i="50" s="1"/>
  <c r="AB168" i="29"/>
  <c r="AG168" i="29" l="1"/>
  <c r="Y169" i="29"/>
  <c r="K178" i="50" s="1"/>
  <c r="AB169" i="29"/>
  <c r="M177" i="50"/>
  <c r="M178" i="50" l="1"/>
  <c r="AG169" i="29"/>
  <c r="Y170" i="29"/>
  <c r="K179" i="50" s="1"/>
  <c r="AB170" i="29"/>
  <c r="M179" i="50" l="1"/>
  <c r="Y171" i="29"/>
  <c r="K180" i="50" s="1"/>
  <c r="AG170" i="29"/>
  <c r="AB171" i="29"/>
  <c r="M180" i="50" l="1"/>
  <c r="Y172" i="29"/>
  <c r="K181" i="50" s="1"/>
  <c r="AG171" i="29"/>
  <c r="AB172" i="29"/>
  <c r="Y173" i="29" l="1"/>
  <c r="K182" i="50" s="1"/>
  <c r="AG172" i="29"/>
  <c r="M181" i="50"/>
  <c r="AB173" i="29"/>
  <c r="AG173" i="29" l="1"/>
  <c r="Y174" i="29"/>
  <c r="K183" i="50" s="1"/>
  <c r="AB174" i="29"/>
  <c r="M182" i="50"/>
  <c r="M183" i="50" l="1"/>
  <c r="AG174" i="29"/>
  <c r="Y175" i="29"/>
  <c r="K184" i="50" s="1"/>
  <c r="AB175" i="29" l="1"/>
  <c r="AG175" i="29" s="1"/>
  <c r="Y176" i="29" l="1"/>
  <c r="K185" i="50" s="1"/>
  <c r="M184" i="50"/>
  <c r="AB176" i="29"/>
  <c r="M185" i="50" s="1"/>
  <c r="Y177" i="29"/>
  <c r="K186" i="50" s="1"/>
  <c r="AG176" i="29" l="1"/>
  <c r="AB177" i="29"/>
  <c r="AG177" i="29" s="1"/>
  <c r="M186" i="50"/>
  <c r="Y178" i="29"/>
  <c r="K187" i="50" s="1"/>
  <c r="AB178" i="29" l="1"/>
  <c r="AG178" i="29" s="1"/>
  <c r="Y179" i="29" l="1"/>
  <c r="K188" i="50" s="1"/>
  <c r="M187" i="50"/>
  <c r="AB179" i="29"/>
  <c r="AG179" i="29" s="1"/>
  <c r="Y180" i="29" l="1"/>
  <c r="K189" i="50" s="1"/>
  <c r="M188" i="50"/>
  <c r="AB180" i="29"/>
  <c r="Y181" i="29" s="1"/>
  <c r="K190" i="50" s="1"/>
  <c r="AG180" i="29" l="1"/>
  <c r="M189" i="50"/>
  <c r="AB181" i="29"/>
  <c r="Y182" i="29" s="1"/>
  <c r="K191" i="50" s="1"/>
  <c r="M190" i="50" l="1"/>
  <c r="AG181" i="29"/>
  <c r="AB182" i="29"/>
  <c r="M191" i="50" s="1"/>
  <c r="AG182" i="29" l="1"/>
  <c r="Y183" i="29"/>
  <c r="K192" i="50" s="1"/>
  <c r="AB183" i="29"/>
  <c r="M192" i="50" s="1"/>
  <c r="Y184" i="29" l="1"/>
  <c r="K193" i="50" s="1"/>
  <c r="AG183" i="29"/>
  <c r="AB184" i="29" l="1"/>
  <c r="M193" i="50" l="1"/>
  <c r="Y185" i="29"/>
  <c r="AG184" i="29"/>
  <c r="AB185" i="29" l="1"/>
  <c r="K194" i="50"/>
  <c r="M194" i="50" l="1"/>
  <c r="AG185" i="29"/>
  <c r="Y186" i="29"/>
  <c r="AB186" i="29" l="1"/>
  <c r="K195" i="50"/>
  <c r="AG186" i="29" l="1"/>
  <c r="M195" i="50"/>
  <c r="Y187" i="29"/>
  <c r="K196" i="50" l="1"/>
  <c r="AB187" i="29"/>
  <c r="AG187" i="29" l="1"/>
  <c r="Y188" i="29"/>
  <c r="M196" i="50"/>
  <c r="K197" i="50" l="1"/>
  <c r="K198" i="50" s="1"/>
  <c r="Y189" i="29"/>
  <c r="L87" i="30" s="1"/>
  <c r="L25" i="30" s="1"/>
  <c r="O19" i="30" s="1"/>
  <c r="R19" i="30" s="1"/>
  <c r="N21" i="30" s="1"/>
  <c r="AB188" i="29"/>
  <c r="Y256" i="29" l="1"/>
  <c r="M197" i="50"/>
  <c r="AG188" i="29"/>
  <c r="AB256" i="2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Chuck Waterfield</author>
  </authors>
  <commentList>
    <comment ref="N121" authorId="0" shapeId="0" xr:uid="{00000000-0006-0000-0300-000001000000}">
      <text>
        <r>
          <rPr>
            <b/>
            <sz val="9"/>
            <color indexed="81"/>
            <rFont val="Tahoma"/>
            <family val="2"/>
          </rPr>
          <t>Chuck Waterfield:</t>
        </r>
        <r>
          <rPr>
            <sz val="9"/>
            <color indexed="81"/>
            <rFont val="Tahoma"/>
            <family val="2"/>
          </rPr>
          <t xml:space="preserve">
If TRUE, then stay with same day-of-month, e.g, 4th of the month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Chuck Waterfield</author>
  </authors>
  <commentList>
    <comment ref="BJ3" authorId="0" shapeId="0" xr:uid="{00000000-0006-0000-0400-000001000000}">
      <text>
        <r>
          <rPr>
            <b/>
            <sz val="9"/>
            <color indexed="81"/>
            <rFont val="Tahoma"/>
            <family val="2"/>
          </rPr>
          <t>Chuck Waterfield:</t>
        </r>
        <r>
          <rPr>
            <sz val="9"/>
            <color indexed="81"/>
            <rFont val="Tahoma"/>
            <family val="2"/>
          </rPr>
          <t xml:space="preserve">
use OFFSET</t>
        </r>
      </text>
    </comment>
    <comment ref="BS3" authorId="0" shapeId="0" xr:uid="{00000000-0006-0000-0400-000002000000}">
      <text>
        <r>
          <rPr>
            <b/>
            <sz val="9"/>
            <color indexed="81"/>
            <rFont val="Tahoma"/>
            <family val="2"/>
          </rPr>
          <t>Chuck Waterfield:</t>
        </r>
        <r>
          <rPr>
            <sz val="9"/>
            <color indexed="81"/>
            <rFont val="Tahoma"/>
            <family val="2"/>
          </rPr>
          <t xml:space="preserve">
use OFFSET</t>
        </r>
      </text>
    </comment>
    <comment ref="CB3" authorId="0" shapeId="0" xr:uid="{00000000-0006-0000-0400-000003000000}">
      <text>
        <r>
          <rPr>
            <b/>
            <sz val="9"/>
            <color indexed="81"/>
            <rFont val="Tahoma"/>
            <family val="2"/>
          </rPr>
          <t>Chuck Waterfield:</t>
        </r>
        <r>
          <rPr>
            <sz val="9"/>
            <color indexed="81"/>
            <rFont val="Tahoma"/>
            <family val="2"/>
          </rPr>
          <t xml:space="preserve">
use OFFSET</t>
        </r>
      </text>
    </comment>
  </commentList>
</comments>
</file>

<file path=xl/sharedStrings.xml><?xml version="1.0" encoding="utf-8"?>
<sst xmlns="http://schemas.openxmlformats.org/spreadsheetml/2006/main" count="1705" uniqueCount="1384">
  <si>
    <t>for period</t>
  </si>
  <si>
    <t>accruals</t>
  </si>
  <si>
    <t>Balance</t>
  </si>
  <si>
    <t>Cashflow</t>
  </si>
  <si>
    <t>first pmt</t>
  </si>
  <si>
    <t>periodic indexing valuation</t>
  </si>
  <si>
    <t>RepSched</t>
  </si>
  <si>
    <t>num pmts</t>
  </si>
  <si>
    <t>Declining balance</t>
  </si>
  <si>
    <t>Periodic savings interest rate</t>
  </si>
  <si>
    <t>periodic rate</t>
  </si>
  <si>
    <t>Indexing</t>
  </si>
  <si>
    <t>Savings Balance</t>
  </si>
  <si>
    <t>Initial amount, or "flat"</t>
  </si>
  <si>
    <t>Loan indexing rate (annual)</t>
  </si>
  <si>
    <t>principal</t>
  </si>
  <si>
    <t>interest</t>
  </si>
  <si>
    <t>x</t>
  </si>
  <si>
    <t>Inflation rate (annual)</t>
  </si>
  <si>
    <t>Weeks</t>
  </si>
  <si>
    <t>Months</t>
  </si>
  <si>
    <t>Repayment Schedule</t>
  </si>
  <si>
    <t>Increment</t>
  </si>
  <si>
    <t>Loan Cost and Cashflow</t>
  </si>
  <si>
    <t>Monthly</t>
  </si>
  <si>
    <t>Multiple installments</t>
  </si>
  <si>
    <t>Equal principal payments</t>
  </si>
  <si>
    <t>Weekly</t>
  </si>
  <si>
    <t>Value-added tax rate</t>
  </si>
  <si>
    <t>Loan Amount</t>
  </si>
  <si>
    <t>Int Charged to:</t>
  </si>
  <si>
    <t>Cash Balance</t>
  </si>
  <si>
    <t>Active Row?</t>
  </si>
  <si>
    <t>Negative Balance</t>
  </si>
  <si>
    <t>Cum Balance</t>
  </si>
  <si>
    <t>Breakeven Interest Rate</t>
  </si>
  <si>
    <t>Total Annual Cost of Loan</t>
  </si>
  <si>
    <t>Financial Cost</t>
  </si>
  <si>
    <t>LL Provision</t>
  </si>
  <si>
    <t>Cost Structure (actual $)</t>
  </si>
  <si>
    <t>Original Loan Amount</t>
  </si>
  <si>
    <t>Cost Structure (%)</t>
  </si>
  <si>
    <t>Annual Financial Cost</t>
  </si>
  <si>
    <t>Cost of Funds (%)</t>
  </si>
  <si>
    <t>Annual Loan Write-off %</t>
  </si>
  <si>
    <t>Loan Write-off</t>
  </si>
  <si>
    <t>Total Annual Operating Costs</t>
  </si>
  <si>
    <t>Annual monitoring cost</t>
  </si>
  <si>
    <t>Monthly loan monitoring cost</t>
  </si>
  <si>
    <t>Annual initiation costs</t>
  </si>
  <si>
    <t>Cost to initiate loan</t>
  </si>
  <si>
    <t>Operating Cost Calculation</t>
  </si>
  <si>
    <t>Loans processed/year</t>
  </si>
  <si>
    <t>Loan Term</t>
  </si>
  <si>
    <t>Average Outstanding Balance</t>
  </si>
  <si>
    <t>Data included only on Broad Graphs</t>
  </si>
  <si>
    <t>Data shown on Detailed Graphs</t>
  </si>
  <si>
    <t>Analysis of Cost Structure related to Loan Product Amount and Term</t>
  </si>
  <si>
    <t>Income at fixed interest rate</t>
  </si>
  <si>
    <t>Term &amp; Repay Freq.</t>
  </si>
  <si>
    <t>Seed number for IRR</t>
  </si>
  <si>
    <t>Try changing this if APR does not calculate properly.  The default figure for this should be 0.01</t>
  </si>
  <si>
    <t>Basic Loan Conditions</t>
  </si>
  <si>
    <t>Original Loan Amount (reference)</t>
  </si>
  <si>
    <t>Formula</t>
  </si>
  <si>
    <t>a</t>
  </si>
  <si>
    <t>b</t>
  </si>
  <si>
    <t>c</t>
  </si>
  <si>
    <t>d</t>
  </si>
  <si>
    <t>e</t>
  </si>
  <si>
    <t>f</t>
  </si>
  <si>
    <t>g</t>
  </si>
  <si>
    <t>h</t>
  </si>
  <si>
    <t>i</t>
  </si>
  <si>
    <t>j</t>
  </si>
  <si>
    <t>k</t>
  </si>
  <si>
    <t>l</t>
  </si>
  <si>
    <t>m</t>
  </si>
  <si>
    <t>n</t>
  </si>
  <si>
    <t>o</t>
  </si>
  <si>
    <t>p</t>
  </si>
  <si>
    <t>q</t>
  </si>
  <si>
    <t>r</t>
  </si>
  <si>
    <t>s</t>
  </si>
  <si>
    <t>t</t>
  </si>
  <si>
    <t>u</t>
  </si>
  <si>
    <t>v</t>
  </si>
  <si>
    <t>w</t>
  </si>
  <si>
    <t>a / 2</t>
  </si>
  <si>
    <t>b * g</t>
  </si>
  <si>
    <t>Annual LL Provision</t>
  </si>
  <si>
    <t>Annual Operating Cost Ratio</t>
  </si>
  <si>
    <t>Operating Costs</t>
  </si>
  <si>
    <t>Loan Pricing</t>
  </si>
  <si>
    <t>Total Cost Structure Ratio</t>
  </si>
  <si>
    <t>Calculation of Breakeven Point</t>
  </si>
  <si>
    <t>Annual GDP</t>
  </si>
  <si>
    <t>Orig Loan as % of Annual GDP</t>
  </si>
  <si>
    <t>y</t>
  </si>
  <si>
    <t>z</t>
  </si>
  <si>
    <t>a / c</t>
  </si>
  <si>
    <t>12 / e</t>
  </si>
  <si>
    <t>b * i</t>
  </si>
  <si>
    <t>f * k</t>
  </si>
  <si>
    <t>m * 12</t>
  </si>
  <si>
    <t>l + n</t>
  </si>
  <si>
    <t>o / b</t>
  </si>
  <si>
    <t>g + I + q</t>
  </si>
  <si>
    <t>h + j + o</t>
  </si>
  <si>
    <t>Value-Added Tax (%)</t>
  </si>
  <si>
    <t>Annual Interest Rate (%)</t>
  </si>
  <si>
    <t>Manual Cashflow</t>
  </si>
  <si>
    <t>This first graph displays the entire (Broad Range) of loan sizes (the x-axis) with the y-axis displaying the percentage figures for the three main cost components -- Financial Costs, Loan Loss Provision, and Operational Costs.  In most cases, the financial costs and loan loss provisions will be reasonably flat, or the same percentage regardless of loan size.  Operational Costs, however, when displayed as a percentage of ehe average outstanding loan balance, vary significantly, generally increasing dramatically as the loan size decreases.</t>
  </si>
  <si>
    <t>Graph 1</t>
  </si>
  <si>
    <t>Graph 2</t>
  </si>
  <si>
    <t>Graph 3</t>
  </si>
  <si>
    <t>This second graph displays the same information as Graph 1, but the range of loan sizes shown (the x-axis) is only the smaller loan sizes.  This graph allows you to study with more accuracy the varation of the cost components related to initial loan amount.</t>
  </si>
  <si>
    <t>This third grah simply combines all three cost components from the first two graphs, displaying the Annual Total Cost Percentage, with the "Broad Range" of loan sizes in the x-axis.  The Total Cost Percentage could be considered the breakeven APR figure.  (Note, however, that the MFI does not have 100% of its assets in loan porfolio, so these figures would have to be adjusted accordingly.)</t>
  </si>
  <si>
    <t>Graph 4</t>
  </si>
  <si>
    <t>This graph displays the same information as in Graph 3, but for the smaller range of loan sizes.</t>
  </si>
  <si>
    <t>Graph 5</t>
  </si>
  <si>
    <t>This final graph shows the Total Annual Costs and the Total Annual Operating Costs relative to initial loan amount.  The x-axis of this graph displays the total annual cost, rather than percentage figures as in the previous graphs.  Because Financial Costs and Loan Loss Provision Expense are variable costs, they will increase nearly linearly with loan size.  Operational costs will generally be flatter, and you should expect to see a reasonably flat (lower sloped) line in this graph.</t>
  </si>
  <si>
    <t>Analytical Graphs for the data entered on the COST STRUCTURE DATA worksheet</t>
  </si>
  <si>
    <t>Version:</t>
  </si>
  <si>
    <t>Date</t>
  </si>
  <si>
    <t>Overview of this Tool:</t>
  </si>
  <si>
    <t xml:space="preserve">     We will continue to expand upon this tool in the near future, so please contact us for updates.  We are also very open to your suggestions on how we can improve this tool.</t>
  </si>
  <si>
    <t>For comments or questions, please email:</t>
  </si>
  <si>
    <t>Promoting transparent pricing in the microfinance industry</t>
  </si>
  <si>
    <t>www.mftransparency.org</t>
  </si>
  <si>
    <t>Disburse</t>
  </si>
  <si>
    <t>Repay</t>
  </si>
  <si>
    <t>&lt;-- periods per year</t>
  </si>
  <si>
    <t>&lt;-- estimated APR</t>
  </si>
  <si>
    <t>Period #</t>
  </si>
  <si>
    <t>EU Divisor</t>
  </si>
  <si>
    <t>US Divisor</t>
  </si>
  <si>
    <t>Divisor Used</t>
  </si>
  <si>
    <t>Quarters</t>
  </si>
  <si>
    <t>Days</t>
  </si>
  <si>
    <t>Quarterly</t>
  </si>
  <si>
    <t>Bi-weekly</t>
  </si>
  <si>
    <t>Daily</t>
  </si>
  <si>
    <t>Upfront</t>
  </si>
  <si>
    <t>Ongoing</t>
  </si>
  <si>
    <t>Grace periods</t>
  </si>
  <si>
    <t>Capital</t>
  </si>
  <si>
    <t>Int Pmt</t>
  </si>
  <si>
    <t>Int Calc</t>
  </si>
  <si>
    <t>Fee (%)</t>
  </si>
  <si>
    <t>Fee (fixed amount)</t>
  </si>
  <si>
    <t>% of loan term</t>
  </si>
  <si>
    <t>Amortization:</t>
  </si>
  <si>
    <t>Interest:</t>
  </si>
  <si>
    <t>Equal installments (amortized)</t>
  </si>
  <si>
    <t>&lt;&lt;&lt;TARGET TO ZERO for goal seek</t>
  </si>
  <si>
    <t>Cashflow incl. Fees</t>
  </si>
  <si>
    <t>Principal Paid</t>
  </si>
  <si>
    <t>Interest Paid</t>
  </si>
  <si>
    <t>Fees Paid</t>
  </si>
  <si>
    <t>VAT Paid</t>
  </si>
  <si>
    <t>Columns used to create the graph</t>
  </si>
  <si>
    <t xml:space="preserve">used for avg loan bal; can replace with AVG OFFSET </t>
  </si>
  <si>
    <t>Used to hide rows</t>
  </si>
  <si>
    <t>Principal Disbursed</t>
  </si>
  <si>
    <t>Cashflow incl. Interest</t>
  </si>
  <si>
    <t>Interest Calculations</t>
  </si>
  <si>
    <t>days -&gt;</t>
  </si>
  <si>
    <t>+ Fees</t>
  </si>
  <si>
    <t>+ VAT</t>
  </si>
  <si>
    <t>Prin + Int</t>
  </si>
  <si>
    <t>+ Savings</t>
  </si>
  <si>
    <t>Principal and Interest</t>
  </si>
  <si>
    <t>Principal and Interest and Fees and VAT</t>
  </si>
  <si>
    <t>Incl Savings</t>
  </si>
  <si>
    <t>Disb + Sav</t>
  </si>
  <si>
    <t>Divisor</t>
  </si>
  <si>
    <t>Discounted Values</t>
  </si>
  <si>
    <t>Nominal Values</t>
  </si>
  <si>
    <t>%</t>
  </si>
  <si>
    <t>Period</t>
  </si>
  <si>
    <t>Single end-term principal payment</t>
  </si>
  <si>
    <t>2-wk periods</t>
  </si>
  <si>
    <t>Inflow</t>
  </si>
  <si>
    <t>Outflow</t>
  </si>
  <si>
    <t>&lt;-- estimated int for period</t>
  </si>
  <si>
    <t>"i" (period int rate)</t>
  </si>
  <si>
    <t>"n" (periods per yr)</t>
  </si>
  <si>
    <t>Inflows</t>
  </si>
  <si>
    <t>Outflows</t>
  </si>
  <si>
    <t>Semi-annually</t>
  </si>
  <si>
    <t>Annually</t>
  </si>
  <si>
    <t>Years</t>
  </si>
  <si>
    <t>Half-years</t>
  </si>
  <si>
    <t>Client Breakeven Point:</t>
  </si>
  <si>
    <t>=IF('Int Graph'!d13="Balance",2,1)</t>
  </si>
  <si>
    <t>Dropdowns</t>
  </si>
  <si>
    <t>NOTE: Do not put ANYTHING else in column "C" because DROPDOWNS will possibly destroy it!!!!!</t>
  </si>
  <si>
    <t>Amortization DropDn</t>
  </si>
  <si>
    <t>Interest DropDn</t>
  </si>
  <si>
    <t>Single end-term payment</t>
  </si>
  <si>
    <t>Repay Frequency DropDn</t>
  </si>
  <si>
    <r>
      <rPr>
        <i/>
        <sz val="11"/>
        <color indexed="8"/>
        <rFont val="Calibri"/>
        <family val="2"/>
      </rPr>
      <t>i</t>
    </r>
    <r>
      <rPr>
        <sz val="11"/>
        <color indexed="8"/>
        <rFont val="Calibri"/>
        <family val="2"/>
      </rPr>
      <t xml:space="preserve"> * n</t>
    </r>
  </si>
  <si>
    <r>
      <t>(1 + i)</t>
    </r>
    <r>
      <rPr>
        <vertAlign val="superscript"/>
        <sz val="11"/>
        <color indexed="8"/>
        <rFont val="Calibri"/>
        <family val="2"/>
      </rPr>
      <t>n</t>
    </r>
    <r>
      <rPr>
        <sz val="11"/>
        <color indexed="8"/>
        <rFont val="Calibri"/>
        <family val="2"/>
      </rPr>
      <t xml:space="preserve"> - 1</t>
    </r>
  </si>
  <si>
    <t>Total Financial Cost to the Client</t>
  </si>
  <si>
    <t>Years until total loan cost equals the avg loan balance</t>
  </si>
  <si>
    <t>Negative Net Balance for:</t>
  </si>
  <si>
    <t>Avg net loan balance:</t>
  </si>
  <si>
    <t>APR (US)</t>
  </si>
  <si>
    <t>EIR (EU)</t>
  </si>
  <si>
    <t>English</t>
  </si>
  <si>
    <t>Spanish</t>
  </si>
  <si>
    <t>Amortización:</t>
  </si>
  <si>
    <t>Pagos iguales (amortizados)</t>
  </si>
  <si>
    <t>Interés:</t>
  </si>
  <si>
    <t>Cuotas múltiples</t>
  </si>
  <si>
    <t>Frecuencia de pagos y plazos</t>
  </si>
  <si>
    <t>Diario</t>
  </si>
  <si>
    <t>Semanal</t>
  </si>
  <si>
    <t>Quincenal</t>
  </si>
  <si>
    <t>Mensual</t>
  </si>
  <si>
    <t>Trimestral</t>
  </si>
  <si>
    <t>Semestral</t>
  </si>
  <si>
    <t>Anual</t>
  </si>
  <si>
    <t>Período</t>
  </si>
  <si>
    <t>Tasa de interés anual (%)</t>
  </si>
  <si>
    <t>Incremento</t>
  </si>
  <si>
    <t>Comisión (%)</t>
  </si>
  <si>
    <t>Impuesto de Valor Agregado (%)</t>
  </si>
  <si>
    <t>Ahorros obligatorios (fijos)</t>
  </si>
  <si>
    <t>Período #</t>
  </si>
  <si>
    <t>Fecha</t>
  </si>
  <si>
    <t>Saldo</t>
  </si>
  <si>
    <t>Intereses Pagados</t>
  </si>
  <si>
    <t>Comisiones Pagadas</t>
  </si>
  <si>
    <t>Retiro de Ahorros</t>
  </si>
  <si>
    <t>Saldo de Ahorros</t>
  </si>
  <si>
    <t>Flujo de efectivo</t>
  </si>
  <si>
    <t>Costo del Préstamo y flujo de efectivo</t>
  </si>
  <si>
    <t>LangCode</t>
  </si>
  <si>
    <t>User-Language</t>
  </si>
  <si>
    <t>Text</t>
  </si>
  <si>
    <t>Row</t>
  </si>
  <si>
    <t>Pago Int.</t>
  </si>
  <si>
    <t>Calc. Int</t>
  </si>
  <si>
    <t>in</t>
  </si>
  <si>
    <t>en</t>
  </si>
  <si>
    <t>, or …..</t>
  </si>
  <si>
    <t>, o ….</t>
  </si>
  <si>
    <t>en 1 año</t>
  </si>
  <si>
    <t>in 1 year</t>
  </si>
  <si>
    <t>of original loan amount</t>
  </si>
  <si>
    <t>, which is….</t>
  </si>
  <si>
    <t>flujo de efectivo, incl. intereses</t>
  </si>
  <si>
    <t>Bosnian</t>
  </si>
  <si>
    <t>Note: Ensure that ANNUAL interest rate is correct for 52 weeks.</t>
  </si>
  <si>
    <t>Net Loan Balance</t>
  </si>
  <si>
    <t>Interest Rate Balance</t>
  </si>
  <si>
    <t>ManualMode</t>
  </si>
  <si>
    <t>Loan Amount:</t>
  </si>
  <si>
    <t>Monto Prestado:</t>
  </si>
  <si>
    <t>Loan Amt</t>
  </si>
  <si>
    <t>Using MANUAL inputs on RepSched</t>
  </si>
  <si>
    <t>LblOk</t>
  </si>
  <si>
    <t>Totals</t>
  </si>
  <si>
    <t>VersionNum</t>
  </si>
  <si>
    <t>ReleaseDate</t>
  </si>
  <si>
    <t>Beta version</t>
  </si>
  <si>
    <t>Español</t>
  </si>
  <si>
    <t>User-Defined Language</t>
  </si>
  <si>
    <t>, que es….</t>
  </si>
  <si>
    <t>Ahorros Obligatorios</t>
  </si>
  <si>
    <t>Totales</t>
  </si>
  <si>
    <t>Divisor for savigns interest</t>
  </si>
  <si>
    <t>Osnovni kreditni uslovi</t>
  </si>
  <si>
    <t>Iznos kredita:</t>
  </si>
  <si>
    <t>Amortizacija:</t>
  </si>
  <si>
    <t>Jednake otplate glavnice</t>
  </si>
  <si>
    <t>Jednaki anuiteti (amortizovano)</t>
  </si>
  <si>
    <t>Otplata glavnice na kraju otplate kredita</t>
  </si>
  <si>
    <t>Kamata:</t>
  </si>
  <si>
    <t>Otplata u više rata</t>
  </si>
  <si>
    <t>Rok &amp; Frekvencija otplate</t>
  </si>
  <si>
    <t>Svake dvije sedmice</t>
  </si>
  <si>
    <t>Mjeseci</t>
  </si>
  <si>
    <t>Polugodišta</t>
  </si>
  <si>
    <t>Glavnica</t>
  </si>
  <si>
    <t>Plać. Kam.</t>
  </si>
  <si>
    <t>Obrač. Kam.</t>
  </si>
  <si>
    <t>Grace period</t>
  </si>
  <si>
    <t>Dnevno</t>
  </si>
  <si>
    <t>Sedmično</t>
  </si>
  <si>
    <t>Mjesečno</t>
  </si>
  <si>
    <t>Kvartalno</t>
  </si>
  <si>
    <t>Polugodišnje</t>
  </si>
  <si>
    <t>Godišnje</t>
  </si>
  <si>
    <t>Cijena kredita</t>
  </si>
  <si>
    <t>Godišnja kamatna stopa (%)</t>
  </si>
  <si>
    <t>Inicijalni iznos, ili "prosta"</t>
  </si>
  <si>
    <t>Kamata na ostatak duga</t>
  </si>
  <si>
    <t>Unaprijed</t>
  </si>
  <si>
    <t>Tekuća</t>
  </si>
  <si>
    <t>Prirast</t>
  </si>
  <si>
    <t>Provizija (%)</t>
  </si>
  <si>
    <t>Provizija (fiksni iznos)</t>
  </si>
  <si>
    <t>Porez na dodanu vrijednost (%)</t>
  </si>
  <si>
    <t>Obavezna štednja (%)</t>
  </si>
  <si>
    <t>Obavezna štednja (fiksni iznos)</t>
  </si>
  <si>
    <t>Kamata za štednju (%)</t>
  </si>
  <si>
    <t>Otplatni plan</t>
  </si>
  <si>
    <t>Sljedeća tabela prikazuje otplatni plan i gotovinski tok za kredit u skladu sa unesenim uslovima kredita, što je naznačeno na Sheet-u Graph</t>
  </si>
  <si>
    <t>Troškovi kredita i Gotovinski tok</t>
  </si>
  <si>
    <t>Obavezna štednja</t>
  </si>
  <si>
    <t>Ručni Gotovinski tok</t>
  </si>
  <si>
    <t>Datum</t>
  </si>
  <si>
    <t>Isplaćena glavnica</t>
  </si>
  <si>
    <t>Plaćena glavnica</t>
  </si>
  <si>
    <t>Plaćena kamata</t>
  </si>
  <si>
    <t>Gotovinski tok, uključ. Kamatu</t>
  </si>
  <si>
    <t>Plaćena provizija</t>
  </si>
  <si>
    <t>Gotovinski tok, uključujući Proviziju</t>
  </si>
  <si>
    <t>Plaćen PDV</t>
  </si>
  <si>
    <t>Gotovinski tok, uključujući PDV</t>
  </si>
  <si>
    <t>Štedni depoziti</t>
  </si>
  <si>
    <t>Povlačenje štednje</t>
  </si>
  <si>
    <t>Saldo depozita</t>
  </si>
  <si>
    <t>Gotovinski tok, uključujući Štednju</t>
  </si>
  <si>
    <t>Unosi</t>
  </si>
  <si>
    <t>Izlazni podaci</t>
  </si>
  <si>
    <t>Gotovinski tok</t>
  </si>
  <si>
    <t>"i" (period za kamatu)</t>
  </si>
  <si>
    <t>"n" (periodi u godini)</t>
  </si>
  <si>
    <t>, ili ...</t>
  </si>
  <si>
    <t>u 1-oj godini</t>
  </si>
  <si>
    <t>Klijentovi ukupni finansijski troškovi</t>
  </si>
  <si>
    <t>Ukupni troškovi (umanjeni za kamatu po štednji)</t>
  </si>
  <si>
    <t>Prosj. Neto saldo kredita</t>
  </si>
  <si>
    <t>Klijentova tačka pokrića:</t>
  </si>
  <si>
    <t>Negativni neto saldo za:</t>
  </si>
  <si>
    <t>originalnog iznosa kredita</t>
  </si>
  <si>
    <t>Godine za koje ukupni troškovi postaju jednaki prosj. Saldu kredita</t>
  </si>
  <si>
    <t>, što je ...</t>
  </si>
  <si>
    <t>% roka kredita</t>
  </si>
  <si>
    <t>Napomena: Utvrdite da je GODIŠNJA kamatna stopa ispravna za 52 sedmice</t>
  </si>
  <si>
    <t>Odnos neto iznosa kredita, metode obračuna kamate i štednje</t>
  </si>
  <si>
    <t>Neto saldo kredita</t>
  </si>
  <si>
    <t>Saldo kamate</t>
  </si>
  <si>
    <t>Period obračuna kamate je predug za kalkulaciju</t>
  </si>
  <si>
    <t>Korištenje MANUALNOG unosa u Otpl.Plan</t>
  </si>
  <si>
    <t>Djelioci</t>
  </si>
  <si>
    <t>Ukupno</t>
  </si>
  <si>
    <t>Date:</t>
  </si>
  <si>
    <t xml:space="preserve">     This is a basic tool to help you understand the factors influencing the Effective Interest Rate (EIR) and the Annual Percentage Rate (APR) formulas used in the financial world to calculate comparative costs of different loan products.</t>
  </si>
  <si>
    <t>"i" (tasa int per.)</t>
  </si>
  <si>
    <t>"n" (períodos/año)</t>
  </si>
  <si>
    <t>Nominal interest Rate (%)</t>
  </si>
  <si>
    <t>Interest Rate Method</t>
  </si>
  <si>
    <t>Interest Rate Period</t>
  </si>
  <si>
    <t>Per day</t>
  </si>
  <si>
    <t>Per week</t>
  </si>
  <si>
    <t>Per month</t>
  </si>
  <si>
    <t>Per quarter</t>
  </si>
  <si>
    <t>Per half-year</t>
  </si>
  <si>
    <t>Per year</t>
  </si>
  <si>
    <t>Per four weeks</t>
  </si>
  <si>
    <t>4-wk periods</t>
  </si>
  <si>
    <t>Every four weeks</t>
  </si>
  <si>
    <t>Frequency</t>
  </si>
  <si>
    <t>N</t>
  </si>
  <si>
    <t>T</t>
  </si>
  <si>
    <t>PERIODS/Yr--&gt;</t>
  </si>
  <si>
    <t>Compounding</t>
  </si>
  <si>
    <t>BAR SCALE</t>
  </si>
  <si>
    <t>TOTAL</t>
  </si>
  <si>
    <t>override</t>
  </si>
  <si>
    <t>Obračun God. Kam. Stope na bazi kreditnih uslova i cijene</t>
  </si>
  <si>
    <t>Dani</t>
  </si>
  <si>
    <t>Sedmice</t>
  </si>
  <si>
    <t>period od 2 sedmice</t>
  </si>
  <si>
    <t>Kvartali</t>
  </si>
  <si>
    <t>Godine</t>
  </si>
  <si>
    <t>Pregled ovog Programa:</t>
  </si>
  <si>
    <t>Ovo je osnovni alat koji će vam pomoći da razumijete koji faktori imaju uticaja na Efektivnu kamatnu stopu (EIR) i Godišnju kamatnu stopu (APR); korištene su formule koje se uobičajeno upotrebljavaju za izračunavanje komparativnih troškova različitih kreditnih proizvoda.</t>
  </si>
  <si>
    <t>Nastavićemo razvijati ovaj alat, te vas molimo da nas kontaktirate u vezi poboljšanja. Također nam se možete obratiti ukoliko imate prijedloge za unapređenje ovog alata.</t>
  </si>
  <si>
    <t>Dva osnovna područja alata:</t>
  </si>
  <si>
    <t>APR kalkulacija: Sheet pod nazivom "Interest sate Graph" i sheet pod nazivom "Repayment Schedule" rade povezano da bi vam omogućili da unesete osnovne podatke o kreditnim uslovima i izračunate Godišnju kamatnu stopu za dati kreditni proizvod ako i da vidite i broj ostalih kalkulacija za kamatne troškove.</t>
  </si>
  <si>
    <t>Podaci o strukturi troškova: Sheet "Cost Stucture Data" omogućava vam da unesete raspone iznosa kredita i da procjenite troškove isplate i praćenja kredita za svaki od kredita. Ovi podaci se prikazuju na Sheet-u "Graphs" i koriste se na Sheet-u "Breakeven Point".</t>
  </si>
  <si>
    <t>Verzija:</t>
  </si>
  <si>
    <t>Datum:</t>
  </si>
  <si>
    <t>Promoviranje transparentnosti cijena u mikrofinansijskoj industriji</t>
  </si>
  <si>
    <t>Ukoliko imate komentara ili pitanja molim vas pošaljite email:</t>
  </si>
  <si>
    <t>Razumjevanje kamatnih stopa</t>
  </si>
  <si>
    <t>Manual mode</t>
  </si>
  <si>
    <t>Analiza Strukture troškova u odnosu na iznos i rok kreditnog proizvoda</t>
  </si>
  <si>
    <t>Inicijalni iznos kredita</t>
  </si>
  <si>
    <t>Prosječni saldo</t>
  </si>
  <si>
    <t>Godišnji GDP</t>
  </si>
  <si>
    <t>Inicijalni iznos kredita kao % godišnjeg GDP-a</t>
  </si>
  <si>
    <t>Rok kredita</t>
  </si>
  <si>
    <t>Krediti obrađeni/godina</t>
  </si>
  <si>
    <t>Otpis kredita</t>
  </si>
  <si>
    <t>Godišnji otpis kredita %</t>
  </si>
  <si>
    <t>Godišnja provizija za kreditne gubitke</t>
  </si>
  <si>
    <t>Finansijski trošak</t>
  </si>
  <si>
    <t>Troškovi sredstava (%)</t>
  </si>
  <si>
    <t>Godišnji finansijski trošak</t>
  </si>
  <si>
    <t>Kalkulacija operativnih troškova</t>
  </si>
  <si>
    <t>Troškovi isplate kredita</t>
  </si>
  <si>
    <t>Godišnji troškovi isplate kredita</t>
  </si>
  <si>
    <t>Mjesečni trošak praćenja otplate kredita</t>
  </si>
  <si>
    <t>Godišnji trošak praćenja otplate kredita</t>
  </si>
  <si>
    <t>Ukupni godišnji operativni troškovi</t>
  </si>
  <si>
    <t>Prosječni saldo u otplati</t>
  </si>
  <si>
    <t>Omjer Godišnjeg operativnog troška</t>
  </si>
  <si>
    <t>Struktura troškova (%)</t>
  </si>
  <si>
    <t>Podaci su prikazani na detaljnom grafikonu</t>
  </si>
  <si>
    <t>Podaci su uključeni samo u Okvirne grafikone</t>
  </si>
  <si>
    <t>Kalkulacija Tačke pokrića</t>
  </si>
  <si>
    <t>Obračunata efektivna kamatna stopa</t>
  </si>
  <si>
    <t>Iznos kredita</t>
  </si>
  <si>
    <t>Kamatna stopa tačke pokrića</t>
  </si>
  <si>
    <t>Ukupni godišnji troškovi kredita</t>
  </si>
  <si>
    <t>Prihod po proporcionalnoj kamatnoj stopi</t>
  </si>
  <si>
    <t>EU-Formula</t>
  </si>
  <si>
    <t>Effective Annual</t>
  </si>
  <si>
    <t>EU Exact Days</t>
  </si>
  <si>
    <t>Exact days</t>
  </si>
  <si>
    <t>Hidecols</t>
  </si>
  <si>
    <t>Exact Days</t>
  </si>
  <si>
    <t>DevMode</t>
  </si>
  <si>
    <t>DevOk</t>
  </si>
  <si>
    <t>DevShowRows</t>
  </si>
  <si>
    <t>DevShowCols</t>
  </si>
  <si>
    <t>DebugVBA</t>
  </si>
  <si>
    <t>MacrosEnab</t>
  </si>
  <si>
    <t>Discounted Cash Flow Visualization</t>
  </si>
  <si>
    <t>ExcelBuild</t>
  </si>
  <si>
    <t>Override</t>
  </si>
  <si>
    <t>Num Pmts</t>
  </si>
  <si>
    <t>Grace?</t>
  </si>
  <si>
    <t>Holiday?</t>
  </si>
  <si>
    <t>Pmt?</t>
  </si>
  <si>
    <t>Disb Date</t>
  </si>
  <si>
    <t>APR (i * n =)</t>
  </si>
  <si>
    <t>Payment Amt</t>
  </si>
  <si>
    <t>Apply government holidays as grace periods</t>
  </si>
  <si>
    <t>Grace periods?</t>
  </si>
  <si>
    <t>Bangladesh Holiday Schedule</t>
  </si>
  <si>
    <t>Repayment Schedule for Standarized Bangladesh Weekly Loan</t>
  </si>
  <si>
    <t>List dates of upcoming holidays</t>
  </si>
  <si>
    <t>If payment date falls on this date, client gets a week of grace</t>
  </si>
  <si>
    <t>Active?</t>
  </si>
  <si>
    <t>Number of weeks until last payment</t>
  </si>
  <si>
    <t>Initial Fees</t>
  </si>
  <si>
    <t>APR  i * n =</t>
  </si>
  <si>
    <r>
      <t>EIR   (1 + i)</t>
    </r>
    <r>
      <rPr>
        <b/>
        <vertAlign val="superscript"/>
        <sz val="9"/>
        <rFont val="Arial"/>
        <family val="2"/>
      </rPr>
      <t>n</t>
    </r>
    <r>
      <rPr>
        <b/>
        <sz val="9"/>
        <rFont val="Arial"/>
        <family val="2"/>
      </rPr>
      <t xml:space="preserve"> -1=</t>
    </r>
  </si>
  <si>
    <t>Total Repaid</t>
  </si>
  <si>
    <r>
      <t>EIR (1 + i)</t>
    </r>
    <r>
      <rPr>
        <b/>
        <vertAlign val="superscript"/>
        <sz val="11"/>
        <color indexed="12"/>
        <rFont val="Arial"/>
        <family val="2"/>
      </rPr>
      <t>n</t>
    </r>
    <r>
      <rPr>
        <b/>
        <sz val="11"/>
        <color indexed="12"/>
        <rFont val="Arial"/>
        <family val="2"/>
      </rPr>
      <t xml:space="preserve"> -1=</t>
    </r>
  </si>
  <si>
    <t>with interest</t>
  </si>
  <si>
    <t>with fees</t>
  </si>
  <si>
    <t>with savings</t>
  </si>
  <si>
    <t>Períodos de Cuatro Semanas</t>
  </si>
  <si>
    <t>Tasa de Interés Nominal (%)</t>
  </si>
  <si>
    <t>Resumen de la Herramienta</t>
  </si>
  <si>
    <t>Versión:</t>
  </si>
  <si>
    <t>Fecha:</t>
  </si>
  <si>
    <t>PIB Anual</t>
  </si>
  <si>
    <t>Costo Financiero</t>
  </si>
  <si>
    <t>Fórmula</t>
  </si>
  <si>
    <t>Cálculo del Umbral de Rentabilidad</t>
  </si>
  <si>
    <t>Tasa de Interés de Rentabilidad</t>
  </si>
  <si>
    <t>Semanalmente</t>
  </si>
  <si>
    <t>Por Año</t>
  </si>
  <si>
    <t>Efectiva anualizada</t>
  </si>
  <si>
    <t>Costo Total Anual del Préstamo</t>
  </si>
  <si>
    <t>French</t>
  </si>
  <si>
    <t>Amortissement</t>
  </si>
  <si>
    <t>Versements Égaux sur le Capital</t>
  </si>
  <si>
    <t>Intérêt:</t>
  </si>
  <si>
    <t>Plusieurs Versements</t>
  </si>
  <si>
    <t>Jours</t>
  </si>
  <si>
    <t>Semaines</t>
  </si>
  <si>
    <t>Quinzaine</t>
  </si>
  <si>
    <t>Périodes de 4 Semaines</t>
  </si>
  <si>
    <t>Mois</t>
  </si>
  <si>
    <t>Trimestres</t>
  </si>
  <si>
    <t>Semestre</t>
  </si>
  <si>
    <t>Années</t>
  </si>
  <si>
    <t>Calcul de l'Intérêt</t>
  </si>
  <si>
    <t>Chaque Jour</t>
  </si>
  <si>
    <t>Chaque Semaine</t>
  </si>
  <si>
    <t>Chaque Quinzaine</t>
  </si>
  <si>
    <t>Chaque 4 Semaines</t>
  </si>
  <si>
    <t>Mensuellement</t>
  </si>
  <si>
    <t>Trimestriellement</t>
  </si>
  <si>
    <t>Annuellement</t>
  </si>
  <si>
    <t>Période</t>
  </si>
  <si>
    <t>Taxe sur la Valeur Ajoutée (%)</t>
  </si>
  <si>
    <t>Épargnes Obligatoires (%)</t>
  </si>
  <si>
    <t>Épargnes Obligatoires (fixe)</t>
  </si>
  <si>
    <t>Calendrier de Remboursement</t>
  </si>
  <si>
    <t>Épargnes Obligatoires</t>
  </si>
  <si>
    <t>Flux de Trésorerie Manuel</t>
  </si>
  <si>
    <t>Capital Décaissé</t>
  </si>
  <si>
    <t>Solde</t>
  </si>
  <si>
    <t>Intérêt Payé</t>
  </si>
  <si>
    <t>TVA Payée</t>
  </si>
  <si>
    <t>Épargnes</t>
  </si>
  <si>
    <t>Solde d'Épargnes</t>
  </si>
  <si>
    <t>Flux de trésorerie</t>
  </si>
  <si>
    <t>"i" (Taux d'Intérêt de la Période)</t>
  </si>
  <si>
    <t>dans</t>
  </si>
  <si>
    <t>, ou….</t>
  </si>
  <si>
    <t>dans une année</t>
  </si>
  <si>
    <t>Coût Total (moins l'intérêt sur les épargnes):</t>
  </si>
  <si>
    <t>, qui est….</t>
  </si>
  <si>
    <t>% de la durée de l'emprunt</t>
  </si>
  <si>
    <t>Solde du Taux d'Intérêt</t>
  </si>
  <si>
    <t>Diviseur</t>
  </si>
  <si>
    <t>Vue d'Ensemble de l'Outil:</t>
  </si>
  <si>
    <t>Si vous avez des questions ou des commentaires, merci de contacter:</t>
  </si>
  <si>
    <t xml:space="preserve">Encours Moyen de Crédits </t>
  </si>
  <si>
    <t>PIB Annuel</t>
  </si>
  <si>
    <t>Durée de l'Emprunt (mois)</t>
  </si>
  <si>
    <t>% de Taux d’Abandon de Créances</t>
  </si>
  <si>
    <t xml:space="preserve">Charge Financière </t>
  </si>
  <si>
    <t>Coût des Ressources (%)</t>
  </si>
  <si>
    <t>Charge Financière Annuelle</t>
  </si>
  <si>
    <t xml:space="preserve">Calcul de la Charge d’Exploitation </t>
  </si>
  <si>
    <t>Charge d’Ouverture d'un Emprunt</t>
  </si>
  <si>
    <t xml:space="preserve">Charges Annuelles d’Ouverture d'Emprunts </t>
  </si>
  <si>
    <t>Charge Mensuelle de Surveillance de l'Emprunt</t>
  </si>
  <si>
    <t>Charge Annuelle de Surveillance</t>
  </si>
  <si>
    <t>Charge d'Exploitation Totale</t>
  </si>
  <si>
    <t>Ratio de Charges d’Exploitation Annuel</t>
  </si>
  <si>
    <t>Structure de Coût (%)</t>
  </si>
  <si>
    <t>Données affichées sur les Graphiques Detaillés</t>
  </si>
  <si>
    <t>Formule</t>
  </si>
  <si>
    <t xml:space="preserve">Montant de l'Emprunt </t>
  </si>
  <si>
    <t>Produit des Intérêts Fixes</t>
  </si>
  <si>
    <t>Méthode d’Amortissement</t>
  </si>
  <si>
    <t>Effectif Annuel</t>
  </si>
  <si>
    <t xml:space="preserve">Dotation aux Provisions pour Créances Douteuses </t>
  </si>
  <si>
    <t>Charge Financière</t>
  </si>
  <si>
    <t>Charges d'Exploitation</t>
  </si>
  <si>
    <t>Francais</t>
  </si>
  <si>
    <t>Loan Balance and Pricing</t>
  </si>
  <si>
    <t>Amount of Time with Negative Net Balance</t>
  </si>
  <si>
    <t>The month when the total loan cost equals the avg loan balance</t>
  </si>
  <si>
    <t>This is the amount the client has to invest in her business</t>
  </si>
  <si>
    <t>Annualized</t>
  </si>
  <si>
    <t>Up-front Fee (%)</t>
  </si>
  <si>
    <t>Interest Method</t>
  </si>
  <si>
    <t>Factor</t>
  </si>
  <si>
    <t>APR</t>
  </si>
  <si>
    <t>Incremental Cost</t>
  </si>
  <si>
    <t>Inputs</t>
  </si>
  <si>
    <t>opportunity cost</t>
  </si>
  <si>
    <t>annualized rate</t>
  </si>
  <si>
    <t>charged every four weeks</t>
  </si>
  <si>
    <t>charged every month</t>
  </si>
  <si>
    <t>Two-week periods</t>
  </si>
  <si>
    <t>Every two weeks</t>
  </si>
  <si>
    <t>Amortized principal and interest</t>
  </si>
  <si>
    <t>=IF('Int Graph'!C8="Balance",2,1)</t>
  </si>
  <si>
    <t>Single end-of-term payment</t>
  </si>
  <si>
    <t>interest payment method</t>
  </si>
  <si>
    <t>Probable amount the "good" client will need to cover (applied in final month)</t>
  </si>
  <si>
    <t>Percentage of clients that stop paying their part of group payment</t>
  </si>
  <si>
    <t>Average loan size</t>
  </si>
  <si>
    <t xml:space="preserve">  (the borrower being analyzed plus the three remaining good members)</t>
  </si>
  <si>
    <t xml:space="preserve">  Thus, in a group of 5 people, there are 4 other possible defaulters, but any defaulting will be split four ways </t>
  </si>
  <si>
    <t xml:space="preserve">  Assumes each borrower has equal odds of default and that other members in group will share burden.</t>
  </si>
  <si>
    <t>Enter Data about financial risk of group default:</t>
  </si>
  <si>
    <t>Level 4:  Including Potential Cost of Peer Risk</t>
  </si>
  <si>
    <t>The BEFORE figure is considered a cost in Month 0 of RepSched; the second figure is applied for each installment period</t>
  </si>
  <si>
    <t xml:space="preserve">   (transportation + opportunity costs)</t>
  </si>
  <si>
    <t>These figures indicate the total transaction costs for this loan methodology.</t>
  </si>
  <si>
    <t>Total Transaction Costs</t>
  </si>
  <si>
    <t>=</t>
  </si>
  <si>
    <t xml:space="preserve">   Total opportunity cost of time</t>
  </si>
  <si>
    <t xml:space="preserve">   Opportunity cost of time (per hour)</t>
  </si>
  <si>
    <t>Total Hours</t>
  </si>
  <si>
    <t>+</t>
  </si>
  <si>
    <t xml:space="preserve">   Hours spent at bank and office</t>
  </si>
  <si>
    <t xml:space="preserve">   Hours spent in group sessions</t>
  </si>
  <si>
    <t xml:space="preserve">   Hours in training/orientation sessions</t>
  </si>
  <si>
    <t xml:space="preserve">   Hours spent with loan officer at business</t>
  </si>
  <si>
    <t xml:space="preserve">   Hours spent in transportation</t>
  </si>
  <si>
    <t xml:space="preserve">   Hours spent to go roundtrip to/from office</t>
  </si>
  <si>
    <t xml:space="preserve">   Number of roundtrips to office</t>
  </si>
  <si>
    <t xml:space="preserve">   Cost of transportation</t>
  </si>
  <si>
    <t>This is currently established as:</t>
  </si>
  <si>
    <t xml:space="preserve">   Cost of roundtrip transportation going to office</t>
  </si>
  <si>
    <t>repeated for the installment frequency.</t>
  </si>
  <si>
    <t xml:space="preserve">   Number of trips to office/bank</t>
  </si>
  <si>
    <t>The amount in the "period" column will be</t>
  </si>
  <si>
    <t>Each period</t>
  </si>
  <si>
    <t>Before loan</t>
  </si>
  <si>
    <t xml:space="preserve"> </t>
  </si>
  <si>
    <t>Enter Data about Transaction Costs:</t>
  </si>
  <si>
    <t>Level 3:  Including Transaction Costs</t>
  </si>
  <si>
    <t>Interest earned on savings (annual)</t>
  </si>
  <si>
    <t>Ongoing compulsory savings</t>
  </si>
  <si>
    <t>Upfront compulsory savings</t>
  </si>
  <si>
    <t>Enter Data about Compulsory Savings:</t>
  </si>
  <si>
    <t>Level 2:  Including Savings</t>
  </si>
  <si>
    <t>Ongoing commission</t>
  </si>
  <si>
    <t>Upfront commission #2</t>
  </si>
  <si>
    <t>Note: in these sections, numbers &lt;1 are treated as percentages, and numbers &gt;1 are absolute amounts</t>
  </si>
  <si>
    <t>Upfront commission #1</t>
  </si>
  <si>
    <t>Effective Interest Rate excluding Value-added tax</t>
  </si>
  <si>
    <t>Total paid for the loan (Prin + Int)</t>
  </si>
  <si>
    <t>Month/Week 1 total payment (reference figure for playing with interest rate when unknown)</t>
  </si>
  <si>
    <t>Interest rate method</t>
  </si>
  <si>
    <t>annual nominal equivalent</t>
  </si>
  <si>
    <t>Quoted interest rate</t>
  </si>
  <si>
    <t>Enter Data about the cost of the loan:</t>
  </si>
  <si>
    <t>Grace period, interest calculations</t>
  </si>
  <si>
    <t>Grace period, interest payments</t>
  </si>
  <si>
    <t>Grace period, capital</t>
  </si>
  <si>
    <t>Installment schedule, interest</t>
  </si>
  <si>
    <t>Amortized loan?</t>
  </si>
  <si>
    <t>Installment schedule, principal</t>
  </si>
  <si>
    <t>Enter Data about the repayment of principal and interest:</t>
  </si>
  <si>
    <t>.</t>
  </si>
  <si>
    <t>Number of installment periods</t>
  </si>
  <si>
    <t>weekly</t>
  </si>
  <si>
    <t>Repayment frequency</t>
  </si>
  <si>
    <t>Loan amount</t>
  </si>
  <si>
    <t>Enter Data about the loan amount and term:</t>
  </si>
  <si>
    <t>Level 1:  Loan Only</t>
  </si>
  <si>
    <t>incl. peer risk</t>
  </si>
  <si>
    <t>incl. transaction costs</t>
  </si>
  <si>
    <t>including savings</t>
  </si>
  <si>
    <t>Loan only</t>
  </si>
  <si>
    <t>Real</t>
  </si>
  <si>
    <t>Unadj. Tot.</t>
  </si>
  <si>
    <t>Effective Interest Rate</t>
  </si>
  <si>
    <t>A detailed repayment schedule can be found on the next worksheet ("RepSched")</t>
  </si>
  <si>
    <t>ClientCost</t>
  </si>
  <si>
    <t>Client Cost</t>
  </si>
  <si>
    <t>Effective Interest Rate and Cost to Client Analysis</t>
  </si>
  <si>
    <t>Calculation of APR based on Loan Conditions and Pricing -- SIMPLE APPROACH</t>
  </si>
  <si>
    <t>OR Date</t>
  </si>
  <si>
    <t>The disbursment date is used for default "first payment" date</t>
  </si>
  <si>
    <t>If there is a first payment date entered, then all future dates cascade from this date</t>
  </si>
  <si>
    <t>APR (exact)</t>
  </si>
  <si>
    <t>EIR (exact)</t>
  </si>
  <si>
    <t>Taxes</t>
  </si>
  <si>
    <t>Cashflow Incl. Taxes</t>
  </si>
  <si>
    <t>MonthDay</t>
  </si>
  <si>
    <t>&lt;---N used in formulas</t>
  </si>
  <si>
    <t>&lt;--number month increment</t>
  </si>
  <si>
    <t>=IF(ISBLANK($E$6),"",IF(ManualDates="x",IF(NOT(ISBLANK(D8)),D8,IF(C8=0,CY8,E7+C8)),CY8))</t>
  </si>
  <si>
    <t>if DATE entered, use date</t>
  </si>
  <si>
    <t>ELSEIF DAYS entered, use prev+days</t>
  </si>
  <si>
    <t>Date Calc</t>
  </si>
  <si>
    <t>&lt;---Function to recalc APRs</t>
  </si>
  <si>
    <t>Every 15 days (exactly)</t>
  </si>
  <si>
    <t>15-day periods</t>
  </si>
  <si>
    <t>Payment Date</t>
  </si>
  <si>
    <t>&lt;-- Disbursment Date</t>
  </si>
  <si>
    <t>which is</t>
  </si>
  <si>
    <t>Calculation of Transparent Pricing</t>
  </si>
  <si>
    <t>Per 15 days</t>
  </si>
  <si>
    <t>Disb date? -&gt;</t>
  </si>
  <si>
    <t>EIR from Rep CashFlow</t>
  </si>
  <si>
    <t>&lt;-- Difference between inflow&amp;outflow</t>
  </si>
  <si>
    <t>Principal and Interest AND FEES</t>
  </si>
  <si>
    <t>Principal and Interest, Fees AND VAT</t>
  </si>
  <si>
    <t>Manual?</t>
  </si>
  <si>
    <t>Developed by Chuck Waterfield (MicroFinance Transparency)</t>
  </si>
  <si>
    <t>Razvio Chuck Waterfield (MicroFinance Transparency)</t>
  </si>
  <si>
    <t>Développé par Chuck Waterfield (MicroFinance Transparency)</t>
  </si>
  <si>
    <t>Per two weeks (14 days)</t>
  </si>
  <si>
    <t>Cada Dos Semanas (14 dias)</t>
  </si>
  <si>
    <t>Repayment Schedule  - SIMPLE APPROACH</t>
  </si>
  <si>
    <t>Excel version:</t>
  </si>
  <si>
    <t>XIRR usable</t>
  </si>
  <si>
    <t>This uses the XIRR function available in Excel 2007 or 2010</t>
  </si>
  <si>
    <t>This converts from XIRR below with assumed periods (n)</t>
  </si>
  <si>
    <t>If Excel 2007 or 2010, the XIRR figure is used for EIR</t>
  </si>
  <si>
    <t>hide this row always</t>
  </si>
  <si>
    <t>Inflows (Prin+Int)</t>
  </si>
  <si>
    <t>Outflows (Prin+Int)</t>
  </si>
  <si>
    <t>Calculating Transparent Prices</t>
  </si>
  <si>
    <t xml:space="preserve">     APR Calculator, Simple:  The Interest Rate Graph sheet and the Repayment Schedule sheet work together to allow you to enter basic loan conditions and calculate the APR for that loan product as well as see a number of other interesting cost calculations.</t>
  </si>
  <si>
    <t>info@mftransparency.org</t>
  </si>
  <si>
    <t>Taux d'Intérêt Nominal (%)</t>
  </si>
  <si>
    <t>Pour la promotion de la tarification Transparente dans le secteur de la microfinance.</t>
  </si>
  <si>
    <t>Annuler</t>
  </si>
  <si>
    <t>Tous les 15 jours (exactement)</t>
  </si>
  <si>
    <t>Structure de Coût (taux actuel du $)</t>
  </si>
  <si>
    <t>TIA Taux d' Intérêt Annuel (exact)</t>
  </si>
  <si>
    <t>TEG Taux d'Intérêt  Global (exact)</t>
  </si>
  <si>
    <t>Périodes de 15 jours</t>
  </si>
  <si>
    <t>Par 15 jours</t>
  </si>
  <si>
    <t>&lt;--Date de décaissement</t>
  </si>
  <si>
    <t>Qui est</t>
  </si>
  <si>
    <t>Version Excel</t>
  </si>
  <si>
    <t>OU Date</t>
  </si>
  <si>
    <t>Conditions de prêt de base</t>
  </si>
  <si>
    <t>Taux d'intérêt annuel (%)</t>
  </si>
  <si>
    <t>Frais Initial (%)</t>
  </si>
  <si>
    <t>Taxe sur la valeur ajoutée (%)</t>
  </si>
  <si>
    <t>C'est le montant que le client doit investir dans son entreprise</t>
  </si>
  <si>
    <t>Le mois où le coût total du prêt est égal au solde du prêt moyen</t>
  </si>
  <si>
    <t>Vers. l'Intérêt</t>
  </si>
  <si>
    <t># Période</t>
  </si>
  <si>
    <t>Note: This SIMPLE APPROACH allows only a few basic inputs and makes assumptions on other factors.  This sheet should only be used for experimentation and learning, not for actual calculation</t>
  </si>
  <si>
    <t xml:space="preserve">           of prices of actual loan products.   To study an actual loan product, use the ADVANCED sheet later in this workbook.</t>
  </si>
  <si>
    <t>The following table shows the repayment schedule and cashflow for the loan given the conditions indicated on the companion sheet with the Interest Rate Graph.</t>
  </si>
  <si>
    <t>$</t>
  </si>
  <si>
    <t>EUR</t>
  </si>
  <si>
    <t>€</t>
  </si>
  <si>
    <t>£</t>
  </si>
  <si>
    <t>Kr</t>
  </si>
  <si>
    <t>¥</t>
  </si>
  <si>
    <t>CURRENCY SYMBOLS</t>
  </si>
  <si>
    <t>----END OF LIST</t>
  </si>
  <si>
    <t>&lt; --  Currency Symbol</t>
  </si>
  <si>
    <t>KSH</t>
  </si>
  <si>
    <t>E\U\R</t>
  </si>
  <si>
    <t>Security Deposit (%)</t>
  </si>
  <si>
    <t>Security Deposit (fixed)</t>
  </si>
  <si>
    <t>Interest Paid on Deposit (%)</t>
  </si>
  <si>
    <t>Security Deposit</t>
  </si>
  <si>
    <t>Deposit Withdr.</t>
  </si>
  <si>
    <t>Deposit Balance</t>
  </si>
  <si>
    <t>Cashflow incl. Sec.Dep.</t>
  </si>
  <si>
    <t>Total Cost (less Sec.Dep. int):</t>
  </si>
  <si>
    <t>Enter Manual Mode to modify dates and specific amounts</t>
  </si>
  <si>
    <t>This converts from XIRR with assumed periods (n)</t>
  </si>
  <si>
    <t>Period APR</t>
  </si>
  <si>
    <t>Int Rate Pd is too high to calculate; change SEED number</t>
  </si>
  <si>
    <t>This uses IRR with even periods</t>
  </si>
  <si>
    <t>Simple multiplication to annualize without compounding</t>
  </si>
  <si>
    <t>Calculation based on EVEN periods (using IRR)</t>
  </si>
  <si>
    <t>Calculation based on EXACT DAYS (using XIRR)</t>
  </si>
  <si>
    <t>1/365th power</t>
  </si>
  <si>
    <t>to the</t>
  </si>
  <si>
    <t>Interest Calcs for "grace" options</t>
  </si>
  <si>
    <t>EIR/APR from Rep CashFlow</t>
  </si>
  <si>
    <t>convert to daily rate</t>
  </si>
  <si>
    <t>annualize w/o compounding</t>
  </si>
  <si>
    <t>Uses the XIRR function available in Excel 2007/2010</t>
  </si>
  <si>
    <t>Prepayment</t>
  </si>
  <si>
    <t>Prepay</t>
  </si>
  <si>
    <t>Days/per (t):</t>
  </si>
  <si>
    <t>Días / per (t)</t>
  </si>
  <si>
    <t>Dani/per (t):</t>
  </si>
  <si>
    <t>Per/Yr (n):</t>
  </si>
  <si>
    <t>Per / año (n)</t>
  </si>
  <si>
    <t>Per/God (n):</t>
  </si>
  <si>
    <t>Balloon</t>
  </si>
  <si>
    <t>Grace or Prepay</t>
  </si>
  <si>
    <t>Threshold for when % upfront starts</t>
  </si>
  <si>
    <t>Interest for period</t>
  </si>
  <si>
    <t>Interest accrued</t>
  </si>
  <si>
    <t>From here to RIGHT ----&gt;&gt;   is not USED.  Is ALTERNATIVE means of discounting</t>
  </si>
  <si>
    <t>Transparency Index</t>
  </si>
  <si>
    <t>Cumulative Total Paid</t>
  </si>
  <si>
    <t>Annualize by compounding the period int rate by # of periods</t>
  </si>
  <si>
    <t>Client Information</t>
  </si>
  <si>
    <t>Address:</t>
  </si>
  <si>
    <t>Name:</t>
  </si>
  <si>
    <t>Telephone:</t>
  </si>
  <si>
    <t>Total Fees Paid:</t>
  </si>
  <si>
    <t>Total Cost of Loan:</t>
  </si>
  <si>
    <t xml:space="preserve">Branch: </t>
  </si>
  <si>
    <t>Total Cost of Loan</t>
  </si>
  <si>
    <t>Disbursement</t>
  </si>
  <si>
    <t>Balance of Loan</t>
  </si>
  <si>
    <t>Principle Repayment</t>
  </si>
  <si>
    <t>Interest Repayment</t>
  </si>
  <si>
    <t>Fees</t>
  </si>
  <si>
    <t>Insurance</t>
  </si>
  <si>
    <t>Security Deposit Balance</t>
  </si>
  <si>
    <t>Description</t>
  </si>
  <si>
    <t>Cash Flow no savings</t>
  </si>
  <si>
    <t>Cash Flow With Savings</t>
  </si>
  <si>
    <t>Average Daily Balance during loan:</t>
  </si>
  <si>
    <t>Interest</t>
  </si>
  <si>
    <t>Security Deposit Refund at end of loan</t>
  </si>
  <si>
    <t>Total Months</t>
  </si>
  <si>
    <t>Cost per month</t>
  </si>
  <si>
    <t>Loan Amount and Balance</t>
  </si>
  <si>
    <t>Interest on Security Dep</t>
  </si>
  <si>
    <t>Withdrawel of Sec Dep</t>
  </si>
  <si>
    <t>Maturity Date:</t>
  </si>
  <si>
    <t>Disbursment Date:</t>
  </si>
  <si>
    <t>Length of loan</t>
  </si>
  <si>
    <t>Cum Daily Balance</t>
  </si>
  <si>
    <t>Maturity:</t>
  </si>
  <si>
    <t>Days:</t>
  </si>
  <si>
    <t>R</t>
  </si>
  <si>
    <t>Rand</t>
  </si>
  <si>
    <t>Security Deposit Information</t>
  </si>
  <si>
    <t>Total Payment (Incl. Security Deposit)</t>
  </si>
  <si>
    <t>On Fees:</t>
  </si>
  <si>
    <t>On Interest:</t>
  </si>
  <si>
    <t>Insurance (%)</t>
  </si>
  <si>
    <t>Insurance (fixed amount)</t>
  </si>
  <si>
    <t>Maximum amount for upfront fees</t>
  </si>
  <si>
    <t>Insurance Paid</t>
  </si>
  <si>
    <t>Cashflow incl. insurance</t>
  </si>
  <si>
    <t>Loan Principal</t>
  </si>
  <si>
    <t>Cum Daily CASH Balance</t>
  </si>
  <si>
    <t>Cash Balance (GRAPHED)</t>
  </si>
  <si>
    <t>avg loan bal</t>
  </si>
  <si>
    <t>avg net bal</t>
  </si>
  <si>
    <t>Descrip</t>
  </si>
  <si>
    <t>Symbol</t>
  </si>
  <si>
    <t>Rupee</t>
  </si>
  <si>
    <t>Euro</t>
  </si>
  <si>
    <t>US$</t>
  </si>
  <si>
    <t>British Pound</t>
  </si>
  <si>
    <t>+ Insurance</t>
  </si>
  <si>
    <t>+ Taxes</t>
  </si>
  <si>
    <t>+ Security Deposit</t>
  </si>
  <si>
    <t>Display EIR values</t>
  </si>
  <si>
    <t>Figure used for EIR</t>
  </si>
  <si>
    <t>Product:</t>
  </si>
  <si>
    <t>Bank:</t>
  </si>
  <si>
    <t>ID Number:</t>
  </si>
  <si>
    <t>Loan Officer:</t>
  </si>
  <si>
    <t>Total Interest Paid:</t>
  </si>
  <si>
    <t>Total Insurance Paid:</t>
  </si>
  <si>
    <t>Total Taxes Paid:</t>
  </si>
  <si>
    <t>Annual Percentage Rate (APR):</t>
  </si>
  <si>
    <t xml:space="preserve">Kr </t>
  </si>
  <si>
    <t>NOTE!  Put a SPACE after the symbol if you want a space between the currency symbol and the first number</t>
  </si>
  <si>
    <t>Nominal Annual &amp; Method</t>
  </si>
  <si>
    <t>+ Ins</t>
  </si>
  <si>
    <t>Nominal</t>
  </si>
  <si>
    <t>Discount</t>
  </si>
  <si>
    <t>discount factor</t>
  </si>
  <si>
    <t xml:space="preserve">    Model Repayment Schedule:  This is an example of the information that an MFI should include in repayment schedules given to clients.</t>
  </si>
  <si>
    <t>For questions or complaints, call customer service at: XXXXXXXXX</t>
  </si>
  <si>
    <t>Average Loan Balance</t>
  </si>
  <si>
    <t>Avg Balance (not net of savings)</t>
  </si>
  <si>
    <t>There are four main areas to this tool:</t>
  </si>
  <si>
    <t>&lt;- This is the discount factor, or 1 / (1+i)^n, calculating how much the future amount loses in value</t>
  </si>
  <si>
    <t>&lt;- These are the cashflow figures from the RepSched-Advanced sheet</t>
  </si>
  <si>
    <t>&lt;- The "nominal" cashflow figures are discounted to their present value by dividing the nominal amounts by the discount factor</t>
  </si>
  <si>
    <t>CFA</t>
  </si>
  <si>
    <t>C\F\A</t>
  </si>
  <si>
    <t>Amortissement Dégressif</t>
  </si>
  <si>
    <t>"n" (Périodes par Année)</t>
  </si>
  <si>
    <t>Efficiency Challenges</t>
  </si>
  <si>
    <t>Client's Initial Loan Amount</t>
  </si>
  <si>
    <t>Client's Average Loan Balance</t>
  </si>
  <si>
    <t>Annual cost to monitor that Client</t>
  </si>
  <si>
    <t>Operating Cost Ratio</t>
  </si>
  <si>
    <t>Change Log</t>
  </si>
  <si>
    <t>Was rounding principle payment to two decimals on the Advanced calculation sheet.  This resulted in the last payment being off by a few cents and the APRs being off by a very small amount.</t>
  </si>
  <si>
    <t>&lt;- This is "i", the periodic interest rate, that results in the discounted inflows equalling the discounted outflows</t>
  </si>
  <si>
    <t>Added manual discount rate test figure to IRR FLOW sheet</t>
  </si>
  <si>
    <t>Modified VBA so that window would maximize on MAC OS</t>
  </si>
  <si>
    <t>Peso</t>
  </si>
  <si>
    <t>P</t>
  </si>
  <si>
    <t>Correct "number of days" figure on bottom row of Advanced APR Sheet</t>
  </si>
  <si>
    <t>Figure used for APR</t>
  </si>
  <si>
    <t>If MANUAL mode, uses conversion from XIRR</t>
  </si>
  <si>
    <t>Changed APR on ADVANCED sheet to show the "exact APR" based on XIRR in MANUAL mode; otherwise periodic assumption calculation</t>
  </si>
  <si>
    <t xml:space="preserve">     APR/EIR Calculator, Advanced: This section expands on the "simple" sheets, offering more options for pricing variables and calculating both the APR and the EIR of the loan.  It also includes an IRR FLOW visual for loans with 12 payments or less.</t>
  </si>
  <si>
    <t xml:space="preserve">     Cost Structure Data:  The Cost Structure Data sheet allows you to enter a range of loan amounts and then estimate delivery and maintenance costs for each of those loans.  This data is then displayed in the Graphs sheet and is also used in the Breakeven Point sheet.  There is also a "Quick Calculator" that allows demonstration of the basic principles.</t>
  </si>
  <si>
    <t>add TRANSLATE button to show the translations sheet for input of user-defined languages</t>
  </si>
  <si>
    <t>Improved to not show VALUE errors if XIRR function not available in this version of Excel</t>
  </si>
  <si>
    <t>Calcul sur la Tarification Transparente</t>
  </si>
  <si>
    <t>Termes Essentiels de l'Emprunt</t>
  </si>
  <si>
    <t>Montant du prêt</t>
  </si>
  <si>
    <t>Versements Égaux (Amortis)</t>
  </si>
  <si>
    <t>Versement unique  du capital à l'échéance du crédit</t>
  </si>
  <si>
    <t>Versement unique  à l'échéance du crédit</t>
  </si>
  <si>
    <t>Durée et Fréquence</t>
  </si>
  <si>
    <t>Jours/Par (t):</t>
  </si>
  <si>
    <t>Période de Grâce</t>
  </si>
  <si>
    <t>Quotidiennement</t>
  </si>
  <si>
    <t>Hebdomadairement</t>
  </si>
  <si>
    <t>Semestrellement</t>
  </si>
  <si>
    <t>Par/An (n)</t>
  </si>
  <si>
    <t xml:space="preserve">Tarification du Crédit </t>
  </si>
  <si>
    <t>Taux d'Intérêt Annuel (%)</t>
  </si>
  <si>
    <t>Montant Initial de Prêt, ou "fixe"</t>
  </si>
  <si>
    <t>Initial</t>
  </si>
  <si>
    <t>Continu</t>
  </si>
  <si>
    <t>Augmentation</t>
  </si>
  <si>
    <t>Frais (%)</t>
  </si>
  <si>
    <t>Frais (montant fixe)</t>
  </si>
  <si>
    <t>Intérêt versé sur l'Épargne</t>
  </si>
  <si>
    <t>Le tableau suivant vous-montre le calendrier de remboursement et  le flux de trésorerie sur l'emprunt en fonction des conditions indiquées sur la feuille d'accompagnement avec le Graphique du Taux d'Intérêt.</t>
  </si>
  <si>
    <t>Coût de l'Emprunt et Flux de Trésorerie</t>
  </si>
  <si>
    <t>Capital Remboursé</t>
  </si>
  <si>
    <t>Flux de Trésorerie, Intérêt compris</t>
  </si>
  <si>
    <t>Frais Payés</t>
  </si>
  <si>
    <t>Flux de Trésorerie, Frais compris</t>
  </si>
  <si>
    <t xml:space="preserve">Flux de Trésorerie, TVA comprise </t>
  </si>
  <si>
    <t>Retrait d'Épargne</t>
  </si>
  <si>
    <t>Flux de Trésorerie,  Épargne comprise</t>
  </si>
  <si>
    <t>Flux d'entrée (K+Int)</t>
  </si>
  <si>
    <t>Flux de sortie (K+Int)</t>
  </si>
  <si>
    <t xml:space="preserve">Charge Financière Totale pour le Client
</t>
  </si>
  <si>
    <t>Solde Moyen net du Crédit:</t>
  </si>
  <si>
    <t>Seuil de Rentabilité du Client:</t>
  </si>
  <si>
    <t>Solde négatif net total:</t>
  </si>
  <si>
    <t>du montant initial de l'emprunt</t>
  </si>
  <si>
    <t>Années jusqu'à ce que le coût de l'emprunt soit égal au solde moyen du crédit</t>
  </si>
  <si>
    <t>Remarque: Assurez-vous que le taux d'intérêt ANNUALISÉ est exact pour les 52 semaines.</t>
  </si>
  <si>
    <t>Solde du Prêt et Tarification</t>
  </si>
  <si>
    <t>Solde net de Crédit</t>
  </si>
  <si>
    <t>Le Taux d'Intérêt est trop élevé pour être calculé</t>
  </si>
  <si>
    <t xml:space="preserve">Mode de remplissage MANUEL du Calendrier de Remboursement </t>
  </si>
  <si>
    <t>Ceci est un outil simple pour vous aider à comprendre les facteurs qui influent les formules du Taux Effectif Global (TEG) et du Taux d'Intérêt Annuel (TIA) qui s'utilisent dans le secteur financier pour calculer les coûts relatifs de divers produits de crédit.</t>
  </si>
  <si>
    <t xml:space="preserve">Nous continuerons à améliorer l'outil dans un avenir proche, donc veuillez-nous  contacter pour recevoir de nouvelles versions. De plus, nous restons ouverts à toutes vos suggestions qui permettront de rendre cet outil le plus efficace possible. </t>
  </si>
  <si>
    <t>L'outil a quatre fonctions principales:</t>
  </si>
  <si>
    <t>Calculatrice du TIA (Taux d'Intérêt Annuel): La feuille Graphique  et la feuille Calendrier de Remboursement vont de pair  pour vous aider à entrer les termes essentiels de l'emprunt et calculer le TIA pour ce produit de crédit, tout en affichant d'autres calculs de coût intéressants.</t>
  </si>
  <si>
    <t>TIA / TEG calculatrice, avancée: Cette section développe la page "simplifiée" , offrant plus d'options pour les variables de prix et le calcul  du TIA et du TEG d'un prêt dans le même temps. Elle inclus également le flux IRR visuel pour les prêts de 12 remboursements ou moins.</t>
  </si>
  <si>
    <t>Données sur la Structure de Coût: Le tableau de Données sur la Structure de Coût vous permet d'entrer une gamme de montants de prêts puis d'évaluer les coûts de l'octroi et de l'entretien de crédit pour chacun de ces emprunts. Ces données sont affichées sur la feuille Graphiques et utilisées sur la feuille du Seuil de Rentabilité. Il y a également un "Calculeur Rapide" qui permet de démontrer les principes de bases.</t>
  </si>
  <si>
    <t>Calculer des Tarifs Transparents</t>
  </si>
  <si>
    <t>Mode Manuel</t>
  </si>
  <si>
    <t>Analyse de la Structure de Coût lié au Montant et à la Durée du Produit de Crédit</t>
  </si>
  <si>
    <t xml:space="preserve">Montant Initial de l'Emprunt </t>
  </si>
  <si>
    <t>Empruntstraités par an</t>
  </si>
  <si>
    <t>Prêts passés en perte</t>
  </si>
  <si>
    <t xml:space="preserve">Dotation Annuelle aux Provisions pour Créances Douteuses </t>
  </si>
  <si>
    <t>Données incluses seulement sur le Graphique Etendu</t>
  </si>
  <si>
    <t>Calcul du Seuil de Rentabilité</t>
  </si>
  <si>
    <t>Taux d'Intérêt du Seuil de Rentabilité</t>
  </si>
  <si>
    <t>Coût Total Annuel de l'Emprunt</t>
  </si>
  <si>
    <t>Chaque 2 Semaines (14 jours)</t>
  </si>
  <si>
    <t>Nominal Annuel &amp; Méhode</t>
  </si>
  <si>
    <t>Calendrier de remboursement pour prêt standard hebdomadaire au Bangladesh</t>
  </si>
  <si>
    <t>Date de Paiement</t>
  </si>
  <si>
    <t>Calcul du Taux d’Intérêt Annuel (TIA) en fonction des conditions de prêt et de prix -- APPROCHE SIMPLIFIEE</t>
  </si>
  <si>
    <t>Méthode de calcul des intérêts</t>
  </si>
  <si>
    <t>Annualisé</t>
  </si>
  <si>
    <t>Durée avec solde net négatif</t>
  </si>
  <si>
    <t>Remarque: Cette APPROCHE SIMPLIFIEE permet seulement quelques entrées basics et effectue des hypothèses à partir d'autres facteurs. Cette feuille doit uniquement être utilisée pour l'expérimentation et l'apprentissage, et non pour le calcul réel.</t>
  </si>
  <si>
    <t>des tarifs du produit de crédit réel. Pour étudier un produit de crédit réel, utilisez la feuille AVANCEE du fichier.</t>
  </si>
  <si>
    <t>Converti depuis la fonction XIRR avec la période (n) supposée</t>
  </si>
  <si>
    <t>Utilise la fonction XIRR disponible avec Excel 2007/10</t>
  </si>
  <si>
    <t xml:space="preserve">Si Excel 2007 ou 2010,  la fonction XIRR est utilisée pour le TEG </t>
  </si>
  <si>
    <t>In Fine</t>
  </si>
  <si>
    <t>Index de Transparence</t>
  </si>
  <si>
    <t>Période TIA</t>
  </si>
  <si>
    <t>Total cumulé payé</t>
  </si>
  <si>
    <t>Assurance (%)</t>
  </si>
  <si>
    <t>Assurance (montant fixe)</t>
  </si>
  <si>
    <t>Assurance payée</t>
  </si>
  <si>
    <t>Flux de trésorerie, assurance incluse</t>
  </si>
  <si>
    <t>Capital du prêt</t>
  </si>
  <si>
    <t>Intérêt</t>
  </si>
  <si>
    <t>Frais</t>
  </si>
  <si>
    <t>Assurance</t>
  </si>
  <si>
    <t>Affiche les valeurs du TEG</t>
  </si>
  <si>
    <t>Modèle de Calendrier de Remboursement: Example des informations qu'une IMF devrait incluer sur les calendriers de remboursement remis aux clients</t>
  </si>
  <si>
    <t>Utilise la fonction IRR  avec des périodes égales</t>
  </si>
  <si>
    <t>Simple multiplication afin d'annualiser sans capitalisation</t>
  </si>
  <si>
    <t>Annualise en capitalisant la période de taux d'intérêt par # des périodes</t>
  </si>
  <si>
    <t>Converti en taux journalier</t>
  </si>
  <si>
    <t>I' pour un seul jour</t>
  </si>
  <si>
    <t>annualisé sans capitalisation</t>
  </si>
  <si>
    <t>Nombre utilisé pour le TEG</t>
  </si>
  <si>
    <t>Cálculo de tarificación transparente</t>
  </si>
  <si>
    <t>Condiciones básicas del préstamo</t>
  </si>
  <si>
    <t>Pagos iguales de Capital</t>
  </si>
  <si>
    <t>Pago único de capital al final del plazo</t>
  </si>
  <si>
    <t>Pago único al final del plazo</t>
  </si>
  <si>
    <t>Días</t>
  </si>
  <si>
    <t>Semanas</t>
  </si>
  <si>
    <t xml:space="preserve">Quincena </t>
  </si>
  <si>
    <t>Meses</t>
  </si>
  <si>
    <t>Semestres</t>
  </si>
  <si>
    <t>Años</t>
  </si>
  <si>
    <t>Período de Gracia o prepago</t>
  </si>
  <si>
    <t>Cada Cuatro Semanas</t>
  </si>
  <si>
    <t>Fijación del Precio del Préstamo</t>
  </si>
  <si>
    <t>Monto Inicial o Fijo</t>
  </si>
  <si>
    <t>Amortización Decreciente</t>
  </si>
  <si>
    <t>Continuo</t>
  </si>
  <si>
    <t>Comisión (monto fijo)</t>
  </si>
  <si>
    <t>Ahorros Obligatorios (%)</t>
  </si>
  <si>
    <t>Intereses Sobre Ahorros (%)</t>
  </si>
  <si>
    <t>Plan de Pagos</t>
  </si>
  <si>
    <t>La siguiente tabla muestra el plan de pagos y el flujo de efectivo para el préstamo, según las condiciones indicadas en la hoja que la acompaña con el gráfico de Tasas de Interés.</t>
  </si>
  <si>
    <t>Flujo de Efectivo Manual</t>
  </si>
  <si>
    <t>Desembolso de Capital</t>
  </si>
  <si>
    <t>Capital Pagado</t>
  </si>
  <si>
    <t>Flujo de Efectivo, incl. comisiones</t>
  </si>
  <si>
    <t>IVA Pagado</t>
  </si>
  <si>
    <t>Flujo de Efectivo, incl. IVA</t>
  </si>
  <si>
    <t xml:space="preserve">Ahorro </t>
  </si>
  <si>
    <t>Flujo de Efectivo, incluyendo Ahorros</t>
  </si>
  <si>
    <t>Flujo entrante (Capital más intereses)</t>
  </si>
  <si>
    <t>Flujo saliente (Capital más intereses)</t>
  </si>
  <si>
    <t>Costo Financiero para el Cliente</t>
  </si>
  <si>
    <t>Costo total (sin Intereses Sobre Ahorros)</t>
  </si>
  <si>
    <t>Saldo Prom. Neto</t>
  </si>
  <si>
    <t>Umbral de Rentabilidad para el Cliente</t>
  </si>
  <si>
    <t>Saldo Negativo Neto para:</t>
  </si>
  <si>
    <t>del Monto Original del Préstamo</t>
  </si>
  <si>
    <t xml:space="preserve">Años hasta que el costo del préstamo equivalga al saldo promedio </t>
  </si>
  <si>
    <t>% de plazo del préstamo</t>
  </si>
  <si>
    <t>Nota: Asegurese de que la tasa ANUAL sea la correcta para las 52 semanas</t>
  </si>
  <si>
    <t>Relación entre la fijación de precios y el saldo</t>
  </si>
  <si>
    <t>Saldo Neto del Préstamo</t>
  </si>
  <si>
    <t>Saldo de la Tasa de Interés</t>
  </si>
  <si>
    <t>La tasa de interés es demasiado elevada para realizar el cálculo</t>
  </si>
  <si>
    <t>Realizar entradas MANUALES en el plan de pagos</t>
  </si>
  <si>
    <t xml:space="preserve">Esta es una herramienta básica cuyo objetivo es ayudarles a comprender los factores a tener en cuenta en las fórmulas financieras de cálculo de la Tasa de Interés Real (TAR) y la Tasa Anual Efectiva (TAE) con el propósito de comparar los costos de varios préstamos. </t>
  </si>
  <si>
    <t>Seguiremos mejorando esta herramienta en el futuro, por lo que rogamos sigan en contacto para recibir versiones actualizadas. Cualquier sugerencia sobre como mejora la herramienta es bienvenida.</t>
  </si>
  <si>
    <t>La herramienta tiene cuatro funciones principales</t>
  </si>
  <si>
    <t>Calculadora de la TAE (Tasa Anual Efectiva): El gráfico de la Tasa de Interés y del Plan de Pago sirven conjuntamente para que pueda introducir las condiciones básicas del préstamo. Calculan la TAE para este préstamo además de proporcionar otros cálculos relacionados con los costos de interés.</t>
  </si>
  <si>
    <t>La calculadora del APR/TAE "Avanzada": Esta sección va más allá de la hoja "básica", incluyendo un mayor número de opciones para las variables del precio y el cálculo tanto del APR como de la TAE del préstamo. También permite la visualización de la Tasa Interna de Retorno (TIR) para préstamos iguales o menores a 12 pagos.</t>
  </si>
  <si>
    <t>Datos sobre la Estructura de Costos: La hoja de Datos sobre la Estructura de Costos permite introducir datos para un rango de montos de préstamos y estimar los costos de desembolso y seguimiento. Esta información se visualiza en la hoja Gráficos y también en la hoja "Umbral de Rentabilidad". También ofrece una calculadora rápida a modo de demonstración de los principios básicos.</t>
  </si>
  <si>
    <t>Desarrollado por Chuck Waterfield (MicroFinance Transparency)</t>
  </si>
  <si>
    <t xml:space="preserve">Fomentando la transparencia en la fijación de precios en el sector de las microfinanzas. </t>
  </si>
  <si>
    <t>Si tiene algún comentario o pregunta, le invitamos a ponerse en contacto con nosotros:</t>
  </si>
  <si>
    <t>Calculando precios transparentes</t>
  </si>
  <si>
    <t>Utilice el modo manual mara modificar fechas y montos exactos.</t>
  </si>
  <si>
    <t>Análisis de Estructura de Costos con relación al Monto y a la Duración del Préstamo</t>
  </si>
  <si>
    <t>Monto Original del Préstamo</t>
  </si>
  <si>
    <t>Saldo Promedios del Préstamo</t>
  </si>
  <si>
    <t xml:space="preserve">Plazo del Préstamo </t>
  </si>
  <si>
    <t>Préstamos Tramitados al Año</t>
  </si>
  <si>
    <t>Préstamos incobrables</t>
  </si>
  <si>
    <t>% Anual de Préstamos incobrables</t>
  </si>
  <si>
    <t xml:space="preserve">Provisión anual para préstamos incobrables </t>
  </si>
  <si>
    <t>Costo de Fondos (%)</t>
  </si>
  <si>
    <t>Costo Financiero Anual</t>
  </si>
  <si>
    <t>Cálculo de Costos Operativos</t>
  </si>
  <si>
    <t>Costo de Apertura de Préstamo</t>
  </si>
  <si>
    <t>Costo Anual de Apertura de Préstamo</t>
  </si>
  <si>
    <t xml:space="preserve">Costo Mensual de Seguimiento </t>
  </si>
  <si>
    <t>Costo Anual de Seguimiento</t>
  </si>
  <si>
    <t>Costo Operativo Anual</t>
  </si>
  <si>
    <t>Saldo Restante Promedio</t>
  </si>
  <si>
    <t>Ratio de Costo Operativo Anual</t>
  </si>
  <si>
    <t>Estructura de Costos (%)</t>
  </si>
  <si>
    <t>Datos ilustrados en Gráficos Detallados</t>
  </si>
  <si>
    <t>Datos incluidos solo en Gráfico Extendido</t>
  </si>
  <si>
    <t>Datos presentados en Gráficos Detallados</t>
  </si>
  <si>
    <t>Datos solo en Gráfico Extendido</t>
  </si>
  <si>
    <t>Monto del Préstamo</t>
  </si>
  <si>
    <t>Ingresos con Tasa de Interés Fija</t>
  </si>
  <si>
    <t>Método de Amortización</t>
  </si>
  <si>
    <t>Cada Periodo de Cuatro Semanas</t>
  </si>
  <si>
    <t>Por Mes</t>
  </si>
  <si>
    <t>Por Trimestre</t>
  </si>
  <si>
    <t>Por Semestre</t>
  </si>
  <si>
    <t>Cancelar</t>
  </si>
  <si>
    <t>Plan de Pago Estándar de Préstamo Semanal en Bangladesh</t>
  </si>
  <si>
    <t>Cada 15 días exactos</t>
  </si>
  <si>
    <t>Estructura de Costos (Tasa de Dólar actual)</t>
  </si>
  <si>
    <t>Provisión por Cartera en Riesgo</t>
  </si>
  <si>
    <t>Costo Operativo</t>
  </si>
  <si>
    <t>APR (Exacto)</t>
  </si>
  <si>
    <t>TAE (Exacta)</t>
  </si>
  <si>
    <t>Impuestos</t>
  </si>
  <si>
    <t>Periodos de 15 días.</t>
  </si>
  <si>
    <t>por 15 días</t>
  </si>
  <si>
    <t>Fecha de Pago</t>
  </si>
  <si>
    <t>Fecha de Desembolso</t>
  </si>
  <si>
    <t>que es</t>
  </si>
  <si>
    <t>Versión Excel</t>
  </si>
  <si>
    <t>O Fecha</t>
  </si>
  <si>
    <t>Cálculo del APR basado en Condiciones del préstamo y fijación de préstamo: Enfoque Simple</t>
  </si>
  <si>
    <t>Condiciones Básicas del Préstamo</t>
  </si>
  <si>
    <t>Comisión al Desembolso (%)</t>
  </si>
  <si>
    <t>Impuesto de Valor Añadido (%)</t>
  </si>
  <si>
    <t>Anualizado</t>
  </si>
  <si>
    <t>Este es el monto que el cliente ha de invertir en su negocio</t>
  </si>
  <si>
    <t>El mes en el cual el costo total del préstamo equivale al saldo promedio del préstamo</t>
  </si>
  <si>
    <t>Plazo con Saldo Neto Negativo</t>
  </si>
  <si>
    <t>Nota: Este ENFOQUE SIMPLE permite introducir solo un número reducido de información básica y realiza suposiciones respecto a otros factores. Esta hoja es de utilidad educativa pero no para realizar cálculos reales.</t>
  </si>
  <si>
    <t>de precios de préstamos reales. Para analizar un préstamo real, utilice la hoja AVANZADA de esta herramienta.</t>
  </si>
  <si>
    <t>Esto convierte de la Funcion XIRR con el periodo supuesto (n).</t>
  </si>
  <si>
    <t>Esto utiliza la función XIRR disponible en Excel 2007 o 2010</t>
  </si>
  <si>
    <t>Si en Excel 2007 o 2010, la función XIRR se usa para la TAE.</t>
  </si>
  <si>
    <t>Globo</t>
  </si>
  <si>
    <t>Indice de Transparencie</t>
  </si>
  <si>
    <t>Periodo APR</t>
  </si>
  <si>
    <t>Total Pagado Cumulativo</t>
  </si>
  <si>
    <t>Seguro (%)</t>
  </si>
  <si>
    <t>Seguro (Monto Fijo)</t>
  </si>
  <si>
    <t>Seguro Pagado</t>
  </si>
  <si>
    <t>Flujo Incluyendo Seguro</t>
  </si>
  <si>
    <t>Interés</t>
  </si>
  <si>
    <t>Comisiones</t>
  </si>
  <si>
    <t>Seguro</t>
  </si>
  <si>
    <t>Mostrar Valores de TAE</t>
  </si>
  <si>
    <t>Modelo de Plan de Pago: Este es un ejemplo de la información que una entidad microfinanciera debería mostrar en el Plan de Pago proporcionado a sus clientes.</t>
  </si>
  <si>
    <t>Aquí se usa el TIR con periodos de la misma duración.</t>
  </si>
  <si>
    <t>Multipicación simple para anualizar sin interés compuesto.</t>
  </si>
  <si>
    <t>Anualización con capitalización compuesta por número de periodos</t>
  </si>
  <si>
    <t>Convertir a tasa diara</t>
  </si>
  <si>
    <t>"I" para día individual</t>
  </si>
  <si>
    <t>anualización con capitalización simple o compuesta</t>
  </si>
  <si>
    <t>Cifra utilizada para la TIR</t>
  </si>
  <si>
    <t>Utiliza la función XIRR disponible en Excel 2007/2010</t>
  </si>
  <si>
    <t>Current APR</t>
  </si>
  <si>
    <t>Additional Currency Info to add to bottom of dropdown</t>
  </si>
  <si>
    <t>&lt;--Optional: Enter a discount rate here to see if Inflows=Outflows</t>
  </si>
  <si>
    <t>Current EIR</t>
  </si>
  <si>
    <t>Improvements to layout of the IRR FLOW sheet</t>
  </si>
  <si>
    <t>Improvements to MODEL REPAYMENT SCHEDULE, including user-inputs for many cells</t>
  </si>
  <si>
    <t>Correct format of TAX column on manual inputs of Advanced Repay Schedule</t>
  </si>
  <si>
    <t>Change Excel version to numeric format so it would work in French language Excel</t>
  </si>
  <si>
    <t>EIR Calculations</t>
  </si>
  <si>
    <t>Add Monthly Equivalent Interest Rate</t>
  </si>
  <si>
    <t>APR (nom)</t>
  </si>
  <si>
    <t>EIR (comp)</t>
  </si>
  <si>
    <t>TAE (comp)</t>
  </si>
  <si>
    <t>TIA (nom)</t>
  </si>
  <si>
    <t>TEG (comp)</t>
  </si>
  <si>
    <t>MPR (nom)</t>
  </si>
  <si>
    <t>Per/Mon (m)</t>
  </si>
  <si>
    <r>
      <rPr>
        <i/>
        <sz val="11"/>
        <color indexed="8"/>
        <rFont val="Calibri"/>
        <family val="2"/>
      </rPr>
      <t>i</t>
    </r>
    <r>
      <rPr>
        <sz val="11"/>
        <color indexed="8"/>
        <rFont val="Calibri"/>
        <family val="2"/>
      </rPr>
      <t xml:space="preserve"> * m</t>
    </r>
  </si>
  <si>
    <t>APR (nominal)</t>
  </si>
  <si>
    <t>MPR</t>
  </si>
  <si>
    <t>EAIR</t>
  </si>
  <si>
    <t>"m" (periods/month)</t>
  </si>
  <si>
    <t>MPR  i * m =</t>
  </si>
  <si>
    <t>days</t>
  </si>
  <si>
    <t>TERM-&gt;</t>
  </si>
  <si>
    <t>months</t>
  </si>
  <si>
    <t>MPR?</t>
  </si>
  <si>
    <t>APR?</t>
  </si>
  <si>
    <t>MPR threshold</t>
  </si>
  <si>
    <t>This is number of periods identified on Pricing-ADV sheet</t>
  </si>
  <si>
    <t>Esto es el número de periodos identíficados en la hoja Pricing-ADV</t>
  </si>
  <si>
    <t>Nombre de périodes identifié sur la feuille Pricing-ADV</t>
  </si>
  <si>
    <t>This figure is precise, but confusing</t>
  </si>
  <si>
    <t>MPR (exact)</t>
  </si>
  <si>
    <t>Esto convierte de XIRR a los periodos supuestos (n)</t>
  </si>
  <si>
    <t>This converts from XIRR with assumed periods (m)</t>
  </si>
  <si>
    <t>Esto convierte de XIRR a los periodos supuestos (m)</t>
  </si>
  <si>
    <t>Converti depuis la fonction XIRR avec la période (m) supposée</t>
  </si>
  <si>
    <t>Figure used for MPR</t>
  </si>
  <si>
    <t>Porfolio Yield Charged</t>
  </si>
  <si>
    <t>Profit/(Loss)</t>
  </si>
  <si>
    <t>Total Annual Income from loan</t>
  </si>
  <si>
    <t>Translated "breakeven point" calculation page</t>
  </si>
  <si>
    <t>TZS</t>
  </si>
  <si>
    <t xml:space="preserve">T\Z\S\ </t>
  </si>
  <si>
    <t>INSTRUCTIONS:</t>
  </si>
  <si>
    <t>Adding a single symbol is simple</t>
  </si>
  <si>
    <t>Adding multiple symbols, like EUR, must be done as follows E\U\R</t>
  </si>
  <si>
    <t>To have a space between the symbol and the amount, use the \ sign followed by a space</t>
  </si>
  <si>
    <t>Amount</t>
  </si>
  <si>
    <t>Term</t>
  </si>
  <si>
    <t>Int. on Savings</t>
  </si>
  <si>
    <t>Corrected pop-up help on on-going insurance input cell</t>
  </si>
  <si>
    <t>ExcelVersion</t>
  </si>
  <si>
    <t>OpSystem</t>
  </si>
  <si>
    <t>Mac</t>
  </si>
  <si>
    <t>Can use XIRR?</t>
  </si>
  <si>
    <t>Improved Mac compatiblity, including version number testing and window sizing</t>
  </si>
  <si>
    <t>Net Flow</t>
  </si>
  <si>
    <t>Refinements to IRR Flow sheet</t>
  </si>
  <si>
    <t>=IF(ExcelVersion&gt;=12,TRUE,FALSE)</t>
  </si>
  <si>
    <t>In Manual Mode with irregular periods?</t>
  </si>
  <si>
    <t>Cannot use IRR because irregular periods</t>
  </si>
  <si>
    <t>Disable IRR if irregular payments, forcing use of XIRR</t>
  </si>
  <si>
    <t>Added numeric data validation on input cells on ADVANCED sheet to avoid problems with COMMAS for decimal points</t>
  </si>
  <si>
    <t>Correct input validation on upfront insurance percent input cell, advanced sheet</t>
  </si>
  <si>
    <t>Added Portuguese Translation</t>
  </si>
  <si>
    <t>Portuguese</t>
  </si>
  <si>
    <t>Cálculo de Preços Transparentes</t>
  </si>
  <si>
    <t>Condicções básicas do empréstimo</t>
  </si>
  <si>
    <t>Valor empréstado</t>
  </si>
  <si>
    <t xml:space="preserve">Amortização </t>
  </si>
  <si>
    <t>Pagamentos iguais do Capital</t>
  </si>
  <si>
    <t>Pagamentos iguais (amortizados)</t>
  </si>
  <si>
    <t>Juros</t>
  </si>
  <si>
    <t>Prestações</t>
  </si>
  <si>
    <t>Pagamento único no fim do período</t>
  </si>
  <si>
    <t>Prazos e frequências de pagamentos</t>
  </si>
  <si>
    <t>Quinzena</t>
  </si>
  <si>
    <t>Período de 4 semanas</t>
  </si>
  <si>
    <t>Anos</t>
  </si>
  <si>
    <t>Días/per(t)</t>
  </si>
  <si>
    <t>Diária</t>
  </si>
  <si>
    <t>Quinzenal</t>
  </si>
  <si>
    <t>Cada quatro Semanas</t>
  </si>
  <si>
    <t>Mensal</t>
  </si>
  <si>
    <t>Anualmente</t>
  </si>
  <si>
    <t>Per/Ano(n)</t>
  </si>
  <si>
    <t>TPA(nom)</t>
  </si>
  <si>
    <t>TAEG(Com)</t>
  </si>
  <si>
    <t>Fixação do preço do empréstimo</t>
  </si>
  <si>
    <t>Taxa de Juros Nominal (%)</t>
  </si>
  <si>
    <t>Taxa de Juros anual (%)</t>
  </si>
  <si>
    <t>Valor inicial ou fixo</t>
  </si>
  <si>
    <t>Amortização Decrescente</t>
  </si>
  <si>
    <t>Contínuo</t>
  </si>
  <si>
    <t>Taxa (%)</t>
  </si>
  <si>
    <t>Taxa (Valor fixo)</t>
  </si>
  <si>
    <t>Imposto sobre o valor acrescentado (%)</t>
  </si>
  <si>
    <t>Poupanças obrigatórias(%)</t>
  </si>
  <si>
    <t>Poupanças obrigatórias(fixas)</t>
  </si>
  <si>
    <t>Juros sobre as poupanças</t>
  </si>
  <si>
    <t>Plano de reembolso</t>
  </si>
  <si>
    <t>A tabela a seguir mostra o plano de pagamentos e o fluxo de caixa para o empréstimo, de acordo com as condicções indicadas na folha que acompanha o gráfico de Taxas de Juros</t>
  </si>
  <si>
    <t>Custo do empréstimo e fluxo de caixa</t>
  </si>
  <si>
    <t>Poupaças obrigatórias</t>
  </si>
  <si>
    <t>Fluxo de caixa manual</t>
  </si>
  <si>
    <t>Data</t>
  </si>
  <si>
    <t>Desembolso do capital</t>
  </si>
  <si>
    <t>Capital reembolsado</t>
  </si>
  <si>
    <t>Juros pagos</t>
  </si>
  <si>
    <t>Fluxo de caixa, incluso juros</t>
  </si>
  <si>
    <t>Taxas pagas</t>
  </si>
  <si>
    <t>Fluxo de caixa, incluso taxas</t>
  </si>
  <si>
    <t>IVA Pago</t>
  </si>
  <si>
    <t>Fluxo de caixa incluso IVA</t>
  </si>
  <si>
    <t>Depósito de Garantia</t>
  </si>
  <si>
    <t>Fluxo de efectivo, incluindo poupanças</t>
  </si>
  <si>
    <t>Entradas (Capital + Juros)</t>
  </si>
  <si>
    <t>Saídas (Capital + Juros)</t>
  </si>
  <si>
    <t>Fluxo de Caixa</t>
  </si>
  <si>
    <t>"i"(taxa de juros do período)</t>
  </si>
  <si>
    <t>"n"(período/ano)</t>
  </si>
  <si>
    <t>em</t>
  </si>
  <si>
    <t>em 1 ano</t>
  </si>
  <si>
    <t>Custo financeiro total para o cliente</t>
  </si>
  <si>
    <t>Saldo médio líquido</t>
  </si>
  <si>
    <t>Saldo negativo para:</t>
  </si>
  <si>
    <t>do valor original do empréstimo</t>
  </si>
  <si>
    <t>Anos até que o custo total do empréstimo equivala ao saldo médio</t>
  </si>
  <si>
    <t>que é</t>
  </si>
  <si>
    <t>% do prazo do empréstimo</t>
  </si>
  <si>
    <t>Nota:assegure-se que a taxa de juros ANUAL é correcta por 52 semanas</t>
  </si>
  <si>
    <t>saldo do empréstimo e fixação do preço</t>
  </si>
  <si>
    <t>Saldo líquido do empréstimo</t>
  </si>
  <si>
    <t>saldo da Taxa de Juros</t>
  </si>
  <si>
    <t>Poupanças obrigatórias</t>
  </si>
  <si>
    <t>Taxa de Juros muito elevada para calcular, mude o número SEED</t>
  </si>
  <si>
    <t>Use entradas MANUAIS no plano de reembolso</t>
  </si>
  <si>
    <t>Totais</t>
  </si>
  <si>
    <t>Resumo desta ferramenta</t>
  </si>
  <si>
    <t>Esta é uma ferramenta básica que tem o objectivo de ajudar-lhe a compreender os factores que influenciam as fórmulas da Taxa  Anual Efectiva Global (TAEG) e da Taxa Porcentual Anual (TPA) usadas no mundo financeiro para comparar custos de productos de empréstimos diferentes.</t>
  </si>
  <si>
    <t>Continuaremos a melhorar esta ferramenta no futuro,queira por favor contactar-nos para actualizações. Estamos também abertos ás vossas sugestões sobre como melhorá-la.</t>
  </si>
  <si>
    <t>A ferramenta tem quatro funções principais</t>
  </si>
  <si>
    <t>Dados da Estructura de Custos: A folha de Dados da Estructura de Custos permiti-lhe introduzir intervalos de valores de empréstimos e de aí estimar os custos de desembolso e monitoria de cada um dos empréstimos.Estes dados são visualizados nas folhas dos gráficos e também na folha do ponto do equilíbrio.Fornece também a "Calculadora Rápida"que permite a demonstração dos princípios básicos.</t>
  </si>
  <si>
    <t>Desenvolvido por Chuck Waterfiel (Microfinance Transparency)</t>
  </si>
  <si>
    <t>Verão</t>
  </si>
  <si>
    <t>Data:</t>
  </si>
  <si>
    <t>Promovendo a fixação de preços transparentes no sector das microfinanças</t>
  </si>
  <si>
    <t>Queira por favor enviar-nos um email para comentários ou perguntas</t>
  </si>
  <si>
    <t>Calculando preços transparentes</t>
  </si>
  <si>
    <t>Use o modo manual para modificar datas e valores exactos</t>
  </si>
  <si>
    <t>Análise da Estructura de Custos em relação ao valor do empréstimo e prazo</t>
  </si>
  <si>
    <t>Valor original do empréstimo</t>
  </si>
  <si>
    <t>Saldo médio do empréstimo</t>
  </si>
  <si>
    <t>Prazo do empréstimo</t>
  </si>
  <si>
    <t>Empréstimos Processado/Ano</t>
  </si>
  <si>
    <t>Empréstimos Abatidos</t>
  </si>
  <si>
    <t xml:space="preserve">%  Anual de Empréstimos abatidos </t>
  </si>
  <si>
    <t>Provisão anual p/ empréstimos incobráveis</t>
  </si>
  <si>
    <t xml:space="preserve">Custo Financeiro </t>
  </si>
  <si>
    <t>Custo de Fundos(%)</t>
  </si>
  <si>
    <t>Custo Financeiro Anual</t>
  </si>
  <si>
    <t>Cálculo de Custos Operativos</t>
  </si>
  <si>
    <t>Custo de abertura do empréstimo</t>
  </si>
  <si>
    <t>Custo anual de abertura do empréstimo</t>
  </si>
  <si>
    <t>Custo mensal de monitoria do empréstimo</t>
  </si>
  <si>
    <t>Custo anual de monitoria do empréstimo</t>
  </si>
  <si>
    <t>Custo Operativo Anual</t>
  </si>
  <si>
    <t>Saldo médio Vigente</t>
  </si>
  <si>
    <t>Rácio anual de Custo Operativo</t>
  </si>
  <si>
    <t>Estructura de Custo (%)</t>
  </si>
  <si>
    <t>Dados mostrados no Gráfico Detalhado</t>
  </si>
  <si>
    <t>Dados inclusos somente nos Gráficos Ampliados</t>
  </si>
  <si>
    <t>Cálculo do Ponto de Equilíbrio</t>
  </si>
  <si>
    <t>Rendimento de Carteira Cobrado</t>
  </si>
  <si>
    <t>Dados Inclusos somente nos Gráficos Ampliados</t>
  </si>
  <si>
    <t xml:space="preserve">Valor do empréstimo </t>
  </si>
  <si>
    <t>Ponto de equilíbrio da Taxa de Juros</t>
  </si>
  <si>
    <t>Custo Total Anual do Crédito</t>
  </si>
  <si>
    <t>Receitas com a Taxa de Juros Fixa</t>
  </si>
  <si>
    <t>Método da Amortisação</t>
  </si>
  <si>
    <t>Diário</t>
  </si>
  <si>
    <t>Cada 2 semanas (14 días)</t>
  </si>
  <si>
    <t>Cada Quatro Semanas</t>
  </si>
  <si>
    <t>Nominal Anual e Método</t>
  </si>
  <si>
    <t>Efectiva Anual</t>
  </si>
  <si>
    <t>Plano de reembolso Padrão do empréstimo semanal em Bangladesh</t>
  </si>
  <si>
    <t>Cada 15 días (exactamente)</t>
  </si>
  <si>
    <t>Estructura de Custo (Dollar actual)</t>
  </si>
  <si>
    <t>Provisão  p/ empréstimos incobráveis</t>
  </si>
  <si>
    <t>Custo Financeiro</t>
  </si>
  <si>
    <t xml:space="preserve">Custo Operativo </t>
  </si>
  <si>
    <t>TPA(exacta)</t>
  </si>
  <si>
    <t>TAEG(Exacta)</t>
  </si>
  <si>
    <t>Impostos</t>
  </si>
  <si>
    <t>Períodos de 15 días</t>
  </si>
  <si>
    <t>Por 15 Días</t>
  </si>
  <si>
    <t>Data de Pagamento</t>
  </si>
  <si>
    <t>Data de Desembolso</t>
  </si>
  <si>
    <t>Versão Excel</t>
  </si>
  <si>
    <t>Ou Data</t>
  </si>
  <si>
    <t>Cálculo da TPA com base nas condicções do Crédito e no Cálculo do Preço-Abordagem Simples</t>
  </si>
  <si>
    <t>Taxa de Desembolso(%)</t>
  </si>
  <si>
    <t>Este é o valor que o cliente tem de investir no seu negócio</t>
  </si>
  <si>
    <t>O mês no qual o total do custo do empréstimo se iguala ao saldo médio do empréstimo</t>
  </si>
  <si>
    <t>Prazo com saldo líquido negativo</t>
  </si>
  <si>
    <t>Nota:Este enfoque simples permite introduzir somente um número reduzido de informação e assume outros factores.Esta folha deve ser usada apenas para fins educativos e de aprendizagem, não para cálculos reais</t>
  </si>
  <si>
    <t>Os preços reais dos productos de empréstimo.Para analisar um empréstimo real, ulitize a folha avançada desta ferramenta</t>
  </si>
  <si>
    <t>Isto converte da função XIRR abaixo com o período presumido (n).</t>
  </si>
  <si>
    <t>Isto usa a função XIRR disponível no Excel 2007 ou 2010</t>
  </si>
  <si>
    <t>Se for Excel 2007 ou 2010, o valor XIRR usa-se para a TPA</t>
  </si>
  <si>
    <t>Balão</t>
  </si>
  <si>
    <t>Índice de Transparência</t>
  </si>
  <si>
    <t>Período TPA</t>
  </si>
  <si>
    <t>Total Pago acumulado</t>
  </si>
  <si>
    <t>Seguro(%)</t>
  </si>
  <si>
    <t>Seguro(valor fixo)</t>
  </si>
  <si>
    <t>Seguro Pago</t>
  </si>
  <si>
    <t>Fluxo de Caixa incluso seguro</t>
  </si>
  <si>
    <t xml:space="preserve">Taxas </t>
  </si>
  <si>
    <t>Mostrar valores de TPA</t>
  </si>
  <si>
    <t>Modelo do Plano de Reembolso: Este é um exemplo de iinformação que uma IMF deve incluir nos planos de reembolsos dados aos clientes</t>
  </si>
  <si>
    <t>Isto usa TIR com períodos iguais</t>
  </si>
  <si>
    <t>Este é o número de períodos identificados na folha Pricing-ADV</t>
  </si>
  <si>
    <t>Multiplicação simples para anualizar sem juros compostos</t>
  </si>
  <si>
    <t>Anualização com capitalização composta por # de períodos</t>
  </si>
  <si>
    <t>Converter a juros diários</t>
  </si>
  <si>
    <t>"I" para um día individual</t>
  </si>
  <si>
    <t>Anualização com capitalização composta ou simples</t>
  </si>
  <si>
    <t>TPA (Ano de 365 dias)</t>
  </si>
  <si>
    <t>Número usado para TPA</t>
  </si>
  <si>
    <t>Usa a função XIRR disponível no excel 2007/2010</t>
  </si>
  <si>
    <t>Isto converte da função XIRR com o período presumido (n).</t>
  </si>
  <si>
    <t>Por mês (m)</t>
  </si>
  <si>
    <t>"m"( períodos/mês)</t>
  </si>
  <si>
    <t>Este número é exacto mas confuso</t>
  </si>
  <si>
    <t>MPR (exacto)</t>
  </si>
  <si>
    <t>Isto converte de XIRR aos períodos assumidos (m)</t>
  </si>
  <si>
    <t>Número usado para MPR</t>
  </si>
  <si>
    <t>se no modo MANUAL, usa conversão do XIRR</t>
  </si>
  <si>
    <t>Gráficos Analíticos para os dados introduzidos na  folha DADOS DE ESTRUCTURA DE CUSTOS</t>
  </si>
  <si>
    <t>Este gráfico mostra o completo ( Amplo intervalo) dos tamanhos de empréstimo ( o eixo-x) com o  eixo y mostrando os números porcentuaispara os três componentes principais-Custos Financeiros, Provisão para empréstimos incobráveis, e Custos Operacionais.Na maioria dos casos, os custos financeiros e as provisões para os empréstimos incobráveis serão razoávelmente fixos, ou a mesma percentagem do saldo méedio vigente, vria significativamente, geralmente incrementa dramaticamente a medida que o tamanho do empréstimo diminui</t>
  </si>
  <si>
    <t>O seguno gráfico mostra a mesma informação do Gráfico 1, mas o intervalo do tamanho do empréstimo mostrado (o eixo-x) é apenas dos tamanhos menores.Este gráfico permite-lhe que estude com mais exactidão a variação dos componentes do custo em comparação com o valor inicial do empréstimo</t>
  </si>
  <si>
    <t>Este terceiro gráfico simples combina todos os três componentes de custos dos três primeiros gráficos, mostrando a Percentagem Total de Custos Anual, com o "intervalo amplo"do tamanho do empréstimo no eixo-x.A percentagem de Custos Totais pode sem considerada como o valor do ponto de equilíbrio da TPA .(Note contudo, que a IMF não tem 100% de seus activos na carteira de crédito, de aí que os números devem ser ajustados de acordo com este facto)</t>
  </si>
  <si>
    <t>Este gráfico mostra a mesma informação do Gráfico 3, mas para intervalos pequenos de tamanhos de empréstimos</t>
  </si>
  <si>
    <t>Este gráfico mostra os Custos Anuais Totais e os Custos Operativos Totais Anuais em comparação com o tamanho inicial do empréstimo.O eixo-x deste gráfico mostra o custo total anual,em vez de números porcentuais dos gráficos anteriores.Devido a que os Custos Financeiros e a Provisão para empréstimos incobráveis são custos variáveis, estes incrementam linearmente com o tamanho do empréstimo.Os custos operativos serão geralmente fixos, e espera-se que veja uma linha razoávelmente fixa (menos alterada) neste gráfico</t>
  </si>
  <si>
    <t>Proveitos/(Prejuízos)</t>
  </si>
  <si>
    <t>Receita Total Anual do empréstimo</t>
  </si>
  <si>
    <t>Nominal anualizada y metodo</t>
  </si>
  <si>
    <t>Pag. capital único no fim do período</t>
  </si>
  <si>
    <t>Ponto ref. MPR</t>
  </si>
  <si>
    <t xml:space="preserve">Per. carência ou Pag. adiantado </t>
  </si>
  <si>
    <t>Pag. Juros</t>
  </si>
  <si>
    <t>Cálculo Juros</t>
  </si>
  <si>
    <t>Levant. das poupanças</t>
  </si>
  <si>
    <t>Saldo das poupanças</t>
  </si>
  <si>
    <t>Ponto equilíbrio do cliente</t>
  </si>
  <si>
    <t>Imposto sobre o valor acresc. (%)</t>
  </si>
  <si>
    <t>Custo total (sem juros s/ poupanças)</t>
  </si>
  <si>
    <t>Por adelan.</t>
  </si>
  <si>
    <t>Por adiant.</t>
  </si>
  <si>
    <t>Valor do emprés em relação a % PIB Anual</t>
  </si>
  <si>
    <t>Préstamo Inicial en términos de % de PIB Anual</t>
  </si>
  <si>
    <t>l'Emprunt Initial en % du PIB Annuel</t>
  </si>
  <si>
    <t>A calculadora da TPA (Taxa Porcentual Anual) a folha do gráfico e a folha do plano de pagamentos servem em conjunto para que possa introduzir as condicções e calcular a TAP para esse producto de empréstimo para além de proporcionar outros cálculos relacionados com os custos de juros.</t>
  </si>
  <si>
    <t>Calculadora da TPA/TAEG "Avançada": Esta secção vai mais além da folha "simples",proporcionando mais opcções para variáveis de cálculo de preços e do cálculo tanto da TAP e da TAEG do empréstimo.Permite também visualizar o fluxo da Taxa Interna de Rendimento (TIR) para mpréstimos de 12 meses ou menos.</t>
  </si>
  <si>
    <t>Added user-option to hide certain sheet sections using input cells on right of INTRO sheet</t>
  </si>
  <si>
    <t>Bangladesh Weekly Repayment Price Calculator: the most common loan product in Bangladesh charges flat interest, but provides multiple grace periods throughout the loan term, related to holidays.  This sheet allows the price to be calculated.</t>
  </si>
  <si>
    <t xml:space="preserve">The APR - Simple sheets are </t>
  </si>
  <si>
    <t>hidden</t>
  </si>
  <si>
    <t>visible</t>
  </si>
  <si>
    <t xml:space="preserve">The APR - Advanced sheets are </t>
  </si>
  <si>
    <t xml:space="preserve">The IRR Cash Flow sheet is </t>
  </si>
  <si>
    <t xml:space="preserve">The Model Repay Schedule sheet is </t>
  </si>
  <si>
    <t xml:space="preserve">The Quick Cost Curve Calculator sheet is </t>
  </si>
  <si>
    <t xml:space="preserve">The Cost Structure sheets are </t>
  </si>
  <si>
    <t xml:space="preserve">The Bangladesh Wk Loan sheet is </t>
  </si>
  <si>
    <t>Customization of the Workbook</t>
  </si>
  <si>
    <t>Development of this software was partially funded by Deutsche Bank, MicroNed and MasterCard Foundation</t>
  </si>
  <si>
    <t>If you are using Windows Excel 2007/2010, or Excel for Mac 2011, enable macros on the message above, by the toolbar.  If you do not see this message, do Excel Options / Trust Center Settings / Macro Settings.  Then choose "Disable all macros with notification"</t>
  </si>
  <si>
    <t>If you are using Windows pre-Excel 2007, do Tools / Macro / Security. Then set level to medium.  If you are using Excel for Mac pre-2011, then you are not able to use this workbook properly.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</si>
</sst>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6">
    <numFmt numFmtId="5" formatCode="&quot;$&quot;#,##0_);\(&quot;$&quot;#,##0\)"/>
    <numFmt numFmtId="6" formatCode="&quot;$&quot;#,##0_);[Red]\(&quot;$&quot;#,##0\)"/>
    <numFmt numFmtId="44" formatCode="_(&quot;$&quot;* #,##0.00_);_(&quot;$&quot;* \(#,##0.00\);_(&quot;$&quot;* &quot;-&quot;??_);_(@_)"/>
    <numFmt numFmtId="43" formatCode="_(* #,##0.00_);_(* \(#,##0.00\);_(* &quot;-&quot;??_);_(@_)"/>
    <numFmt numFmtId="164" formatCode="0.0%"/>
    <numFmt numFmtId="165" formatCode="_(* #,##0.0_);_(* \(#,##0.0\);_(* &quot;-&quot;??_);_(@_)"/>
    <numFmt numFmtId="166" formatCode="#,##0.000_);[Red]\(#,##0.000\)"/>
    <numFmt numFmtId="167" formatCode="0.0"/>
    <numFmt numFmtId="168" formatCode="[&lt;1]0%;[&gt;=1]0\ ;General"/>
    <numFmt numFmtId="169" formatCode="_(* #,##0_);[Red]_(* \(#,##0\);_(* &quot;-&quot;_);_(@_)"/>
    <numFmt numFmtId="170" formatCode="_(* #,##0.00_);[Red]_(* \(#,##0.00\);_(* &quot;-&quot;_);_(@_)"/>
    <numFmt numFmtId="171" formatCode="#,##0.0000_);[Red]\(#,##0.0000\)"/>
    <numFmt numFmtId="172" formatCode="&quot;$&quot;#,##0"/>
    <numFmt numFmtId="173" formatCode="#,##0.0"/>
    <numFmt numFmtId="174" formatCode="[$-409]d\-mmm\-yy;@"/>
    <numFmt numFmtId="175" formatCode="#,##0.0_);\(#,##0.0\)"/>
    <numFmt numFmtId="176" formatCode="#,##0.00000_);[Red]\(#,##0.00000\)"/>
    <numFmt numFmtId="177" formatCode="#,##0.000000_);[Red]\(#,##0.000000\)"/>
    <numFmt numFmtId="178" formatCode="0_);[Red]\(0\)"/>
    <numFmt numFmtId="179" formatCode="0.0000"/>
    <numFmt numFmtId="180" formatCode="0.000%"/>
    <numFmt numFmtId="181" formatCode="\€#,##0"/>
    <numFmt numFmtId="182" formatCode="0.0000%"/>
    <numFmt numFmtId="183" formatCode="#,##0.0_);[Red]\(#,##0.0\)"/>
    <numFmt numFmtId="184" formatCode="#,##0.00;;&quot;-&quot;"/>
    <numFmt numFmtId="185" formatCode="\$#,##0"/>
  </numFmts>
  <fonts count="114">
    <font>
      <sz val="9"/>
      <name val="Arial"/>
      <family val="2"/>
    </font>
    <font>
      <sz val="11"/>
      <color indexed="8"/>
      <name val="Calibri"/>
      <family val="2"/>
    </font>
    <font>
      <sz val="10"/>
      <name val="Arial"/>
      <family val="2"/>
    </font>
    <font>
      <b/>
      <sz val="11"/>
      <color indexed="10"/>
      <name val="Arial"/>
      <family val="2"/>
    </font>
    <font>
      <b/>
      <sz val="9"/>
      <name val="Arial"/>
      <family val="2"/>
    </font>
    <font>
      <sz val="9"/>
      <name val="Arial"/>
      <family val="2"/>
    </font>
    <font>
      <sz val="8"/>
      <name val="Arial"/>
      <family val="2"/>
    </font>
    <font>
      <b/>
      <sz val="12"/>
      <name val="Arial"/>
      <family val="2"/>
    </font>
    <font>
      <b/>
      <sz val="10"/>
      <name val="Arial"/>
      <family val="2"/>
    </font>
    <font>
      <b/>
      <sz val="8"/>
      <name val="Arial"/>
      <family val="2"/>
    </font>
    <font>
      <i/>
      <sz val="9"/>
      <name val="Arial"/>
      <family val="2"/>
    </font>
    <font>
      <b/>
      <sz val="14"/>
      <color indexed="10"/>
      <name val="Arial"/>
      <family val="2"/>
    </font>
    <font>
      <sz val="9"/>
      <color indexed="9"/>
      <name val="Arial"/>
      <family val="2"/>
    </font>
    <font>
      <sz val="10"/>
      <name val="Arial"/>
      <family val="2"/>
    </font>
    <font>
      <b/>
      <sz val="9"/>
      <color indexed="9"/>
      <name val="Arial"/>
      <family val="2"/>
    </font>
    <font>
      <b/>
      <sz val="14"/>
      <color indexed="9"/>
      <name val="Arial"/>
      <family val="2"/>
    </font>
    <font>
      <sz val="8"/>
      <color indexed="10"/>
      <name val="Arial"/>
      <family val="2"/>
    </font>
    <font>
      <b/>
      <sz val="9"/>
      <color indexed="39"/>
      <name val="Arial"/>
      <family val="2"/>
    </font>
    <font>
      <b/>
      <sz val="10"/>
      <color indexed="9"/>
      <name val="Arial"/>
      <family val="2"/>
    </font>
    <font>
      <b/>
      <sz val="14"/>
      <color indexed="12"/>
      <name val="Arial"/>
      <family val="2"/>
    </font>
    <font>
      <sz val="8"/>
      <color indexed="12"/>
      <name val="Arial"/>
      <family val="2"/>
    </font>
    <font>
      <sz val="11"/>
      <color indexed="8"/>
      <name val="Calibri"/>
      <family val="2"/>
    </font>
    <font>
      <b/>
      <sz val="11"/>
      <name val="Arial"/>
      <family val="2"/>
    </font>
    <font>
      <sz val="11"/>
      <color indexed="8"/>
      <name val="Calibri"/>
      <family val="2"/>
    </font>
    <font>
      <b/>
      <sz val="11"/>
      <color indexed="9"/>
      <name val="Calibri"/>
      <family val="2"/>
    </font>
    <font>
      <b/>
      <sz val="11"/>
      <color indexed="8"/>
      <name val="Calibri"/>
      <family val="2"/>
    </font>
    <font>
      <sz val="9"/>
      <color indexed="10"/>
      <name val="Arial"/>
      <family val="2"/>
    </font>
    <font>
      <i/>
      <sz val="11"/>
      <color indexed="8"/>
      <name val="Calibri"/>
      <family val="2"/>
    </font>
    <font>
      <i/>
      <sz val="10"/>
      <color indexed="8"/>
      <name val="Calibri"/>
      <family val="2"/>
    </font>
    <font>
      <b/>
      <sz val="14"/>
      <color indexed="8"/>
      <name val="Calibri"/>
      <family val="2"/>
    </font>
    <font>
      <b/>
      <sz val="11"/>
      <color indexed="9"/>
      <name val="Calibri"/>
      <family val="2"/>
    </font>
    <font>
      <sz val="9"/>
      <color indexed="8"/>
      <name val="Calibri"/>
      <family val="2"/>
    </font>
    <font>
      <b/>
      <sz val="9"/>
      <color indexed="8"/>
      <name val="Calibri"/>
      <family val="2"/>
    </font>
    <font>
      <i/>
      <sz val="9"/>
      <color indexed="8"/>
      <name val="Calibri"/>
      <family val="2"/>
    </font>
    <font>
      <b/>
      <i/>
      <sz val="11"/>
      <color indexed="8"/>
      <name val="Calibri"/>
      <family val="2"/>
    </font>
    <font>
      <b/>
      <sz val="20"/>
      <color indexed="30"/>
      <name val="Calibri"/>
      <family val="2"/>
    </font>
    <font>
      <b/>
      <sz val="24"/>
      <color indexed="30"/>
      <name val="Calibri"/>
      <family val="2"/>
    </font>
    <font>
      <b/>
      <sz val="12"/>
      <color indexed="8"/>
      <name val="Calibri"/>
      <family val="2"/>
    </font>
    <font>
      <b/>
      <sz val="14"/>
      <color indexed="30"/>
      <name val="Calibri"/>
      <family val="2"/>
    </font>
    <font>
      <sz val="11"/>
      <color indexed="8"/>
      <name val="Calibri"/>
      <family val="2"/>
    </font>
    <font>
      <b/>
      <sz val="16"/>
      <color indexed="30"/>
      <name val="Arial"/>
      <family val="2"/>
    </font>
    <font>
      <sz val="11"/>
      <name val="Arial"/>
      <family val="2"/>
    </font>
    <font>
      <b/>
      <sz val="22"/>
      <color indexed="30"/>
      <name val="Arial"/>
      <family val="2"/>
    </font>
    <font>
      <b/>
      <sz val="14"/>
      <name val="Arial"/>
      <family val="2"/>
    </font>
    <font>
      <sz val="11"/>
      <color indexed="8"/>
      <name val="Calibri"/>
      <family val="2"/>
    </font>
    <font>
      <i/>
      <sz val="9"/>
      <color indexed="30"/>
      <name val="Arial"/>
      <family val="2"/>
    </font>
    <font>
      <sz val="9"/>
      <color indexed="81"/>
      <name val="Tahoma"/>
      <family val="2"/>
    </font>
    <font>
      <b/>
      <sz val="9"/>
      <color indexed="81"/>
      <name val="Tahoma"/>
      <family val="2"/>
    </font>
    <font>
      <sz val="12"/>
      <color indexed="8"/>
      <name val="Calibri"/>
      <family val="2"/>
    </font>
    <font>
      <b/>
      <sz val="9"/>
      <color indexed="10"/>
      <name val="Arial"/>
      <family val="2"/>
    </font>
    <font>
      <sz val="12"/>
      <color indexed="8"/>
      <name val="Calibri"/>
      <family val="2"/>
    </font>
    <font>
      <vertAlign val="superscript"/>
      <sz val="11"/>
      <color indexed="8"/>
      <name val="Calibri"/>
      <family val="2"/>
    </font>
    <font>
      <sz val="11"/>
      <color indexed="8"/>
      <name val="Calibri"/>
      <family val="2"/>
    </font>
    <font>
      <b/>
      <sz val="11"/>
      <color indexed="8"/>
      <name val="Calibri"/>
      <family val="2"/>
    </font>
    <font>
      <b/>
      <sz val="9"/>
      <color indexed="8"/>
      <name val="Calibri"/>
      <family val="2"/>
    </font>
    <font>
      <b/>
      <sz val="14"/>
      <color indexed="10"/>
      <name val="Arial"/>
      <family val="2"/>
    </font>
    <font>
      <sz val="12"/>
      <color indexed="8"/>
      <name val="Calibri"/>
      <family val="2"/>
    </font>
    <font>
      <i/>
      <sz val="11"/>
      <color indexed="8"/>
      <name val="Calibri"/>
      <family val="2"/>
    </font>
    <font>
      <b/>
      <sz val="14"/>
      <color indexed="12"/>
      <name val="Calibri"/>
      <family val="2"/>
    </font>
    <font>
      <b/>
      <sz val="14"/>
      <color indexed="8"/>
      <name val="Calibri"/>
      <family val="2"/>
    </font>
    <font>
      <b/>
      <sz val="12"/>
      <color indexed="8"/>
      <name val="Calibri"/>
      <family val="2"/>
    </font>
    <font>
      <b/>
      <vertAlign val="superscript"/>
      <sz val="9"/>
      <name val="Arial"/>
      <family val="2"/>
    </font>
    <font>
      <sz val="11"/>
      <name val="Calibri"/>
      <family val="2"/>
    </font>
    <font>
      <sz val="9"/>
      <name val="Calibri"/>
      <family val="2"/>
    </font>
    <font>
      <i/>
      <sz val="9"/>
      <name val="Calibri"/>
      <family val="2"/>
    </font>
    <font>
      <sz val="10"/>
      <color indexed="8"/>
      <name val="Calibri"/>
      <family val="2"/>
    </font>
    <font>
      <sz val="9"/>
      <name val="Calibri"/>
      <family val="2"/>
    </font>
    <font>
      <sz val="9"/>
      <color indexed="8"/>
      <name val="Calibri"/>
      <family val="2"/>
    </font>
    <font>
      <b/>
      <sz val="12"/>
      <color indexed="10"/>
      <name val="Calibri"/>
      <family val="2"/>
    </font>
    <font>
      <b/>
      <sz val="9"/>
      <color indexed="8"/>
      <name val="Wingdings"/>
      <charset val="2"/>
    </font>
    <font>
      <b/>
      <sz val="14"/>
      <color indexed="30"/>
      <name val="Arial"/>
      <family val="2"/>
    </font>
    <font>
      <b/>
      <sz val="11"/>
      <color indexed="12"/>
      <name val="Arial"/>
      <family val="2"/>
    </font>
    <font>
      <b/>
      <vertAlign val="superscript"/>
      <sz val="11"/>
      <color indexed="12"/>
      <name val="Arial"/>
      <family val="2"/>
    </font>
    <font>
      <b/>
      <sz val="11"/>
      <color indexed="8"/>
      <name val="Arial"/>
      <family val="2"/>
    </font>
    <font>
      <sz val="10"/>
      <name val="Times New Roman"/>
      <family val="1"/>
    </font>
    <font>
      <sz val="10"/>
      <color indexed="12"/>
      <name val="Arial"/>
      <family val="2"/>
    </font>
    <font>
      <sz val="11"/>
      <color indexed="8"/>
      <name val="Calibri"/>
      <family val="2"/>
    </font>
    <font>
      <b/>
      <sz val="11"/>
      <color indexed="8"/>
      <name val="Calibri"/>
      <family val="2"/>
    </font>
    <font>
      <b/>
      <sz val="11"/>
      <color indexed="12"/>
      <name val="Arial"/>
      <family val="2"/>
    </font>
    <font>
      <b/>
      <sz val="12"/>
      <color indexed="10"/>
      <name val="Arial"/>
      <family val="2"/>
    </font>
    <font>
      <i/>
      <sz val="8"/>
      <name val="Arial"/>
      <family val="2"/>
    </font>
    <font>
      <b/>
      <sz val="11"/>
      <color indexed="8"/>
      <name val="Wingdings"/>
      <charset val="2"/>
    </font>
    <font>
      <sz val="14"/>
      <name val="Arial"/>
      <family val="2"/>
    </font>
    <font>
      <sz val="11"/>
      <color theme="1"/>
      <name val="Calibri"/>
      <family val="2"/>
      <scheme val="minor"/>
    </font>
    <font>
      <b/>
      <sz val="11"/>
      <color theme="0"/>
      <name val="Calibri"/>
      <family val="2"/>
      <scheme val="minor"/>
    </font>
    <font>
      <b/>
      <sz val="15"/>
      <color theme="3"/>
      <name val="Calibri"/>
      <family val="2"/>
      <scheme val="minor"/>
    </font>
    <font>
      <b/>
      <sz val="11"/>
      <color theme="3"/>
      <name val="Calibri"/>
      <family val="2"/>
      <scheme val="minor"/>
    </font>
    <font>
      <u/>
      <sz val="9"/>
      <color theme="10"/>
      <name val="Arial"/>
      <family val="2"/>
    </font>
    <font>
      <b/>
      <sz val="11"/>
      <color theme="1"/>
      <name val="Calibri"/>
      <family val="2"/>
      <scheme val="minor"/>
    </font>
    <font>
      <b/>
      <sz val="11"/>
      <color theme="3" tint="0.39997558519241921"/>
      <name val="Calibri"/>
      <family val="2"/>
      <scheme val="minor"/>
    </font>
    <font>
      <sz val="9"/>
      <color theme="1"/>
      <name val="Arial"/>
      <family val="2"/>
    </font>
    <font>
      <b/>
      <sz val="13"/>
      <color theme="1"/>
      <name val="Calibri"/>
      <family val="2"/>
      <scheme val="minor"/>
    </font>
    <font>
      <b/>
      <sz val="13"/>
      <color theme="0"/>
      <name val="Calibri"/>
      <family val="2"/>
      <scheme val="minor"/>
    </font>
    <font>
      <b/>
      <sz val="11"/>
      <name val="Calibri"/>
      <family val="2"/>
      <scheme val="minor"/>
    </font>
    <font>
      <b/>
      <sz val="12"/>
      <color theme="1"/>
      <name val="Calibri"/>
      <family val="2"/>
      <scheme val="minor"/>
    </font>
    <font>
      <b/>
      <sz val="14"/>
      <color theme="0"/>
      <name val="Calibri"/>
      <family val="2"/>
      <scheme val="minor"/>
    </font>
    <font>
      <sz val="12"/>
      <color rgb="FFFF0000"/>
      <name val="Calibri"/>
      <family val="2"/>
      <scheme val="minor"/>
    </font>
    <font>
      <b/>
      <sz val="14"/>
      <color theme="8" tint="-0.249977111117893"/>
      <name val="Calibri"/>
      <family val="2"/>
      <scheme val="minor"/>
    </font>
    <font>
      <b/>
      <sz val="16"/>
      <color theme="3"/>
      <name val="Calibri"/>
      <family val="2"/>
      <scheme val="minor"/>
    </font>
    <font>
      <b/>
      <sz val="11"/>
      <color theme="4" tint="-0.249977111117893"/>
      <name val="Arial"/>
      <family val="2"/>
    </font>
    <font>
      <b/>
      <sz val="10"/>
      <color rgb="FFFF0000"/>
      <name val="Arial"/>
      <family val="2"/>
    </font>
    <font>
      <b/>
      <sz val="14"/>
      <color theme="1"/>
      <name val="Calibri"/>
      <family val="2"/>
      <scheme val="minor"/>
    </font>
    <font>
      <b/>
      <sz val="11"/>
      <color rgb="FFFF0000"/>
      <name val="Arial"/>
      <family val="2"/>
    </font>
    <font>
      <sz val="10"/>
      <color theme="1"/>
      <name val="Calibri"/>
      <family val="2"/>
      <scheme val="minor"/>
    </font>
    <font>
      <sz val="14"/>
      <color theme="1"/>
      <name val="Calibri"/>
      <family val="2"/>
      <scheme val="minor"/>
    </font>
    <font>
      <i/>
      <sz val="12"/>
      <color theme="1"/>
      <name val="Calibri"/>
      <family val="2"/>
      <scheme val="minor"/>
    </font>
    <font>
      <b/>
      <sz val="11"/>
      <color rgb="FFFF0000"/>
      <name val="Calibri"/>
      <family val="2"/>
      <scheme val="minor"/>
    </font>
    <font>
      <b/>
      <sz val="14"/>
      <name val="Calibri"/>
      <family val="2"/>
      <scheme val="minor"/>
    </font>
    <font>
      <b/>
      <sz val="16"/>
      <color theme="1"/>
      <name val="Calibri"/>
      <family val="2"/>
      <scheme val="minor"/>
    </font>
    <font>
      <b/>
      <sz val="16"/>
      <color theme="0"/>
      <name val="Calibri"/>
      <family val="2"/>
      <scheme val="minor"/>
    </font>
    <font>
      <sz val="11"/>
      <color rgb="FF000000"/>
      <name val="Calibri"/>
      <family val="2"/>
    </font>
    <font>
      <b/>
      <sz val="11"/>
      <color rgb="FF000000"/>
      <name val="Lucida Grande"/>
      <family val="2"/>
    </font>
    <font>
      <u/>
      <sz val="9"/>
      <color theme="11"/>
      <name val="Arial"/>
      <family val="2"/>
    </font>
    <font>
      <sz val="9"/>
      <color rgb="FFFF0000"/>
      <name val="Arial"/>
      <family val="2"/>
    </font>
  </fonts>
  <fills count="42">
    <fill>
      <patternFill patternType="none"/>
    </fill>
    <fill>
      <patternFill patternType="gray125"/>
    </fill>
    <fill>
      <patternFill patternType="solid">
        <fgColor indexed="40"/>
        <bgColor indexed="64"/>
      </patternFill>
    </fill>
    <fill>
      <patternFill patternType="solid">
        <fgColor indexed="61"/>
        <bgColor indexed="64"/>
      </patternFill>
    </fill>
    <fill>
      <patternFill patternType="solid">
        <fgColor indexed="42"/>
        <bgColor indexed="64"/>
      </patternFill>
    </fill>
    <fill>
      <patternFill patternType="solid">
        <fgColor indexed="22"/>
        <bgColor indexed="64"/>
      </patternFill>
    </fill>
    <fill>
      <patternFill patternType="solid">
        <fgColor indexed="40"/>
        <bgColor indexed="41"/>
      </patternFill>
    </fill>
    <fill>
      <patternFill patternType="solid">
        <fgColor indexed="12"/>
        <bgColor indexed="64"/>
      </patternFill>
    </fill>
    <fill>
      <patternFill patternType="solid">
        <fgColor indexed="22"/>
        <bgColor indexed="41"/>
      </patternFill>
    </fill>
    <fill>
      <patternFill patternType="solid">
        <fgColor indexed="43"/>
        <bgColor indexed="64"/>
      </patternFill>
    </fill>
    <fill>
      <patternFill patternType="solid">
        <fgColor indexed="63"/>
        <bgColor indexed="63"/>
      </patternFill>
    </fill>
    <fill>
      <patternFill patternType="solid">
        <fgColor indexed="30"/>
        <bgColor indexed="64"/>
      </patternFill>
    </fill>
    <fill>
      <patternFill patternType="solid">
        <fgColor indexed="13"/>
        <bgColor indexed="64"/>
      </patternFill>
    </fill>
    <fill>
      <patternFill patternType="solid">
        <fgColor indexed="49"/>
        <bgColor indexed="64"/>
      </patternFill>
    </fill>
    <fill>
      <patternFill patternType="solid">
        <fgColor indexed="44"/>
        <bgColor indexed="64"/>
      </patternFill>
    </fill>
    <fill>
      <patternFill patternType="solid">
        <fgColor indexed="8"/>
        <bgColor indexed="64"/>
      </patternFill>
    </fill>
    <fill>
      <patternFill patternType="solid">
        <fgColor indexed="27"/>
        <bgColor indexed="64"/>
      </patternFill>
    </fill>
    <fill>
      <patternFill patternType="solid">
        <fgColor indexed="11"/>
        <bgColor indexed="64"/>
      </patternFill>
    </fill>
    <fill>
      <patternFill patternType="solid">
        <fgColor indexed="26"/>
        <bgColor indexed="64"/>
      </patternFill>
    </fill>
    <fill>
      <patternFill patternType="solid">
        <fgColor indexed="55"/>
        <bgColor indexed="64"/>
      </patternFill>
    </fill>
    <fill>
      <patternFill patternType="solid">
        <fgColor indexed="41"/>
        <bgColor indexed="64"/>
      </patternFill>
    </fill>
    <fill>
      <patternFill patternType="solid">
        <fgColor indexed="29"/>
        <bgColor indexed="64"/>
      </patternFill>
    </fill>
    <fill>
      <patternFill patternType="solid">
        <fgColor theme="9" tint="0.79998168889431442"/>
        <bgColor indexed="64"/>
      </patternFill>
    </fill>
    <fill>
      <patternFill patternType="solid">
        <fgColor theme="0"/>
        <bgColor indexed="64"/>
      </patternFill>
    </fill>
    <fill>
      <patternFill patternType="solid">
        <fgColor theme="8" tint="0.7999816888943144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6" tint="0.39997558519241921"/>
        <bgColor indexed="64"/>
      </patternFill>
    </fill>
    <fill>
      <patternFill patternType="solid">
        <fgColor theme="3" tint="-0.499984740745262"/>
        <bgColor indexed="64"/>
      </patternFill>
    </fill>
    <fill>
      <patternFill patternType="solid">
        <fgColor theme="2" tint="-0.499984740745262"/>
        <bgColor indexed="64"/>
      </patternFill>
    </fill>
    <fill>
      <patternFill patternType="solid">
        <fgColor theme="4" tint="0.39997558519241921"/>
        <bgColor indexed="64"/>
      </patternFill>
    </fill>
    <fill>
      <patternFill patternType="solid">
        <fgColor theme="3" tint="0.39997558519241921"/>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DE9D9"/>
        <bgColor indexed="64"/>
      </patternFill>
    </fill>
    <fill>
      <patternFill patternType="solid">
        <fgColor theme="6" tint="0.79998168889431442"/>
        <bgColor indexed="64"/>
      </patternFill>
    </fill>
    <fill>
      <patternFill patternType="solid">
        <fgColor theme="7" tint="0.79998168889431442"/>
        <bgColor theme="7" tint="0.79998168889431442"/>
      </patternFill>
    </fill>
    <fill>
      <patternFill patternType="solid">
        <fgColor theme="4" tint="0.59999389629810485"/>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theme="4" tint="0.79998168889431442"/>
        <bgColor indexed="64"/>
      </patternFill>
    </fill>
  </fills>
  <borders count="150">
    <border>
      <left/>
      <right/>
      <top/>
      <bottom/>
      <diagonal/>
    </border>
    <border>
      <left style="medium">
        <color auto="1"/>
      </left>
      <right/>
      <top/>
      <bottom/>
      <diagonal/>
    </border>
    <border>
      <left style="medium">
        <color auto="1"/>
      </left>
      <right style="medium">
        <color auto="1"/>
      </right>
      <top style="medium">
        <color auto="1"/>
      </top>
      <bottom style="medium">
        <color auto="1"/>
      </bottom>
      <diagonal/>
    </border>
    <border>
      <left style="medium">
        <color auto="1"/>
      </left>
      <right/>
      <top style="medium">
        <color auto="1"/>
      </top>
      <bottom style="medium">
        <color auto="1"/>
      </bottom>
      <diagonal/>
    </border>
    <border>
      <left style="thick">
        <color auto="1"/>
      </left>
      <right/>
      <top style="thick">
        <color auto="1"/>
      </top>
      <bottom style="thick">
        <color auto="1"/>
      </bottom>
      <diagonal/>
    </border>
    <border>
      <left style="thick">
        <color auto="1"/>
      </left>
      <right style="thin">
        <color auto="1"/>
      </right>
      <top style="thick">
        <color auto="1"/>
      </top>
      <bottom style="medium">
        <color auto="1"/>
      </bottom>
      <diagonal/>
    </border>
    <border>
      <left/>
      <right/>
      <top style="thick">
        <color auto="1"/>
      </top>
      <bottom style="medium">
        <color auto="1"/>
      </bottom>
      <diagonal/>
    </border>
    <border>
      <left/>
      <right style="medium">
        <color auto="1"/>
      </right>
      <top/>
      <bottom/>
      <diagonal/>
    </border>
    <border>
      <left/>
      <right style="medium">
        <color auto="1"/>
      </right>
      <top style="medium">
        <color auto="1"/>
      </top>
      <bottom/>
      <diagonal/>
    </border>
    <border>
      <left style="thin">
        <color auto="1"/>
      </left>
      <right style="thin">
        <color auto="1"/>
      </right>
      <top/>
      <bottom/>
      <diagonal/>
    </border>
    <border>
      <left style="thin">
        <color auto="1"/>
      </left>
      <right style="medium">
        <color auto="1"/>
      </right>
      <top/>
      <bottom/>
      <diagonal/>
    </border>
    <border>
      <left style="medium">
        <color auto="1"/>
      </left>
      <right style="thin">
        <color auto="1"/>
      </right>
      <top/>
      <bottom/>
      <diagonal/>
    </border>
    <border>
      <left style="medium">
        <color auto="1"/>
      </left>
      <right/>
      <top style="medium">
        <color auto="1"/>
      </top>
      <bottom/>
      <diagonal/>
    </border>
    <border>
      <left style="medium">
        <color auto="1"/>
      </left>
      <right/>
      <top/>
      <bottom style="medium">
        <color auto="1"/>
      </bottom>
      <diagonal/>
    </border>
    <border>
      <left/>
      <right/>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style="medium">
        <color auto="1"/>
      </right>
      <top style="thick">
        <color auto="1"/>
      </top>
      <bottom style="thick">
        <color auto="1"/>
      </bottom>
      <diagonal/>
    </border>
    <border>
      <left/>
      <right/>
      <top style="medium">
        <color auto="1"/>
      </top>
      <bottom/>
      <diagonal/>
    </border>
    <border>
      <left style="thin">
        <color auto="1"/>
      </left>
      <right/>
      <top style="thick">
        <color auto="1"/>
      </top>
      <bottom style="medium">
        <color auto="1"/>
      </bottom>
      <diagonal/>
    </border>
    <border>
      <left style="thin">
        <color auto="1"/>
      </left>
      <right style="thick">
        <color auto="1"/>
      </right>
      <top style="thick">
        <color auto="1"/>
      </top>
      <bottom style="medium">
        <color auto="1"/>
      </bottom>
      <diagonal/>
    </border>
    <border>
      <left style="thin">
        <color auto="1"/>
      </left>
      <right style="thin">
        <color auto="1"/>
      </right>
      <top style="thin">
        <color auto="1"/>
      </top>
      <bottom style="thin">
        <color auto="1"/>
      </bottom>
      <diagonal/>
    </border>
    <border>
      <left style="thin">
        <color auto="1"/>
      </left>
      <right style="medium">
        <color auto="1"/>
      </right>
      <top style="thick">
        <color auto="1"/>
      </top>
      <bottom style="medium">
        <color auto="1"/>
      </bottom>
      <diagonal/>
    </border>
    <border>
      <left style="medium">
        <color auto="1"/>
      </left>
      <right/>
      <top style="thick">
        <color auto="1"/>
      </top>
      <bottom style="medium">
        <color auto="1"/>
      </bottom>
      <diagonal/>
    </border>
    <border>
      <left/>
      <right/>
      <top style="thick">
        <color auto="1"/>
      </top>
      <bottom style="thick">
        <color auto="1"/>
      </bottom>
      <diagonal/>
    </border>
    <border>
      <left/>
      <right style="medium">
        <color auto="1"/>
      </right>
      <top/>
      <bottom style="medium">
        <color auto="1"/>
      </bottom>
      <diagonal/>
    </border>
    <border>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ck">
        <color auto="1"/>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ck">
        <color auto="1"/>
      </right>
      <top/>
      <bottom/>
      <diagonal/>
    </border>
    <border>
      <left style="medium">
        <color auto="1"/>
      </left>
      <right style="thin">
        <color auto="1"/>
      </right>
      <top style="medium">
        <color auto="1"/>
      </top>
      <bottom style="medium">
        <color auto="1"/>
      </bottom>
      <diagonal/>
    </border>
    <border>
      <left style="medium">
        <color auto="1"/>
      </left>
      <right style="thick">
        <color auto="1"/>
      </right>
      <top style="medium">
        <color auto="1"/>
      </top>
      <bottom/>
      <diagonal/>
    </border>
    <border>
      <left style="thick">
        <color auto="1"/>
      </left>
      <right style="thin">
        <color auto="1"/>
      </right>
      <top/>
      <bottom/>
      <diagonal/>
    </border>
    <border>
      <left style="thin">
        <color auto="1"/>
      </left>
      <right/>
      <top/>
      <bottom/>
      <diagonal/>
    </border>
    <border>
      <left style="thin">
        <color auto="1"/>
      </left>
      <right style="thick">
        <color auto="1"/>
      </right>
      <top/>
      <bottom/>
      <diagonal/>
    </border>
    <border>
      <left/>
      <right/>
      <top style="thick">
        <color auto="1"/>
      </top>
      <bottom/>
      <diagonal/>
    </border>
    <border>
      <left/>
      <right style="thick">
        <color auto="1"/>
      </right>
      <top/>
      <bottom/>
      <diagonal/>
    </border>
    <border>
      <left/>
      <right/>
      <top/>
      <bottom style="thick">
        <color auto="1"/>
      </bottom>
      <diagonal/>
    </border>
    <border>
      <left style="thick">
        <color auto="1"/>
      </left>
      <right/>
      <top/>
      <bottom/>
      <diagonal/>
    </border>
    <border>
      <left style="hair">
        <color auto="1"/>
      </left>
      <right style="hair">
        <color auto="1"/>
      </right>
      <top style="hair">
        <color auto="1"/>
      </top>
      <bottom/>
      <diagonal/>
    </border>
    <border>
      <left style="hair">
        <color auto="1"/>
      </left>
      <right style="hair">
        <color auto="1"/>
      </right>
      <top/>
      <bottom/>
      <diagonal/>
    </border>
    <border>
      <left style="hair">
        <color auto="1"/>
      </left>
      <right style="hair">
        <color auto="1"/>
      </right>
      <top/>
      <bottom style="thick">
        <color auto="1"/>
      </bottom>
      <diagonal/>
    </border>
    <border>
      <left style="hair">
        <color auto="1"/>
      </left>
      <right style="hair">
        <color auto="1"/>
      </right>
      <top/>
      <bottom style="hair">
        <color auto="1"/>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top style="thick">
        <color auto="1"/>
      </top>
      <bottom style="medium">
        <color auto="1"/>
      </bottom>
      <diagonal/>
    </border>
    <border>
      <left style="thick">
        <color auto="1"/>
      </left>
      <right style="thick">
        <color auto="1"/>
      </right>
      <top style="thick">
        <color auto="1"/>
      </top>
      <bottom style="thick">
        <color auto="1"/>
      </bottom>
      <diagonal/>
    </border>
    <border>
      <left style="thick">
        <color auto="1"/>
      </left>
      <right style="thin">
        <color auto="1"/>
      </right>
      <top/>
      <bottom style="thick">
        <color auto="1"/>
      </bottom>
      <diagonal/>
    </border>
    <border>
      <left style="thin">
        <color auto="1"/>
      </left>
      <right/>
      <top/>
      <bottom style="thick">
        <color auto="1"/>
      </bottom>
      <diagonal/>
    </border>
    <border>
      <left style="thin">
        <color auto="1"/>
      </left>
      <right style="medium">
        <color auto="1"/>
      </right>
      <top/>
      <bottom style="thick">
        <color auto="1"/>
      </bottom>
      <diagonal/>
    </border>
    <border>
      <left style="thin">
        <color auto="1"/>
      </left>
      <right style="thin">
        <color auto="1"/>
      </right>
      <top style="thick">
        <color auto="1"/>
      </top>
      <bottom style="medium">
        <color auto="1"/>
      </bottom>
      <diagonal/>
    </border>
    <border>
      <left style="thin">
        <color auto="1"/>
      </left>
      <right style="thin">
        <color auto="1"/>
      </right>
      <top/>
      <bottom style="thick">
        <color auto="1"/>
      </bottom>
      <diagonal/>
    </border>
    <border>
      <left style="medium">
        <color auto="1"/>
      </left>
      <right style="thin">
        <color auto="1"/>
      </right>
      <top style="thick">
        <color auto="1"/>
      </top>
      <bottom/>
      <diagonal/>
    </border>
    <border>
      <left style="medium">
        <color auto="1"/>
      </left>
      <right style="thin">
        <color auto="1"/>
      </right>
      <top/>
      <bottom style="thick">
        <color auto="1"/>
      </bottom>
      <diagonal/>
    </border>
    <border>
      <left style="thin">
        <color auto="1"/>
      </left>
      <right/>
      <top style="thick">
        <color auto="1"/>
      </top>
      <bottom style="thick">
        <color auto="1"/>
      </bottom>
      <diagonal/>
    </border>
    <border>
      <left style="thin">
        <color auto="1"/>
      </left>
      <right style="thin">
        <color auto="1"/>
      </right>
      <top style="thick">
        <color auto="1"/>
      </top>
      <bottom style="thick">
        <color auto="1"/>
      </bottom>
      <diagonal/>
    </border>
    <border>
      <left style="thick">
        <color auto="1"/>
      </left>
      <right style="thin">
        <color auto="1"/>
      </right>
      <top style="thick">
        <color auto="1"/>
      </top>
      <bottom style="thick">
        <color auto="1"/>
      </bottom>
      <diagonal/>
    </border>
    <border>
      <left style="thin">
        <color auto="1"/>
      </left>
      <right style="thick">
        <color auto="1"/>
      </right>
      <top style="thick">
        <color auto="1"/>
      </top>
      <bottom style="thick">
        <color auto="1"/>
      </bottom>
      <diagonal/>
    </border>
    <border>
      <left/>
      <right/>
      <top style="thin">
        <color auto="1"/>
      </top>
      <bottom/>
      <diagonal/>
    </border>
    <border>
      <left style="thin">
        <color auto="1"/>
      </left>
      <right style="thin">
        <color auto="1"/>
      </right>
      <top/>
      <bottom style="thin">
        <color auto="1"/>
      </bottom>
      <diagonal/>
    </border>
    <border>
      <left/>
      <right/>
      <top/>
      <bottom style="thin">
        <color auto="1"/>
      </bottom>
      <diagonal/>
    </border>
    <border>
      <left style="thin">
        <color auto="1"/>
      </left>
      <right/>
      <top/>
      <bottom style="thin">
        <color auto="1"/>
      </bottom>
      <diagonal/>
    </border>
    <border>
      <left style="thin">
        <color auto="1"/>
      </left>
      <right style="thin">
        <color auto="1"/>
      </right>
      <top/>
      <bottom style="double">
        <color auto="1"/>
      </bottom>
      <diagonal/>
    </border>
    <border>
      <left style="thin">
        <color auto="1"/>
      </left>
      <right style="thin">
        <color auto="1"/>
      </right>
      <top style="thin">
        <color auto="1"/>
      </top>
      <bottom/>
      <diagonal/>
    </border>
    <border>
      <left/>
      <right style="thin">
        <color auto="1"/>
      </right>
      <top/>
      <bottom/>
      <diagonal/>
    </border>
    <border>
      <left/>
      <right style="thin">
        <color auto="1"/>
      </right>
      <top style="thin">
        <color auto="1"/>
      </top>
      <bottom/>
      <diagonal/>
    </border>
    <border>
      <left style="thin">
        <color auto="1"/>
      </left>
      <right/>
      <top style="thin">
        <color auto="1"/>
      </top>
      <bottom/>
      <diagonal/>
    </border>
    <border>
      <left/>
      <right style="thin">
        <color auto="1"/>
      </right>
      <top/>
      <bottom style="double">
        <color auto="1"/>
      </bottom>
      <diagonal/>
    </border>
    <border>
      <left/>
      <right/>
      <top/>
      <bottom style="double">
        <color auto="1"/>
      </bottom>
      <diagonal/>
    </border>
    <border>
      <left style="medium">
        <color auto="1"/>
      </left>
      <right style="medium">
        <color auto="1"/>
      </right>
      <top style="thick">
        <color auto="1"/>
      </top>
      <bottom style="medium">
        <color auto="1"/>
      </bottom>
      <diagonal/>
    </border>
    <border>
      <left style="thick">
        <color auto="1"/>
      </left>
      <right style="thick">
        <color auto="1"/>
      </right>
      <top/>
      <bottom style="thick">
        <color auto="1"/>
      </bottom>
      <diagonal/>
    </border>
    <border>
      <left style="hair">
        <color auto="1"/>
      </left>
      <right/>
      <top style="hair">
        <color auto="1"/>
      </top>
      <bottom/>
      <diagonal/>
    </border>
    <border>
      <left style="hair">
        <color auto="1"/>
      </left>
      <right/>
      <top/>
      <bottom/>
      <diagonal/>
    </border>
    <border>
      <left style="hair">
        <color auto="1"/>
      </left>
      <right/>
      <top/>
      <bottom style="thick">
        <color auto="1"/>
      </bottom>
      <diagonal/>
    </border>
    <border>
      <left style="hair">
        <color auto="1"/>
      </left>
      <right/>
      <top/>
      <bottom style="hair">
        <color auto="1"/>
      </bottom>
      <diagonal/>
    </border>
    <border>
      <left style="thin">
        <color auto="1"/>
      </left>
      <right/>
      <top style="medium">
        <color auto="1"/>
      </top>
      <bottom style="medium">
        <color auto="1"/>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medium">
        <color auto="1"/>
      </right>
      <top style="thin">
        <color auto="1"/>
      </top>
      <bottom/>
      <diagonal/>
    </border>
    <border>
      <left style="medium">
        <color auto="1"/>
      </left>
      <right style="medium">
        <color auto="1"/>
      </right>
      <top/>
      <bottom style="thin">
        <color auto="1"/>
      </bottom>
      <diagonal/>
    </border>
    <border>
      <left style="medium">
        <color auto="1"/>
      </left>
      <right style="thick">
        <color auto="1"/>
      </right>
      <top/>
      <bottom style="thick">
        <color auto="1"/>
      </bottom>
      <diagonal/>
    </border>
    <border>
      <left style="medium">
        <color auto="1"/>
      </left>
      <right style="thin">
        <color auto="1"/>
      </right>
      <top style="medium">
        <color auto="1"/>
      </top>
      <bottom/>
      <diagonal/>
    </border>
    <border>
      <left style="medium">
        <color auto="1"/>
      </left>
      <right style="thin">
        <color auto="1"/>
      </right>
      <top style="medium">
        <color auto="1"/>
      </top>
      <bottom style="double">
        <color auto="1"/>
      </bottom>
      <diagonal/>
    </border>
    <border>
      <left style="thin">
        <color auto="1"/>
      </left>
      <right/>
      <top/>
      <bottom style="double">
        <color auto="1"/>
      </bottom>
      <diagonal/>
    </border>
    <border>
      <left style="thick">
        <color auto="1"/>
      </left>
      <right/>
      <top style="medium">
        <color auto="1"/>
      </top>
      <bottom style="double">
        <color auto="1"/>
      </bottom>
      <diagonal/>
    </border>
    <border>
      <left style="thick">
        <color auto="1"/>
      </left>
      <right style="thin">
        <color auto="1"/>
      </right>
      <top style="medium">
        <color auto="1"/>
      </top>
      <bottom style="double">
        <color auto="1"/>
      </bottom>
      <diagonal/>
    </border>
    <border>
      <left style="thin">
        <color auto="1"/>
      </left>
      <right style="thin">
        <color auto="1"/>
      </right>
      <top style="medium">
        <color auto="1"/>
      </top>
      <bottom style="double">
        <color auto="1"/>
      </bottom>
      <diagonal/>
    </border>
    <border>
      <left style="thin">
        <color auto="1"/>
      </left>
      <right style="thick">
        <color auto="1"/>
      </right>
      <top style="medium">
        <color auto="1"/>
      </top>
      <bottom style="double">
        <color auto="1"/>
      </bottom>
      <diagonal/>
    </border>
    <border>
      <left/>
      <right style="thin">
        <color auto="1"/>
      </right>
      <top style="medium">
        <color auto="1"/>
      </top>
      <bottom style="double">
        <color auto="1"/>
      </bottom>
      <diagonal/>
    </border>
    <border>
      <left/>
      <right style="medium">
        <color auto="1"/>
      </right>
      <top style="medium">
        <color auto="1"/>
      </top>
      <bottom style="double">
        <color auto="1"/>
      </bottom>
      <diagonal/>
    </border>
    <border>
      <left style="medium">
        <color auto="1"/>
      </left>
      <right style="thin">
        <color auto="1"/>
      </right>
      <top/>
      <bottom style="thin">
        <color auto="1"/>
      </bottom>
      <diagonal/>
    </border>
    <border>
      <left style="medium">
        <color auto="1"/>
      </left>
      <right style="thin">
        <color auto="1"/>
      </right>
      <top style="thin">
        <color auto="1"/>
      </top>
      <bottom style="thin">
        <color auto="1"/>
      </bottom>
      <diagonal/>
    </border>
    <border>
      <left style="thick">
        <color auto="1"/>
      </left>
      <right/>
      <top style="medium">
        <color auto="1"/>
      </top>
      <bottom style="medium">
        <color auto="1"/>
      </bottom>
      <diagonal/>
    </border>
    <border>
      <left style="thick">
        <color auto="1"/>
      </left>
      <right style="thin">
        <color auto="1"/>
      </right>
      <top style="medium">
        <color auto="1"/>
      </top>
      <bottom style="medium">
        <color auto="1"/>
      </bottom>
      <diagonal/>
    </border>
    <border>
      <left style="thin">
        <color auto="1"/>
      </left>
      <right style="thick">
        <color auto="1"/>
      </right>
      <top style="medium">
        <color auto="1"/>
      </top>
      <bottom style="medium">
        <color auto="1"/>
      </bottom>
      <diagonal/>
    </border>
    <border>
      <left/>
      <right style="thin">
        <color auto="1"/>
      </right>
      <top style="medium">
        <color auto="1"/>
      </top>
      <bottom style="medium">
        <color auto="1"/>
      </bottom>
      <diagonal/>
    </border>
    <border>
      <left style="thick">
        <color auto="1"/>
      </left>
      <right style="thick">
        <color auto="1"/>
      </right>
      <top style="medium">
        <color auto="1"/>
      </top>
      <bottom style="double">
        <color auto="1"/>
      </bottom>
      <diagonal/>
    </border>
    <border>
      <left style="thin">
        <color auto="1"/>
      </left>
      <right/>
      <top style="medium">
        <color auto="1"/>
      </top>
      <bottom style="double">
        <color auto="1"/>
      </bottom>
      <diagonal/>
    </border>
    <border>
      <left style="thin">
        <color auto="1"/>
      </left>
      <right style="medium">
        <color auto="1"/>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style="thin">
        <color auto="1"/>
      </left>
      <right/>
      <top style="medium">
        <color auto="1"/>
      </top>
      <bottom/>
      <diagonal/>
    </border>
    <border>
      <left/>
      <right style="medium">
        <color auto="1"/>
      </right>
      <top style="thin">
        <color auto="1"/>
      </top>
      <bottom style="thin">
        <color auto="1"/>
      </bottom>
      <diagonal/>
    </border>
    <border>
      <left style="thick">
        <color auto="1"/>
      </left>
      <right style="thick">
        <color auto="1"/>
      </right>
      <top style="thin">
        <color auto="1"/>
      </top>
      <bottom style="thin">
        <color auto="1"/>
      </bottom>
      <diagonal/>
    </border>
    <border>
      <left style="medium">
        <color auto="1"/>
      </left>
      <right style="medium">
        <color auto="1"/>
      </right>
      <top style="thick">
        <color auto="1"/>
      </top>
      <bottom style="thick">
        <color auto="1"/>
      </bottom>
      <diagonal/>
    </border>
    <border>
      <left style="medium">
        <color auto="1"/>
      </left>
      <right style="thick">
        <color auto="1"/>
      </right>
      <top style="thick">
        <color auto="1"/>
      </top>
      <bottom style="thick">
        <color auto="1"/>
      </bottom>
      <diagonal/>
    </border>
    <border>
      <left/>
      <right/>
      <top style="thin">
        <color auto="1"/>
      </top>
      <bottom style="thin">
        <color auto="1"/>
      </bottom>
      <diagonal/>
    </border>
    <border>
      <left style="medium">
        <color auto="1"/>
      </left>
      <right style="medium">
        <color auto="1"/>
      </right>
      <top style="thick">
        <color auto="1"/>
      </top>
      <bottom/>
      <diagonal/>
    </border>
    <border>
      <left style="medium">
        <color auto="1"/>
      </left>
      <right style="thick">
        <color auto="1"/>
      </right>
      <top style="thick">
        <color auto="1"/>
      </top>
      <bottom/>
      <diagonal/>
    </border>
    <border>
      <left style="thin">
        <color auto="1"/>
      </left>
      <right/>
      <top style="thin">
        <color auto="1"/>
      </top>
      <bottom style="thin">
        <color auto="1"/>
      </bottom>
      <diagonal/>
    </border>
    <border>
      <left style="thick">
        <color auto="1"/>
      </left>
      <right/>
      <top/>
      <bottom style="thin">
        <color auto="1"/>
      </bottom>
      <diagonal/>
    </border>
    <border>
      <left style="thick">
        <color auto="1"/>
      </left>
      <right style="thin">
        <color auto="1"/>
      </right>
      <top/>
      <bottom style="thin">
        <color auto="1"/>
      </bottom>
      <diagonal/>
    </border>
    <border>
      <left style="thin">
        <color auto="1"/>
      </left>
      <right style="thick">
        <color auto="1"/>
      </right>
      <top/>
      <bottom style="thin">
        <color auto="1"/>
      </bottom>
      <diagonal/>
    </border>
    <border>
      <left/>
      <right style="medium">
        <color auto="1"/>
      </right>
      <top/>
      <bottom style="thin">
        <color auto="1"/>
      </bottom>
      <diagonal/>
    </border>
    <border>
      <left style="thin">
        <color auto="1"/>
      </left>
      <right style="thin">
        <color auto="1"/>
      </right>
      <top/>
      <bottom style="medium">
        <color auto="1"/>
      </bottom>
      <diagonal/>
    </border>
    <border>
      <left style="medium">
        <color auto="1"/>
      </left>
      <right style="thin">
        <color auto="1"/>
      </right>
      <top/>
      <bottom style="medium">
        <color auto="1"/>
      </bottom>
      <diagonal/>
    </border>
    <border>
      <left/>
      <right style="thick">
        <color auto="1"/>
      </right>
      <top style="thick">
        <color auto="1"/>
      </top>
      <bottom style="thick">
        <color auto="1"/>
      </bottom>
      <diagonal/>
    </border>
    <border>
      <left/>
      <right style="thin">
        <color auto="1"/>
      </right>
      <top style="thick">
        <color auto="1"/>
      </top>
      <bottom style="thick">
        <color auto="1"/>
      </bottom>
      <diagonal/>
    </border>
    <border>
      <left/>
      <right style="thin">
        <color auto="1"/>
      </right>
      <top style="thin">
        <color auto="1"/>
      </top>
      <bottom style="thin">
        <color auto="1"/>
      </bottom>
      <diagonal/>
    </border>
    <border>
      <left style="thin">
        <color auto="1"/>
      </left>
      <right/>
      <top style="medium">
        <color auto="1"/>
      </top>
      <bottom style="thin">
        <color auto="1"/>
      </bottom>
      <diagonal/>
    </border>
    <border>
      <left/>
      <right style="medium">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diagonal/>
    </border>
    <border>
      <left/>
      <right/>
      <top/>
      <bottom style="thick">
        <color theme="4"/>
      </bottom>
      <diagonal/>
    </border>
    <border>
      <left style="medium">
        <color auto="1"/>
      </left>
      <right style="medium">
        <color auto="1"/>
      </right>
      <top style="medium">
        <color auto="1"/>
      </top>
      <bottom style="thick">
        <color rgb="FF00B0F0"/>
      </bottom>
      <diagonal/>
    </border>
    <border>
      <left style="medium">
        <color auto="1"/>
      </left>
      <right style="thick">
        <color theme="3" tint="0.39994506668294322"/>
      </right>
      <top style="thick">
        <color theme="3" tint="0.39994506668294322"/>
      </top>
      <bottom style="medium">
        <color auto="1"/>
      </bottom>
      <diagonal/>
    </border>
    <border>
      <left/>
      <right style="thick">
        <color rgb="FF00B0F0"/>
      </right>
      <top/>
      <bottom/>
      <diagonal/>
    </border>
    <border>
      <left style="thin">
        <color theme="6"/>
      </left>
      <right/>
      <top style="thin">
        <color theme="7" tint="0.39997558519241921"/>
      </top>
      <bottom style="thin">
        <color theme="7" tint="0.39997558519241921"/>
      </bottom>
      <diagonal/>
    </border>
    <border>
      <left/>
      <right/>
      <top style="thin">
        <color theme="7" tint="0.39997558519241921"/>
      </top>
      <bottom style="thin">
        <color theme="7" tint="0.39997558519241921"/>
      </bottom>
      <diagonal/>
    </border>
    <border>
      <left style="medium">
        <color auto="1"/>
      </left>
      <right/>
      <top/>
      <bottom style="thick">
        <color rgb="FF00B0F0"/>
      </bottom>
      <diagonal/>
    </border>
    <border>
      <left/>
      <right style="medium">
        <color auto="1"/>
      </right>
      <top/>
      <bottom style="thick">
        <color rgb="FF00B0F0"/>
      </bottom>
      <diagonal/>
    </border>
    <border>
      <left style="thick">
        <color rgb="FF00B0F0"/>
      </left>
      <right/>
      <top/>
      <bottom style="thick">
        <color rgb="FF00B0F0"/>
      </bottom>
      <diagonal/>
    </border>
    <border>
      <left style="thick">
        <color rgb="FF00B0F0"/>
      </left>
      <right/>
      <top/>
      <bottom/>
      <diagonal/>
    </border>
    <border>
      <left style="thick">
        <color rgb="FF00B0F0"/>
      </left>
      <right/>
      <top style="thick">
        <color rgb="FF00B0F0"/>
      </top>
      <bottom/>
      <diagonal/>
    </border>
    <border>
      <left/>
      <right/>
      <top style="thick">
        <color rgb="FF00B0F0"/>
      </top>
      <bottom/>
      <diagonal/>
    </border>
    <border>
      <left style="medium">
        <color auto="1"/>
      </left>
      <right style="thick">
        <color rgb="FF00B0F0"/>
      </right>
      <top style="medium">
        <color auto="1"/>
      </top>
      <bottom/>
      <diagonal/>
    </border>
    <border>
      <left style="medium">
        <color auto="1"/>
      </left>
      <right style="thick">
        <color rgb="FF00B0F0"/>
      </right>
      <top/>
      <bottom style="medium">
        <color auto="1"/>
      </bottom>
      <diagonal/>
    </border>
    <border>
      <left style="medium">
        <color auto="1"/>
      </left>
      <right/>
      <top style="thick">
        <color theme="3" tint="0.39994506668294322"/>
      </top>
      <bottom style="medium">
        <color auto="1"/>
      </bottom>
      <diagonal/>
    </border>
    <border>
      <left/>
      <right/>
      <top style="thick">
        <color theme="3" tint="0.39994506668294322"/>
      </top>
      <bottom style="medium">
        <color auto="1"/>
      </bottom>
      <diagonal/>
    </border>
    <border>
      <left/>
      <right style="medium">
        <color auto="1"/>
      </right>
      <top style="thick">
        <color theme="3" tint="0.39994506668294322"/>
      </top>
      <bottom style="medium">
        <color auto="1"/>
      </bottom>
      <diagonal/>
    </border>
    <border>
      <left/>
      <right style="thick">
        <color rgb="FF00B0F0"/>
      </right>
      <top/>
      <bottom style="thick">
        <color rgb="FF00B0F0"/>
      </bottom>
      <diagonal/>
    </border>
  </borders>
  <cellStyleXfs count="66">
    <xf numFmtId="38" fontId="0" fillId="0" borderId="0"/>
    <xf numFmtId="168" fontId="5" fillId="0" borderId="0"/>
    <xf numFmtId="38" fontId="5" fillId="2" borderId="0" applyNumberFormat="0" applyFont="0" applyBorder="0" applyAlignment="0"/>
    <xf numFmtId="169" fontId="5" fillId="0" borderId="0"/>
    <xf numFmtId="43" fontId="5" fillId="0" borderId="0" applyFont="0" applyFill="0" applyBorder="0" applyAlignment="0" applyProtection="0"/>
    <xf numFmtId="169" fontId="2" fillId="0" borderId="0" applyFont="0" applyFill="0" applyBorder="0" applyAlignment="0" applyProtection="0"/>
    <xf numFmtId="43" fontId="23" fillId="0" borderId="0" applyFont="0" applyFill="0" applyBorder="0" applyAlignment="0" applyProtection="0"/>
    <xf numFmtId="38" fontId="12" fillId="3" borderId="0" applyNumberFormat="0" applyBorder="0" applyAlignment="0">
      <protection locked="0"/>
    </xf>
    <xf numFmtId="44" fontId="23" fillId="0" borderId="0" applyFont="0" applyFill="0" applyBorder="0" applyAlignment="0" applyProtection="0"/>
    <xf numFmtId="44" fontId="1" fillId="0" borderId="0" applyFont="0" applyFill="0" applyBorder="0" applyAlignment="0" applyProtection="0"/>
    <xf numFmtId="44" fontId="23" fillId="0" borderId="0" applyFont="0" applyFill="0" applyBorder="0" applyAlignment="0" applyProtection="0"/>
    <xf numFmtId="38" fontId="5" fillId="4" borderId="1" applyNumberFormat="0" applyFont="0" applyBorder="0" applyAlignment="0"/>
    <xf numFmtId="0" fontId="85" fillId="0" borderId="132" applyNumberFormat="0" applyFill="0" applyAlignment="0" applyProtection="0"/>
    <xf numFmtId="0" fontId="86" fillId="0" borderId="0" applyNumberFormat="0" applyFill="0" applyBorder="0" applyAlignment="0" applyProtection="0"/>
    <xf numFmtId="0" fontId="87" fillId="0" borderId="0" applyNumberFormat="0" applyFill="0" applyBorder="0" applyAlignment="0" applyProtection="0">
      <alignment vertical="top"/>
      <protection locked="0"/>
    </xf>
    <xf numFmtId="38" fontId="5" fillId="5" borderId="0" applyNumberFormat="0" applyBorder="0" applyAlignment="0">
      <protection locked="0"/>
    </xf>
    <xf numFmtId="38" fontId="10" fillId="0" borderId="0" applyFill="0" applyBorder="0" applyAlignment="0"/>
    <xf numFmtId="0" fontId="14" fillId="6" borderId="0" applyNumberFormat="0" applyBorder="0" applyAlignment="0">
      <protection locked="0"/>
    </xf>
    <xf numFmtId="43" fontId="74" fillId="0" borderId="0" applyFont="0" applyFill="0" applyBorder="0" applyAlignment="0" applyProtection="0"/>
    <xf numFmtId="165" fontId="5" fillId="0" borderId="0" applyFont="0" applyFill="0" applyBorder="0" applyAlignment="0"/>
    <xf numFmtId="0" fontId="83" fillId="0" borderId="0"/>
    <xf numFmtId="0" fontId="83" fillId="0" borderId="0"/>
    <xf numFmtId="169" fontId="20" fillId="0" borderId="0" applyFill="0" applyBorder="0"/>
    <xf numFmtId="0" fontId="16" fillId="0" borderId="0"/>
    <xf numFmtId="38" fontId="18" fillId="7" borderId="2">
      <alignment horizontal="center" vertical="center" wrapText="1"/>
    </xf>
    <xf numFmtId="4" fontId="5" fillId="8" borderId="0" applyFont="0" applyBorder="0" applyAlignment="0">
      <protection locked="0"/>
    </xf>
    <xf numFmtId="9" fontId="2" fillId="0" borderId="0" applyFont="0" applyFill="0" applyBorder="0" applyAlignment="0" applyProtection="0"/>
    <xf numFmtId="9" fontId="23"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38" fontId="11" fillId="9" borderId="3" applyNumberFormat="0" applyBorder="0"/>
    <xf numFmtId="38" fontId="3" fillId="9" borderId="0" applyNumberFormat="0" applyFill="0" applyBorder="0"/>
    <xf numFmtId="0" fontId="13" fillId="0" borderId="0">
      <alignment vertical="center"/>
    </xf>
    <xf numFmtId="38" fontId="15" fillId="10" borderId="2" applyNumberFormat="0">
      <alignment horizontal="center" wrapText="1"/>
    </xf>
    <xf numFmtId="38" fontId="112" fillId="0" borderId="0" applyNumberFormat="0" applyFill="0" applyBorder="0" applyAlignment="0" applyProtection="0"/>
    <xf numFmtId="38" fontId="112" fillId="0" borderId="0" applyNumberFormat="0" applyFill="0" applyBorder="0" applyAlignment="0" applyProtection="0"/>
    <xf numFmtId="38" fontId="112" fillId="0" borderId="0" applyNumberFormat="0" applyFill="0" applyBorder="0" applyAlignment="0" applyProtection="0"/>
    <xf numFmtId="38" fontId="112" fillId="0" borderId="0" applyNumberFormat="0" applyFill="0" applyBorder="0" applyAlignment="0" applyProtection="0"/>
    <xf numFmtId="38" fontId="112" fillId="0" borderId="0" applyNumberFormat="0" applyFill="0" applyBorder="0" applyAlignment="0" applyProtection="0"/>
    <xf numFmtId="38" fontId="112" fillId="0" borderId="0" applyNumberFormat="0" applyFill="0" applyBorder="0" applyAlignment="0" applyProtection="0"/>
    <xf numFmtId="38" fontId="112" fillId="0" borderId="0" applyNumberFormat="0" applyFill="0" applyBorder="0" applyAlignment="0" applyProtection="0"/>
    <xf numFmtId="38" fontId="112" fillId="0" borderId="0" applyNumberFormat="0" applyFill="0" applyBorder="0" applyAlignment="0" applyProtection="0"/>
    <xf numFmtId="38" fontId="112" fillId="0" borderId="0" applyNumberFormat="0" applyFill="0" applyBorder="0" applyAlignment="0" applyProtection="0"/>
    <xf numFmtId="38" fontId="112" fillId="0" borderId="0" applyNumberFormat="0" applyFill="0" applyBorder="0" applyAlignment="0" applyProtection="0"/>
    <xf numFmtId="38" fontId="112" fillId="0" borderId="0" applyNumberFormat="0" applyFill="0" applyBorder="0" applyAlignment="0" applyProtection="0"/>
    <xf numFmtId="38" fontId="112" fillId="0" borderId="0" applyNumberFormat="0" applyFill="0" applyBorder="0" applyAlignment="0" applyProtection="0"/>
    <xf numFmtId="38" fontId="112" fillId="0" borderId="0" applyNumberFormat="0" applyFill="0" applyBorder="0" applyAlignment="0" applyProtection="0"/>
    <xf numFmtId="38" fontId="112" fillId="0" borderId="0" applyNumberFormat="0" applyFill="0" applyBorder="0" applyAlignment="0" applyProtection="0"/>
    <xf numFmtId="38" fontId="112" fillId="0" borderId="0" applyNumberFormat="0" applyFill="0" applyBorder="0" applyAlignment="0" applyProtection="0"/>
    <xf numFmtId="38" fontId="112" fillId="0" borderId="0" applyNumberFormat="0" applyFill="0" applyBorder="0" applyAlignment="0" applyProtection="0"/>
    <xf numFmtId="38" fontId="112" fillId="0" borderId="0" applyNumberFormat="0" applyFill="0" applyBorder="0" applyAlignment="0" applyProtection="0"/>
    <xf numFmtId="38" fontId="112" fillId="0" borderId="0" applyNumberFormat="0" applyFill="0" applyBorder="0" applyAlignment="0" applyProtection="0"/>
    <xf numFmtId="38" fontId="112" fillId="0" borderId="0" applyNumberFormat="0" applyFill="0" applyBorder="0" applyAlignment="0" applyProtection="0"/>
    <xf numFmtId="38" fontId="112" fillId="0" borderId="0" applyNumberFormat="0" applyFill="0" applyBorder="0" applyAlignment="0" applyProtection="0"/>
    <xf numFmtId="38" fontId="112" fillId="0" borderId="0" applyNumberFormat="0" applyFill="0" applyBorder="0" applyAlignment="0" applyProtection="0"/>
    <xf numFmtId="38" fontId="112" fillId="0" borderId="0" applyNumberFormat="0" applyFill="0" applyBorder="0" applyAlignment="0" applyProtection="0"/>
    <xf numFmtId="38" fontId="112" fillId="0" borderId="0" applyNumberFormat="0" applyFill="0" applyBorder="0" applyAlignment="0" applyProtection="0"/>
    <xf numFmtId="38" fontId="112" fillId="0" borderId="0" applyNumberFormat="0" applyFill="0" applyBorder="0" applyAlignment="0" applyProtection="0"/>
    <xf numFmtId="38" fontId="112" fillId="0" borderId="0" applyNumberFormat="0" applyFill="0" applyBorder="0" applyAlignment="0" applyProtection="0"/>
    <xf numFmtId="38" fontId="112" fillId="0" borderId="0" applyNumberFormat="0" applyFill="0" applyBorder="0" applyAlignment="0" applyProtection="0"/>
    <xf numFmtId="38" fontId="112" fillId="0" borderId="0" applyNumberFormat="0" applyFill="0" applyBorder="0" applyAlignment="0" applyProtection="0"/>
    <xf numFmtId="38" fontId="112" fillId="0" borderId="0" applyNumberFormat="0" applyFill="0" applyBorder="0" applyAlignment="0" applyProtection="0"/>
    <xf numFmtId="38" fontId="112" fillId="0" borderId="0" applyNumberFormat="0" applyFill="0" applyBorder="0" applyAlignment="0" applyProtection="0"/>
    <xf numFmtId="38" fontId="112" fillId="0" borderId="0" applyNumberFormat="0" applyFill="0" applyBorder="0" applyAlignment="0" applyProtection="0"/>
    <xf numFmtId="38" fontId="112" fillId="0" borderId="0" applyNumberFormat="0" applyFill="0" applyBorder="0" applyAlignment="0" applyProtection="0"/>
    <xf numFmtId="38" fontId="112" fillId="0" borderId="0" applyNumberFormat="0" applyFill="0" applyBorder="0" applyAlignment="0" applyProtection="0"/>
  </cellStyleXfs>
  <cellXfs count="1083">
    <xf numFmtId="38" fontId="0" fillId="0" borderId="0" xfId="0"/>
    <xf numFmtId="38" fontId="0" fillId="0" borderId="0" xfId="0" applyAlignment="1">
      <alignment horizontal="center"/>
    </xf>
    <xf numFmtId="38" fontId="0" fillId="9" borderId="0" xfId="0" applyFill="1"/>
    <xf numFmtId="38" fontId="0" fillId="0" borderId="0" xfId="0" quotePrefix="1"/>
    <xf numFmtId="38" fontId="4" fillId="0" borderId="0" xfId="0" applyFont="1"/>
    <xf numFmtId="40" fontId="0" fillId="0" borderId="0" xfId="0" applyNumberFormat="1"/>
    <xf numFmtId="164" fontId="0" fillId="0" borderId="0" xfId="0" applyNumberFormat="1"/>
    <xf numFmtId="164" fontId="5" fillId="5" borderId="0" xfId="15" applyNumberFormat="1">
      <protection locked="0"/>
    </xf>
    <xf numFmtId="38" fontId="12" fillId="3" borderId="0" xfId="7">
      <protection locked="0"/>
    </xf>
    <xf numFmtId="164" fontId="5" fillId="0" borderId="0" xfId="26" applyNumberFormat="1" applyFont="1"/>
    <xf numFmtId="38" fontId="11" fillId="9" borderId="0" xfId="30" applyBorder="1"/>
    <xf numFmtId="38" fontId="0" fillId="9" borderId="4" xfId="0" applyFill="1" applyBorder="1"/>
    <xf numFmtId="38" fontId="0" fillId="9" borderId="5" xfId="0" applyFill="1" applyBorder="1" applyAlignment="1">
      <alignment horizontal="center" vertical="center" wrapText="1"/>
    </xf>
    <xf numFmtId="38" fontId="0" fillId="9" borderId="6" xfId="0" applyFill="1" applyBorder="1" applyAlignment="1">
      <alignment horizontal="center" vertical="center" wrapText="1"/>
    </xf>
    <xf numFmtId="38" fontId="6" fillId="9" borderId="6" xfId="0" applyFont="1" applyFill="1" applyBorder="1" applyAlignment="1">
      <alignment horizontal="center" vertical="center" wrapText="1"/>
    </xf>
    <xf numFmtId="170" fontId="0" fillId="0" borderId="0" xfId="5" quotePrefix="1" applyNumberFormat="1" applyFont="1" applyBorder="1"/>
    <xf numFmtId="10" fontId="0" fillId="0" borderId="0" xfId="26" applyNumberFormat="1" applyFont="1"/>
    <xf numFmtId="38" fontId="17" fillId="9" borderId="0" xfId="0" applyFont="1" applyFill="1"/>
    <xf numFmtId="38" fontId="19" fillId="9" borderId="0" xfId="30" applyFont="1" applyBorder="1"/>
    <xf numFmtId="164" fontId="5" fillId="0" borderId="2" xfId="26" applyNumberFormat="1" applyFont="1" applyBorder="1"/>
    <xf numFmtId="0" fontId="83" fillId="0" borderId="0" xfId="20"/>
    <xf numFmtId="0" fontId="83" fillId="0" borderId="0" xfId="20" applyAlignment="1">
      <alignment horizontal="left" indent="1" shrinkToFit="1"/>
    </xf>
    <xf numFmtId="0" fontId="83" fillId="0" borderId="0" xfId="20" applyAlignment="1">
      <alignment horizontal="right"/>
    </xf>
    <xf numFmtId="0" fontId="0" fillId="0" borderId="0" xfId="0" applyNumberFormat="1"/>
    <xf numFmtId="0" fontId="83" fillId="0" borderId="0" xfId="21"/>
    <xf numFmtId="172" fontId="83" fillId="0" borderId="0" xfId="21" applyNumberFormat="1"/>
    <xf numFmtId="172" fontId="83" fillId="0" borderId="7" xfId="21" applyNumberFormat="1" applyBorder="1"/>
    <xf numFmtId="172" fontId="83" fillId="0" borderId="0" xfId="21" applyNumberFormat="1" applyBorder="1"/>
    <xf numFmtId="172" fontId="83" fillId="0" borderId="1" xfId="21" applyNumberFormat="1" applyBorder="1"/>
    <xf numFmtId="0" fontId="83" fillId="0" borderId="0" xfId="21" applyAlignment="1">
      <alignment horizontal="left" indent="1"/>
    </xf>
    <xf numFmtId="9" fontId="0" fillId="0" borderId="0" xfId="27" applyFont="1" applyAlignment="1">
      <alignment horizontal="center"/>
    </xf>
    <xf numFmtId="0" fontId="23" fillId="0" borderId="0" xfId="20" applyFont="1"/>
    <xf numFmtId="0" fontId="27" fillId="0" borderId="0" xfId="20" applyFont="1" applyAlignment="1">
      <alignment horizontal="left" indent="2"/>
    </xf>
    <xf numFmtId="0" fontId="23" fillId="0" borderId="0" xfId="21" applyFont="1" applyAlignment="1">
      <alignment horizontal="left" indent="1"/>
    </xf>
    <xf numFmtId="172" fontId="23" fillId="0" borderId="0" xfId="21" applyNumberFormat="1" applyFont="1" applyBorder="1"/>
    <xf numFmtId="172" fontId="27" fillId="0" borderId="7" xfId="21" applyNumberFormat="1" applyFont="1" applyBorder="1"/>
    <xf numFmtId="0" fontId="83" fillId="0" borderId="0" xfId="21" applyAlignment="1">
      <alignment horizontal="center"/>
    </xf>
    <xf numFmtId="0" fontId="83" fillId="0" borderId="0" xfId="21" applyAlignment="1">
      <alignment horizontal="center" shrinkToFit="1"/>
    </xf>
    <xf numFmtId="0" fontId="24" fillId="11" borderId="8" xfId="21" applyFont="1" applyFill="1" applyBorder="1" applyAlignment="1">
      <alignment horizontal="center" shrinkToFit="1"/>
    </xf>
    <xf numFmtId="172" fontId="83" fillId="0" borderId="1" xfId="21" applyNumberFormat="1" applyBorder="1" applyAlignment="1">
      <alignment shrinkToFit="1"/>
    </xf>
    <xf numFmtId="172" fontId="83" fillId="0" borderId="9" xfId="21" applyNumberFormat="1" applyBorder="1" applyAlignment="1">
      <alignment shrinkToFit="1"/>
    </xf>
    <xf numFmtId="172" fontId="83" fillId="0" borderId="10" xfId="21" applyNumberFormat="1" applyBorder="1" applyAlignment="1">
      <alignment shrinkToFit="1"/>
    </xf>
    <xf numFmtId="172" fontId="83" fillId="0" borderId="11" xfId="21" applyNumberFormat="1" applyBorder="1" applyAlignment="1">
      <alignment shrinkToFit="1"/>
    </xf>
    <xf numFmtId="173" fontId="83" fillId="0" borderId="1" xfId="21" applyNumberFormat="1" applyBorder="1" applyAlignment="1">
      <alignment shrinkToFit="1"/>
    </xf>
    <xf numFmtId="173" fontId="83" fillId="0" borderId="9" xfId="21" applyNumberFormat="1" applyBorder="1" applyAlignment="1">
      <alignment shrinkToFit="1"/>
    </xf>
    <xf numFmtId="173" fontId="83" fillId="0" borderId="10" xfId="21" applyNumberFormat="1" applyBorder="1" applyAlignment="1">
      <alignment shrinkToFit="1"/>
    </xf>
    <xf numFmtId="173" fontId="83" fillId="0" borderId="11" xfId="21" applyNumberFormat="1" applyBorder="1" applyAlignment="1">
      <alignment shrinkToFit="1"/>
    </xf>
    <xf numFmtId="172" fontId="27" fillId="0" borderId="10" xfId="21" applyNumberFormat="1" applyFont="1" applyBorder="1" applyAlignment="1">
      <alignment shrinkToFit="1"/>
    </xf>
    <xf numFmtId="9" fontId="25" fillId="9" borderId="1" xfId="29" applyFont="1" applyFill="1" applyBorder="1" applyAlignment="1">
      <alignment shrinkToFit="1"/>
    </xf>
    <xf numFmtId="9" fontId="25" fillId="9" borderId="9" xfId="29" applyFont="1" applyFill="1" applyBorder="1" applyAlignment="1">
      <alignment shrinkToFit="1"/>
    </xf>
    <xf numFmtId="9" fontId="25" fillId="9" borderId="10" xfId="29" applyFont="1" applyFill="1" applyBorder="1" applyAlignment="1">
      <alignment shrinkToFit="1"/>
    </xf>
    <xf numFmtId="9" fontId="25" fillId="9" borderId="11" xfId="29" applyFont="1" applyFill="1" applyBorder="1" applyAlignment="1">
      <alignment shrinkToFit="1"/>
    </xf>
    <xf numFmtId="9" fontId="0" fillId="0" borderId="1" xfId="29" applyFont="1" applyBorder="1" applyAlignment="1">
      <alignment shrinkToFit="1"/>
    </xf>
    <xf numFmtId="9" fontId="0" fillId="0" borderId="9" xfId="29" applyFont="1" applyBorder="1" applyAlignment="1">
      <alignment shrinkToFit="1"/>
    </xf>
    <xf numFmtId="9" fontId="0" fillId="0" borderId="10" xfId="29" applyFont="1" applyBorder="1" applyAlignment="1">
      <alignment shrinkToFit="1"/>
    </xf>
    <xf numFmtId="9" fontId="0" fillId="0" borderId="11" xfId="29" applyFont="1" applyBorder="1" applyAlignment="1">
      <alignment shrinkToFit="1"/>
    </xf>
    <xf numFmtId="9" fontId="25" fillId="9" borderId="10" xfId="29" applyNumberFormat="1" applyFont="1" applyFill="1" applyBorder="1" applyAlignment="1">
      <alignment shrinkToFit="1"/>
    </xf>
    <xf numFmtId="9" fontId="25" fillId="9" borderId="11" xfId="29" applyNumberFormat="1" applyFont="1" applyFill="1" applyBorder="1" applyAlignment="1">
      <alignment shrinkToFit="1"/>
    </xf>
    <xf numFmtId="9" fontId="25" fillId="9" borderId="9" xfId="29" applyNumberFormat="1" applyFont="1" applyFill="1" applyBorder="1" applyAlignment="1">
      <alignment shrinkToFit="1"/>
    </xf>
    <xf numFmtId="0" fontId="24" fillId="11" borderId="12" xfId="21" applyFont="1" applyFill="1" applyBorder="1" applyAlignment="1">
      <alignment shrinkToFit="1"/>
    </xf>
    <xf numFmtId="0" fontId="83" fillId="0" borderId="1" xfId="21" applyBorder="1" applyAlignment="1">
      <alignment shrinkToFit="1"/>
    </xf>
    <xf numFmtId="0" fontId="30" fillId="11" borderId="1" xfId="21" applyFont="1" applyFill="1" applyBorder="1" applyAlignment="1">
      <alignment shrinkToFit="1"/>
    </xf>
    <xf numFmtId="0" fontId="25" fillId="9" borderId="1" xfId="21" applyFont="1" applyFill="1" applyBorder="1" applyAlignment="1">
      <alignment shrinkToFit="1"/>
    </xf>
    <xf numFmtId="0" fontId="30" fillId="11" borderId="1" xfId="21" applyFont="1" applyFill="1" applyBorder="1" applyAlignment="1">
      <alignment horizontal="left" shrinkToFit="1"/>
    </xf>
    <xf numFmtId="0" fontId="25" fillId="9" borderId="1" xfId="21" applyFont="1" applyFill="1" applyBorder="1" applyAlignment="1">
      <alignment horizontal="left" shrinkToFit="1"/>
    </xf>
    <xf numFmtId="0" fontId="28" fillId="0" borderId="1" xfId="21" applyFont="1" applyBorder="1" applyAlignment="1">
      <alignment horizontal="left" shrinkToFit="1"/>
    </xf>
    <xf numFmtId="0" fontId="25" fillId="0" borderId="13" xfId="21" applyFont="1" applyBorder="1" applyAlignment="1">
      <alignment horizontal="left" shrinkToFit="1"/>
    </xf>
    <xf numFmtId="0" fontId="83" fillId="0" borderId="1" xfId="21" applyBorder="1" applyAlignment="1">
      <alignment horizontal="left" indent="1" shrinkToFit="1"/>
    </xf>
    <xf numFmtId="0" fontId="27" fillId="0" borderId="1" xfId="21" applyFont="1" applyBorder="1" applyAlignment="1">
      <alignment horizontal="left" indent="1" shrinkToFit="1"/>
    </xf>
    <xf numFmtId="0" fontId="28" fillId="0" borderId="1" xfId="21" applyFont="1" applyBorder="1" applyAlignment="1">
      <alignment horizontal="left" indent="1" shrinkToFit="1"/>
    </xf>
    <xf numFmtId="0" fontId="31" fillId="0" borderId="0" xfId="21" applyFont="1" applyBorder="1" applyAlignment="1">
      <alignment horizontal="center" shrinkToFit="1"/>
    </xf>
    <xf numFmtId="0" fontId="31" fillId="0" borderId="0" xfId="21" quotePrefix="1" applyFont="1" applyBorder="1" applyAlignment="1">
      <alignment horizontal="center" shrinkToFit="1"/>
    </xf>
    <xf numFmtId="0" fontId="32" fillId="11" borderId="0" xfId="21" applyFont="1" applyFill="1" applyBorder="1" applyAlignment="1">
      <alignment horizontal="center" shrinkToFit="1"/>
    </xf>
    <xf numFmtId="0" fontId="33" fillId="0" borderId="0" xfId="21" applyFont="1" applyBorder="1" applyAlignment="1">
      <alignment horizontal="center" shrinkToFit="1"/>
    </xf>
    <xf numFmtId="0" fontId="32" fillId="9" borderId="0" xfId="21" applyFont="1" applyFill="1" applyBorder="1" applyAlignment="1">
      <alignment horizontal="center" shrinkToFit="1"/>
    </xf>
    <xf numFmtId="0" fontId="32" fillId="0" borderId="14" xfId="21" applyFont="1" applyBorder="1" applyAlignment="1">
      <alignment horizontal="center" shrinkToFit="1"/>
    </xf>
    <xf numFmtId="172" fontId="27" fillId="0" borderId="0" xfId="21" applyNumberFormat="1" applyFont="1"/>
    <xf numFmtId="173" fontId="27" fillId="0" borderId="10" xfId="21" applyNumberFormat="1" applyFont="1" applyBorder="1" applyAlignment="1">
      <alignment shrinkToFit="1"/>
    </xf>
    <xf numFmtId="9" fontId="34" fillId="9" borderId="10" xfId="29" applyFont="1" applyFill="1" applyBorder="1" applyAlignment="1">
      <alignment shrinkToFit="1"/>
    </xf>
    <xf numFmtId="9" fontId="10" fillId="0" borderId="10" xfId="29" applyFont="1" applyBorder="1" applyAlignment="1">
      <alignment shrinkToFit="1"/>
    </xf>
    <xf numFmtId="9" fontId="34" fillId="9" borderId="10" xfId="29" applyNumberFormat="1" applyFont="1" applyFill="1" applyBorder="1" applyAlignment="1">
      <alignment shrinkToFit="1"/>
    </xf>
    <xf numFmtId="0" fontId="27" fillId="0" borderId="0" xfId="21" applyFont="1"/>
    <xf numFmtId="0" fontId="83" fillId="0" borderId="15" xfId="21" applyBorder="1" applyAlignment="1">
      <alignment horizontal="center" shrinkToFit="1"/>
    </xf>
    <xf numFmtId="0" fontId="83" fillId="0" borderId="16" xfId="21" applyBorder="1" applyAlignment="1">
      <alignment horizontal="center" shrinkToFit="1"/>
    </xf>
    <xf numFmtId="0" fontId="83" fillId="0" borderId="17" xfId="21" applyBorder="1" applyAlignment="1">
      <alignment horizontal="center" shrinkToFit="1"/>
    </xf>
    <xf numFmtId="38" fontId="0" fillId="12" borderId="0" xfId="0" applyFill="1"/>
    <xf numFmtId="9" fontId="4" fillId="12" borderId="18" xfId="26" applyFont="1" applyFill="1" applyBorder="1"/>
    <xf numFmtId="0" fontId="36" fillId="0" borderId="0" xfId="21" applyFont="1"/>
    <xf numFmtId="0" fontId="29" fillId="0" borderId="0" xfId="21" applyFont="1" applyAlignment="1">
      <alignment horizontal="left" vertical="center"/>
    </xf>
    <xf numFmtId="5" fontId="0" fillId="0" borderId="12" xfId="10" applyNumberFormat="1" applyFont="1" applyBorder="1"/>
    <xf numFmtId="5" fontId="0" fillId="0" borderId="19" xfId="10" applyNumberFormat="1" applyFont="1" applyBorder="1"/>
    <xf numFmtId="5" fontId="0" fillId="0" borderId="8" xfId="10" applyNumberFormat="1" applyFont="1" applyBorder="1"/>
    <xf numFmtId="9" fontId="83" fillId="0" borderId="1" xfId="21" applyNumberFormat="1" applyBorder="1"/>
    <xf numFmtId="9" fontId="83" fillId="0" borderId="0" xfId="21" applyNumberFormat="1" applyBorder="1"/>
    <xf numFmtId="9" fontId="83" fillId="0" borderId="7" xfId="21" applyNumberFormat="1" applyBorder="1"/>
    <xf numFmtId="172" fontId="23" fillId="0" borderId="1" xfId="21" applyNumberFormat="1" applyFont="1" applyBorder="1"/>
    <xf numFmtId="172" fontId="23" fillId="0" borderId="7" xfId="21" applyNumberFormat="1" applyFont="1" applyBorder="1"/>
    <xf numFmtId="0" fontId="27" fillId="0" borderId="1" xfId="21" applyFont="1" applyBorder="1" applyAlignment="1">
      <alignment horizontal="left" indent="2" shrinkToFit="1"/>
    </xf>
    <xf numFmtId="9" fontId="28" fillId="0" borderId="1" xfId="26" applyFont="1" applyBorder="1" applyAlignment="1">
      <alignment shrinkToFit="1"/>
    </xf>
    <xf numFmtId="9" fontId="28" fillId="0" borderId="9" xfId="26" applyFont="1" applyBorder="1" applyAlignment="1">
      <alignment shrinkToFit="1"/>
    </xf>
    <xf numFmtId="9" fontId="28" fillId="0" borderId="10" xfId="26" applyFont="1" applyBorder="1" applyAlignment="1">
      <alignment shrinkToFit="1"/>
    </xf>
    <xf numFmtId="9" fontId="28" fillId="0" borderId="11" xfId="26" applyFont="1" applyBorder="1" applyAlignment="1">
      <alignment shrinkToFit="1"/>
    </xf>
    <xf numFmtId="38" fontId="6" fillId="9" borderId="20" xfId="0" applyFont="1" applyFill="1" applyBorder="1" applyAlignment="1">
      <alignment horizontal="center" vertical="center" wrapText="1"/>
    </xf>
    <xf numFmtId="38" fontId="6" fillId="9" borderId="21" xfId="0" applyFont="1" applyFill="1" applyBorder="1" applyAlignment="1">
      <alignment horizontal="center" vertical="center" wrapText="1"/>
    </xf>
    <xf numFmtId="164" fontId="22" fillId="5" borderId="2" xfId="29" applyNumberFormat="1" applyFont="1" applyFill="1" applyBorder="1" applyAlignment="1" applyProtection="1">
      <alignment horizontal="center" vertical="center" shrinkToFit="1"/>
      <protection locked="0"/>
    </xf>
    <xf numFmtId="38" fontId="40" fillId="0" borderId="0" xfId="0" applyFont="1"/>
    <xf numFmtId="38" fontId="7" fillId="0" borderId="0" xfId="0" applyFont="1"/>
    <xf numFmtId="38" fontId="41" fillId="9" borderId="2" xfId="0" applyFont="1" applyFill="1" applyBorder="1" applyAlignment="1">
      <alignment vertical="top" wrapText="1"/>
    </xf>
    <xf numFmtId="38" fontId="42" fillId="9" borderId="0" xfId="0" applyFont="1" applyFill="1"/>
    <xf numFmtId="38" fontId="0" fillId="9" borderId="0" xfId="0" applyFill="1" applyAlignment="1">
      <alignment horizontal="right"/>
    </xf>
    <xf numFmtId="38" fontId="37" fillId="13" borderId="2" xfId="20" applyNumberFormat="1" applyFont="1" applyFill="1" applyBorder="1" applyAlignment="1">
      <alignment horizontal="center"/>
    </xf>
    <xf numFmtId="9" fontId="37" fillId="13" borderId="2" xfId="26" applyFont="1" applyFill="1" applyBorder="1" applyAlignment="1">
      <alignment horizontal="center"/>
    </xf>
    <xf numFmtId="9" fontId="0" fillId="5" borderId="1" xfId="29" applyFont="1" applyFill="1" applyBorder="1" applyAlignment="1" applyProtection="1">
      <alignment shrinkToFit="1"/>
      <protection locked="0"/>
    </xf>
    <xf numFmtId="9" fontId="0" fillId="5" borderId="9" xfId="29" applyFont="1" applyFill="1" applyBorder="1" applyAlignment="1" applyProtection="1">
      <alignment shrinkToFit="1"/>
      <protection locked="0"/>
    </xf>
    <xf numFmtId="9" fontId="10" fillId="5" borderId="10" xfId="29" applyFont="1" applyFill="1" applyBorder="1" applyAlignment="1" applyProtection="1">
      <alignment shrinkToFit="1"/>
      <protection locked="0"/>
    </xf>
    <xf numFmtId="9" fontId="0" fillId="5" borderId="11" xfId="29" applyFont="1" applyFill="1" applyBorder="1" applyAlignment="1" applyProtection="1">
      <alignment shrinkToFit="1"/>
      <protection locked="0"/>
    </xf>
    <xf numFmtId="9" fontId="0" fillId="5" borderId="10" xfId="29" applyFont="1" applyFill="1" applyBorder="1" applyAlignment="1" applyProtection="1">
      <alignment shrinkToFit="1"/>
      <protection locked="0"/>
    </xf>
    <xf numFmtId="3" fontId="83" fillId="5" borderId="1" xfId="21" applyNumberFormat="1" applyFill="1" applyBorder="1" applyAlignment="1" applyProtection="1">
      <alignment shrinkToFit="1"/>
      <protection locked="0"/>
    </xf>
    <xf numFmtId="3" fontId="83" fillId="5" borderId="9" xfId="21" applyNumberFormat="1" applyFill="1" applyBorder="1" applyAlignment="1" applyProtection="1">
      <alignment shrinkToFit="1"/>
      <protection locked="0"/>
    </xf>
    <xf numFmtId="3" fontId="27" fillId="5" borderId="10" xfId="21" applyNumberFormat="1" applyFont="1" applyFill="1" applyBorder="1" applyAlignment="1" applyProtection="1">
      <alignment shrinkToFit="1"/>
      <protection locked="0"/>
    </xf>
    <xf numFmtId="3" fontId="83" fillId="5" borderId="11" xfId="21" applyNumberFormat="1" applyFill="1" applyBorder="1" applyAlignment="1" applyProtection="1">
      <alignment shrinkToFit="1"/>
      <protection locked="0"/>
    </xf>
    <xf numFmtId="3" fontId="83" fillId="5" borderId="10" xfId="21" applyNumberFormat="1" applyFill="1" applyBorder="1" applyAlignment="1" applyProtection="1">
      <alignment shrinkToFit="1"/>
      <protection locked="0"/>
    </xf>
    <xf numFmtId="38" fontId="45" fillId="9" borderId="0" xfId="0" applyFont="1" applyFill="1" applyAlignment="1">
      <alignment horizontal="right"/>
    </xf>
    <xf numFmtId="38" fontId="0" fillId="0" borderId="0" xfId="0" applyAlignment="1">
      <alignment horizontal="right"/>
    </xf>
    <xf numFmtId="38" fontId="0" fillId="0" borderId="22" xfId="0" applyBorder="1"/>
    <xf numFmtId="0" fontId="44" fillId="0" borderId="0" xfId="20" applyFont="1" applyAlignment="1">
      <alignment horizontal="right"/>
    </xf>
    <xf numFmtId="0" fontId="44" fillId="0" borderId="0" xfId="20" applyFont="1" applyAlignment="1">
      <alignment horizontal="center" shrinkToFit="1"/>
    </xf>
    <xf numFmtId="0" fontId="44" fillId="0" borderId="0" xfId="20" applyFont="1" applyAlignment="1">
      <alignment horizontal="center"/>
    </xf>
    <xf numFmtId="38" fontId="6" fillId="9" borderId="23" xfId="0" applyFont="1" applyFill="1" applyBorder="1" applyAlignment="1">
      <alignment horizontal="center" vertical="center" wrapText="1"/>
    </xf>
    <xf numFmtId="10" fontId="0" fillId="5" borderId="0" xfId="26" applyNumberFormat="1" applyFont="1" applyFill="1" applyProtection="1">
      <protection locked="0"/>
    </xf>
    <xf numFmtId="176" fontId="0" fillId="0" borderId="0" xfId="0" applyNumberFormat="1"/>
    <xf numFmtId="38" fontId="0" fillId="9" borderId="20" xfId="0" applyFill="1" applyBorder="1" applyAlignment="1">
      <alignment horizontal="center" vertical="center" wrapText="1"/>
    </xf>
    <xf numFmtId="40" fontId="0" fillId="0" borderId="7" xfId="0" applyNumberFormat="1" applyBorder="1"/>
    <xf numFmtId="38" fontId="6" fillId="9" borderId="24" xfId="0" applyFont="1" applyFill="1" applyBorder="1" applyAlignment="1">
      <alignment horizontal="center" vertical="center" wrapText="1"/>
    </xf>
    <xf numFmtId="38" fontId="0" fillId="9" borderId="0" xfId="0" applyFill="1" applyAlignment="1">
      <alignment shrinkToFit="1"/>
    </xf>
    <xf numFmtId="38" fontId="0" fillId="9" borderId="25" xfId="0" applyFill="1" applyBorder="1" applyAlignment="1">
      <alignment shrinkToFit="1"/>
    </xf>
    <xf numFmtId="38" fontId="0" fillId="9" borderId="6" xfId="0" applyFill="1" applyBorder="1" applyAlignment="1">
      <alignment horizontal="center" vertical="center" shrinkToFit="1"/>
    </xf>
    <xf numFmtId="38" fontId="0" fillId="12" borderId="25" xfId="0" applyFill="1" applyBorder="1" applyAlignment="1">
      <alignment shrinkToFit="1"/>
    </xf>
    <xf numFmtId="38" fontId="0" fillId="0" borderId="0" xfId="0" applyAlignment="1">
      <alignment shrinkToFit="1"/>
    </xf>
    <xf numFmtId="176" fontId="0" fillId="12" borderId="0" xfId="0" applyNumberFormat="1" applyFill="1" applyAlignment="1" applyProtection="1">
      <alignment shrinkToFit="1"/>
      <protection locked="0"/>
    </xf>
    <xf numFmtId="38" fontId="0" fillId="5" borderId="0" xfId="0" applyFill="1" applyProtection="1">
      <protection locked="0"/>
    </xf>
    <xf numFmtId="38" fontId="4" fillId="9" borderId="0" xfId="0" applyFont="1" applyFill="1" applyAlignment="1">
      <alignment horizontal="center"/>
    </xf>
    <xf numFmtId="177" fontId="0" fillId="0" borderId="0" xfId="0" applyNumberFormat="1"/>
    <xf numFmtId="38" fontId="0" fillId="0" borderId="12" xfId="0" applyBorder="1" applyAlignment="1">
      <alignment horizontal="center"/>
    </xf>
    <xf numFmtId="38" fontId="0" fillId="0" borderId="19" xfId="0" applyBorder="1" applyAlignment="1">
      <alignment horizontal="center"/>
    </xf>
    <xf numFmtId="38" fontId="0" fillId="0" borderId="8" xfId="0" applyBorder="1" applyAlignment="1">
      <alignment horizontal="center"/>
    </xf>
    <xf numFmtId="40" fontId="0" fillId="0" borderId="1" xfId="0" applyNumberFormat="1" applyBorder="1"/>
    <xf numFmtId="40" fontId="0" fillId="0" borderId="0" xfId="0" applyNumberFormat="1" applyBorder="1"/>
    <xf numFmtId="40" fontId="4" fillId="12" borderId="13" xfId="0" applyNumberFormat="1" applyFont="1" applyFill="1" applyBorder="1"/>
    <xf numFmtId="40" fontId="4" fillId="12" borderId="14" xfId="0" applyNumberFormat="1" applyFont="1" applyFill="1" applyBorder="1"/>
    <xf numFmtId="38" fontId="0" fillId="12" borderId="14" xfId="0" applyFill="1" applyBorder="1"/>
    <xf numFmtId="40" fontId="4" fillId="12" borderId="26" xfId="0" applyNumberFormat="1" applyFont="1" applyFill="1" applyBorder="1"/>
    <xf numFmtId="38" fontId="0" fillId="9" borderId="12" xfId="0" applyFill="1" applyBorder="1" applyAlignment="1">
      <alignment horizontal="center"/>
    </xf>
    <xf numFmtId="38" fontId="0" fillId="9" borderId="8" xfId="0" applyFill="1" applyBorder="1" applyAlignment="1">
      <alignment horizontal="center"/>
    </xf>
    <xf numFmtId="176" fontId="0" fillId="9" borderId="1" xfId="0" applyNumberFormat="1" applyFill="1" applyBorder="1"/>
    <xf numFmtId="176" fontId="0" fillId="9" borderId="7" xfId="0" applyNumberFormat="1" applyFill="1" applyBorder="1"/>
    <xf numFmtId="38" fontId="0" fillId="0" borderId="15" xfId="0" applyBorder="1" applyAlignment="1">
      <alignment horizontal="right"/>
    </xf>
    <xf numFmtId="38" fontId="0" fillId="0" borderId="16" xfId="0" applyNumberFormat="1" applyBorder="1"/>
    <xf numFmtId="38" fontId="0" fillId="12" borderId="17" xfId="0" applyFill="1" applyBorder="1"/>
    <xf numFmtId="38" fontId="0" fillId="0" borderId="3" xfId="0" applyBorder="1"/>
    <xf numFmtId="38" fontId="13" fillId="0" borderId="27" xfId="0" applyFont="1" applyBorder="1" applyAlignment="1">
      <alignment horizontal="center"/>
    </xf>
    <xf numFmtId="0" fontId="54" fillId="0" borderId="0" xfId="20" applyFont="1" applyAlignment="1">
      <alignment horizontal="center" vertical="center" wrapText="1"/>
    </xf>
    <xf numFmtId="38" fontId="9" fillId="9" borderId="23" xfId="0" applyFont="1" applyFill="1" applyBorder="1" applyAlignment="1">
      <alignment horizontal="center" vertical="center" wrapText="1"/>
    </xf>
    <xf numFmtId="0" fontId="35" fillId="0" borderId="0" xfId="20" applyFont="1" applyAlignment="1">
      <alignment horizontal="left" shrinkToFit="1"/>
    </xf>
    <xf numFmtId="39" fontId="31" fillId="0" borderId="0" xfId="4" applyNumberFormat="1" applyFont="1" applyAlignment="1">
      <alignment horizontal="left"/>
    </xf>
    <xf numFmtId="175" fontId="31" fillId="0" borderId="0" xfId="4" applyNumberFormat="1" applyFont="1" applyAlignment="1">
      <alignment horizontal="left"/>
    </xf>
    <xf numFmtId="0" fontId="25" fillId="0" borderId="0" xfId="20" applyFont="1" applyAlignment="1">
      <alignment horizontal="left" vertical="center" shrinkToFit="1"/>
    </xf>
    <xf numFmtId="38" fontId="83" fillId="0" borderId="0" xfId="20" applyNumberFormat="1"/>
    <xf numFmtId="38" fontId="83" fillId="0" borderId="0" xfId="20" applyNumberFormat="1" applyAlignment="1">
      <alignment wrapText="1"/>
    </xf>
    <xf numFmtId="38" fontId="55" fillId="0" borderId="0" xfId="0" applyFont="1"/>
    <xf numFmtId="38" fontId="5" fillId="5" borderId="0" xfId="7" applyFont="1" applyFill="1">
      <protection locked="0"/>
    </xf>
    <xf numFmtId="10" fontId="56" fillId="0" borderId="0" xfId="20" applyNumberFormat="1" applyFont="1" applyAlignment="1">
      <alignment horizontal="left" indent="1" shrinkToFit="1"/>
    </xf>
    <xf numFmtId="0" fontId="53" fillId="0" borderId="0" xfId="20" applyFont="1"/>
    <xf numFmtId="0" fontId="83" fillId="0" borderId="0" xfId="20" applyBorder="1"/>
    <xf numFmtId="37" fontId="7" fillId="0" borderId="2" xfId="4" applyNumberFormat="1" applyFont="1" applyFill="1" applyBorder="1" applyAlignment="1" applyProtection="1">
      <alignment horizontal="center"/>
      <protection locked="0"/>
    </xf>
    <xf numFmtId="38" fontId="83" fillId="0" borderId="28" xfId="20" applyNumberFormat="1" applyBorder="1" applyAlignment="1">
      <alignment horizontal="center" vertical="center" wrapText="1"/>
    </xf>
    <xf numFmtId="38" fontId="83" fillId="0" borderId="29" xfId="20" applyNumberFormat="1" applyBorder="1" applyAlignment="1">
      <alignment horizontal="center" vertical="center" wrapText="1"/>
    </xf>
    <xf numFmtId="170" fontId="53" fillId="9" borderId="27" xfId="20" applyNumberFormat="1" applyFont="1" applyFill="1" applyBorder="1" applyAlignment="1">
      <alignment shrinkToFit="1"/>
    </xf>
    <xf numFmtId="170" fontId="53" fillId="9" borderId="3" xfId="20" applyNumberFormat="1" applyFont="1" applyFill="1" applyBorder="1" applyAlignment="1">
      <alignment shrinkToFit="1"/>
    </xf>
    <xf numFmtId="170" fontId="53" fillId="9" borderId="30" xfId="20" applyNumberFormat="1" applyFont="1" applyFill="1" applyBorder="1" applyAlignment="1">
      <alignment shrinkToFit="1"/>
    </xf>
    <xf numFmtId="170" fontId="53" fillId="9" borderId="31" xfId="20" applyNumberFormat="1" applyFont="1" applyFill="1" applyBorder="1" applyAlignment="1">
      <alignment shrinkToFit="1"/>
    </xf>
    <xf numFmtId="38" fontId="0" fillId="0" borderId="0" xfId="0" applyFill="1"/>
    <xf numFmtId="38" fontId="0" fillId="0" borderId="32" xfId="0" applyFill="1" applyBorder="1"/>
    <xf numFmtId="38" fontId="29" fillId="0" borderId="0" xfId="20" applyNumberFormat="1" applyFont="1"/>
    <xf numFmtId="38" fontId="48" fillId="0" borderId="0" xfId="20" applyNumberFormat="1" applyFont="1" applyAlignment="1">
      <alignment horizontal="right"/>
    </xf>
    <xf numFmtId="38" fontId="48" fillId="0" borderId="0" xfId="20" applyNumberFormat="1" applyFont="1" applyAlignment="1">
      <alignment horizontal="right" vertical="center"/>
    </xf>
    <xf numFmtId="38" fontId="8" fillId="0" borderId="2" xfId="0" applyNumberFormat="1" applyFont="1" applyBorder="1" applyAlignment="1">
      <alignment horizontal="center" vertical="center" wrapText="1"/>
    </xf>
    <xf numFmtId="38" fontId="8" fillId="0" borderId="2" xfId="0" applyNumberFormat="1" applyFont="1" applyBorder="1" applyAlignment="1">
      <alignment horizontal="center" vertical="center" shrinkToFit="1"/>
    </xf>
    <xf numFmtId="38" fontId="5" fillId="5" borderId="0" xfId="15">
      <protection locked="0"/>
    </xf>
    <xf numFmtId="0" fontId="2" fillId="14" borderId="22" xfId="20" applyFont="1" applyFill="1" applyBorder="1" applyAlignment="1">
      <alignment horizontal="left" vertical="top"/>
    </xf>
    <xf numFmtId="38" fontId="0" fillId="15" borderId="0" xfId="0" applyFill="1"/>
    <xf numFmtId="38" fontId="2" fillId="14" borderId="22" xfId="20" applyNumberFormat="1" applyFont="1" applyFill="1" applyBorder="1" applyAlignment="1">
      <alignment horizontal="center" vertical="top"/>
    </xf>
    <xf numFmtId="38" fontId="0" fillId="0" borderId="0" xfId="0" applyAlignment="1">
      <alignment horizontal="center" vertical="top"/>
    </xf>
    <xf numFmtId="38" fontId="0" fillId="15" borderId="0" xfId="0" applyFill="1" applyAlignment="1">
      <alignment horizontal="center" vertical="top"/>
    </xf>
    <xf numFmtId="38" fontId="0" fillId="0" borderId="0" xfId="0" applyAlignment="1">
      <alignment vertical="top"/>
    </xf>
    <xf numFmtId="38" fontId="0" fillId="0" borderId="0" xfId="0" applyAlignment="1">
      <alignment vertical="top" wrapText="1"/>
    </xf>
    <xf numFmtId="38" fontId="0" fillId="15" borderId="0" xfId="0" applyFill="1" applyAlignment="1">
      <alignment vertical="top"/>
    </xf>
    <xf numFmtId="38" fontId="22" fillId="0" borderId="0" xfId="0" applyFont="1" applyAlignment="1">
      <alignment vertical="top"/>
    </xf>
    <xf numFmtId="38" fontId="22" fillId="0" borderId="0" xfId="0" applyFont="1" applyAlignment="1">
      <alignment horizontal="center" vertical="top"/>
    </xf>
    <xf numFmtId="38" fontId="5" fillId="0" borderId="0" xfId="0" applyFont="1" applyAlignment="1">
      <alignment vertical="top" wrapText="1"/>
    </xf>
    <xf numFmtId="38" fontId="5" fillId="5" borderId="0" xfId="15" applyAlignment="1">
      <alignment vertical="top" wrapText="1"/>
      <protection locked="0"/>
    </xf>
    <xf numFmtId="38" fontId="65" fillId="0" borderId="28" xfId="20" applyNumberFormat="1" applyFont="1" applyBorder="1" applyAlignment="1">
      <alignment horizontal="center" vertical="center" wrapText="1"/>
    </xf>
    <xf numFmtId="38" fontId="65" fillId="0" borderId="33" xfId="20" applyNumberFormat="1" applyFont="1" applyBorder="1" applyAlignment="1">
      <alignment horizontal="center" vertical="center" wrapText="1"/>
    </xf>
    <xf numFmtId="38" fontId="83" fillId="0" borderId="0" xfId="20" applyNumberFormat="1" applyAlignment="1">
      <alignment horizontal="center" vertical="center"/>
    </xf>
    <xf numFmtId="174" fontId="0" fillId="0" borderId="0" xfId="0" applyNumberFormat="1"/>
    <xf numFmtId="170" fontId="83" fillId="0" borderId="12" xfId="20" applyNumberFormat="1" applyBorder="1" applyAlignment="1">
      <alignment shrinkToFit="1"/>
    </xf>
    <xf numFmtId="170" fontId="83" fillId="0" borderId="19" xfId="20" applyNumberFormat="1" applyBorder="1" applyAlignment="1">
      <alignment shrinkToFit="1"/>
    </xf>
    <xf numFmtId="170" fontId="83" fillId="16" borderId="34" xfId="20" applyNumberFormat="1" applyFill="1" applyBorder="1" applyAlignment="1">
      <alignment shrinkToFit="1"/>
    </xf>
    <xf numFmtId="170" fontId="83" fillId="0" borderId="8" xfId="20" applyNumberFormat="1" applyBorder="1" applyAlignment="1">
      <alignment shrinkToFit="1"/>
    </xf>
    <xf numFmtId="170" fontId="83" fillId="16" borderId="8" xfId="20" applyNumberFormat="1" applyFill="1" applyBorder="1" applyAlignment="1">
      <alignment shrinkToFit="1"/>
    </xf>
    <xf numFmtId="170" fontId="83" fillId="0" borderId="1" xfId="20" applyNumberFormat="1" applyBorder="1" applyAlignment="1">
      <alignment shrinkToFit="1"/>
    </xf>
    <xf numFmtId="170" fontId="83" fillId="0" borderId="0" xfId="20" applyNumberFormat="1" applyBorder="1" applyAlignment="1">
      <alignment shrinkToFit="1"/>
    </xf>
    <xf numFmtId="170" fontId="83" fillId="16" borderId="32" xfId="20" applyNumberFormat="1" applyFill="1" applyBorder="1" applyAlignment="1">
      <alignment shrinkToFit="1"/>
    </xf>
    <xf numFmtId="170" fontId="83" fillId="0" borderId="7" xfId="20" applyNumberFormat="1" applyBorder="1" applyAlignment="1">
      <alignment shrinkToFit="1"/>
    </xf>
    <xf numFmtId="170" fontId="83" fillId="16" borderId="7" xfId="20" applyNumberFormat="1" applyFill="1" applyBorder="1" applyAlignment="1">
      <alignment shrinkToFit="1"/>
    </xf>
    <xf numFmtId="38" fontId="7" fillId="0" borderId="2" xfId="0" applyNumberFormat="1" applyFont="1" applyFill="1" applyBorder="1" applyAlignment="1">
      <alignment horizontal="center" vertical="center" shrinkToFit="1"/>
    </xf>
    <xf numFmtId="38" fontId="7" fillId="0" borderId="31" xfId="0" applyNumberFormat="1" applyFont="1" applyFill="1" applyBorder="1" applyAlignment="1">
      <alignment horizontal="center" vertical="center" shrinkToFit="1"/>
    </xf>
    <xf numFmtId="38" fontId="7" fillId="0" borderId="3" xfId="0" applyNumberFormat="1" applyFont="1" applyFill="1" applyBorder="1" applyAlignment="1">
      <alignment horizontal="center" vertical="center" shrinkToFit="1"/>
    </xf>
    <xf numFmtId="38" fontId="0" fillId="5" borderId="0" xfId="15" applyFont="1">
      <protection locked="0"/>
    </xf>
    <xf numFmtId="38" fontId="83" fillId="0" borderId="0" xfId="20" applyNumberFormat="1" applyAlignment="1">
      <alignment horizontal="right"/>
    </xf>
    <xf numFmtId="170" fontId="53" fillId="9" borderId="28" xfId="20" applyNumberFormat="1" applyFont="1" applyFill="1" applyBorder="1" applyAlignment="1">
      <alignment shrinkToFit="1"/>
    </xf>
    <xf numFmtId="170" fontId="53" fillId="9" borderId="29" xfId="20" applyNumberFormat="1" applyFont="1" applyFill="1" applyBorder="1" applyAlignment="1">
      <alignment shrinkToFit="1"/>
    </xf>
    <xf numFmtId="10" fontId="43" fillId="9" borderId="2" xfId="27" applyNumberFormat="1" applyFont="1" applyFill="1" applyBorder="1" applyAlignment="1">
      <alignment horizontal="center" shrinkToFit="1"/>
    </xf>
    <xf numFmtId="10" fontId="43" fillId="9" borderId="31" xfId="27" applyNumberFormat="1" applyFont="1" applyFill="1" applyBorder="1" applyAlignment="1">
      <alignment horizontal="center" shrinkToFit="1"/>
    </xf>
    <xf numFmtId="176" fontId="53" fillId="9" borderId="27" xfId="20" applyNumberFormat="1" applyFont="1" applyFill="1" applyBorder="1" applyAlignment="1">
      <alignment shrinkToFit="1"/>
    </xf>
    <xf numFmtId="40" fontId="0" fillId="5" borderId="0" xfId="15" applyNumberFormat="1" applyFont="1">
      <protection locked="0"/>
    </xf>
    <xf numFmtId="174" fontId="0" fillId="5" borderId="0" xfId="15" applyNumberFormat="1" applyFont="1">
      <protection locked="0"/>
    </xf>
    <xf numFmtId="0" fontId="83" fillId="17" borderId="0" xfId="20" applyFill="1" applyProtection="1">
      <protection locked="0"/>
    </xf>
    <xf numFmtId="38" fontId="4" fillId="9" borderId="0" xfId="0" applyFont="1" applyFill="1" applyAlignment="1">
      <alignment horizontal="right"/>
    </xf>
    <xf numFmtId="0" fontId="62" fillId="0" borderId="0" xfId="21" applyFont="1" applyFill="1" applyBorder="1" applyAlignment="1">
      <alignment horizontal="left" wrapText="1" shrinkToFit="1"/>
    </xf>
    <xf numFmtId="0" fontId="63" fillId="0" borderId="0" xfId="21" applyFont="1" applyFill="1" applyBorder="1" applyAlignment="1">
      <alignment horizontal="left" wrapText="1" shrinkToFit="1"/>
    </xf>
    <xf numFmtId="38" fontId="0" fillId="0" borderId="35" xfId="0" applyBorder="1" applyAlignment="1">
      <alignment horizontal="center" shrinkToFit="1"/>
    </xf>
    <xf numFmtId="40" fontId="0" fillId="0" borderId="36" xfId="0" applyNumberFormat="1" applyBorder="1" applyAlignment="1">
      <alignment shrinkToFit="1"/>
    </xf>
    <xf numFmtId="170" fontId="0" fillId="0" borderId="0" xfId="5" applyNumberFormat="1" applyFont="1" applyBorder="1" applyAlignment="1">
      <alignment shrinkToFit="1"/>
    </xf>
    <xf numFmtId="170" fontId="5" fillId="5" borderId="0" xfId="15" applyNumberFormat="1" applyBorder="1" applyAlignment="1">
      <alignment shrinkToFit="1"/>
      <protection locked="0"/>
    </xf>
    <xf numFmtId="170" fontId="5" fillId="18" borderId="36" xfId="5" applyNumberFormat="1" applyFont="1" applyFill="1" applyBorder="1" applyAlignment="1">
      <alignment shrinkToFit="1"/>
    </xf>
    <xf numFmtId="170" fontId="5" fillId="18" borderId="37" xfId="5" applyNumberFormat="1" applyFont="1" applyFill="1" applyBorder="1" applyAlignment="1">
      <alignment shrinkToFit="1"/>
    </xf>
    <xf numFmtId="170" fontId="5" fillId="0" borderId="0" xfId="5" applyNumberFormat="1" applyFont="1" applyBorder="1" applyAlignment="1">
      <alignment shrinkToFit="1"/>
    </xf>
    <xf numFmtId="170" fontId="0" fillId="5" borderId="0" xfId="15" applyNumberFormat="1" applyFont="1" applyBorder="1" applyAlignment="1">
      <alignment shrinkToFit="1"/>
      <protection locked="0"/>
    </xf>
    <xf numFmtId="38" fontId="0" fillId="0" borderId="36" xfId="0" applyBorder="1" applyAlignment="1">
      <alignment shrinkToFit="1"/>
    </xf>
    <xf numFmtId="170" fontId="5" fillId="5" borderId="0" xfId="15" applyNumberFormat="1" applyBorder="1" applyAlignment="1" applyProtection="1">
      <alignment shrinkToFit="1"/>
      <protection locked="0"/>
    </xf>
    <xf numFmtId="38" fontId="0" fillId="12" borderId="4" xfId="0" applyFill="1" applyBorder="1" applyAlignment="1">
      <alignment shrinkToFit="1"/>
    </xf>
    <xf numFmtId="40" fontId="0" fillId="12" borderId="25" xfId="0" applyNumberFormat="1" applyFill="1" applyBorder="1" applyAlignment="1">
      <alignment shrinkToFit="1"/>
    </xf>
    <xf numFmtId="40" fontId="4" fillId="12" borderId="18" xfId="26" applyNumberFormat="1" applyFont="1" applyFill="1" applyBorder="1" applyAlignment="1">
      <alignment shrinkToFit="1"/>
    </xf>
    <xf numFmtId="38" fontId="0" fillId="0" borderId="0" xfId="0" applyFill="1" applyAlignment="1">
      <alignment shrinkToFit="1"/>
    </xf>
    <xf numFmtId="38" fontId="0" fillId="0" borderId="0" xfId="0" applyFill="1" applyAlignment="1">
      <alignment horizontal="center" vertical="center" shrinkToFit="1"/>
    </xf>
    <xf numFmtId="38" fontId="6" fillId="0" borderId="0" xfId="0" applyFont="1" applyFill="1" applyAlignment="1">
      <alignment horizontal="center" vertical="center" shrinkToFit="1"/>
    </xf>
    <xf numFmtId="38" fontId="7" fillId="9" borderId="0" xfId="0" applyFont="1" applyFill="1" applyAlignment="1">
      <alignment horizontal="left" indent="3"/>
    </xf>
    <xf numFmtId="38" fontId="0" fillId="0" borderId="22" xfId="0" applyBorder="1" applyAlignment="1">
      <alignment horizontal="center"/>
    </xf>
    <xf numFmtId="40" fontId="0" fillId="0" borderId="0" xfId="0" applyNumberFormat="1" applyAlignment="1">
      <alignment horizontal="center"/>
    </xf>
    <xf numFmtId="40" fontId="0" fillId="0" borderId="22" xfId="0" applyNumberFormat="1" applyBorder="1" applyAlignment="1">
      <alignment horizontal="center"/>
    </xf>
    <xf numFmtId="0" fontId="83" fillId="0" borderId="0" xfId="20" applyAlignment="1"/>
    <xf numFmtId="38" fontId="0" fillId="0" borderId="0" xfId="0" applyAlignment="1">
      <alignment horizontal="right" shrinkToFit="1"/>
    </xf>
    <xf numFmtId="38" fontId="0" fillId="0" borderId="0" xfId="0" applyBorder="1" applyAlignment="1">
      <alignment horizontal="center"/>
    </xf>
    <xf numFmtId="38" fontId="0" fillId="0" borderId="0" xfId="0" applyBorder="1"/>
    <xf numFmtId="40" fontId="0" fillId="0" borderId="0" xfId="0" applyNumberFormat="1" applyBorder="1" applyAlignment="1">
      <alignment horizontal="center"/>
    </xf>
    <xf numFmtId="0" fontId="0" fillId="0" borderId="0" xfId="0" applyNumberFormat="1" applyAlignment="1">
      <alignment horizontal="right"/>
    </xf>
    <xf numFmtId="38" fontId="0" fillId="0" borderId="0" xfId="0" applyNumberFormat="1"/>
    <xf numFmtId="10" fontId="10" fillId="0" borderId="0" xfId="26" applyNumberFormat="1" applyFont="1"/>
    <xf numFmtId="0" fontId="10" fillId="0" borderId="0" xfId="0" applyNumberFormat="1" applyFont="1"/>
    <xf numFmtId="0" fontId="0" fillId="0" borderId="38" xfId="0" applyNumberFormat="1" applyBorder="1"/>
    <xf numFmtId="0" fontId="0" fillId="0" borderId="39" xfId="0" applyNumberFormat="1" applyBorder="1"/>
    <xf numFmtId="0" fontId="0" fillId="0" borderId="40" xfId="0" applyNumberFormat="1" applyBorder="1"/>
    <xf numFmtId="0" fontId="0" fillId="5" borderId="0" xfId="0" applyNumberFormat="1" applyFill="1"/>
    <xf numFmtId="0" fontId="22" fillId="0" borderId="38" xfId="0" applyNumberFormat="1" applyFont="1" applyBorder="1" applyAlignment="1">
      <alignment horizontal="center" vertical="center"/>
    </xf>
    <xf numFmtId="0" fontId="22" fillId="0" borderId="40" xfId="0" applyNumberFormat="1" applyFont="1" applyBorder="1" applyAlignment="1">
      <alignment horizontal="center" vertical="center"/>
    </xf>
    <xf numFmtId="40" fontId="5" fillId="18" borderId="10" xfId="5" applyNumberFormat="1" applyFont="1" applyFill="1" applyBorder="1" applyAlignment="1">
      <alignment shrinkToFit="1"/>
    </xf>
    <xf numFmtId="0" fontId="0" fillId="0" borderId="41" xfId="0" applyNumberFormat="1" applyBorder="1"/>
    <xf numFmtId="0" fontId="57" fillId="0" borderId="3" xfId="20" applyFont="1" applyBorder="1" applyAlignment="1">
      <alignment horizontal="center" vertical="center" shrinkToFit="1"/>
    </xf>
    <xf numFmtId="0" fontId="52" fillId="0" borderId="2" xfId="20" applyFont="1" applyBorder="1" applyAlignment="1">
      <alignment horizontal="center" vertical="center" shrinkToFit="1"/>
    </xf>
    <xf numFmtId="0" fontId="1" fillId="0" borderId="31" xfId="20" quotePrefix="1" applyFont="1" applyBorder="1" applyAlignment="1">
      <alignment horizontal="center" vertical="center" shrinkToFit="1"/>
    </xf>
    <xf numFmtId="0" fontId="83" fillId="0" borderId="0" xfId="20" applyAlignment="1">
      <alignment horizontal="right" vertical="center" shrinkToFit="1"/>
    </xf>
    <xf numFmtId="10" fontId="22" fillId="14" borderId="2" xfId="27" applyNumberFormat="1" applyFont="1" applyFill="1" applyBorder="1" applyAlignment="1">
      <alignment horizontal="center"/>
    </xf>
    <xf numFmtId="0" fontId="22" fillId="0" borderId="38" xfId="0" applyNumberFormat="1" applyFont="1" applyBorder="1" applyAlignment="1">
      <alignment horizontal="center" vertical="center" shrinkToFit="1"/>
    </xf>
    <xf numFmtId="0" fontId="0" fillId="0" borderId="38" xfId="0" applyNumberFormat="1" applyBorder="1" applyAlignment="1">
      <alignment shrinkToFit="1"/>
    </xf>
    <xf numFmtId="0" fontId="22" fillId="0" borderId="40" xfId="0" applyNumberFormat="1" applyFont="1" applyBorder="1" applyAlignment="1">
      <alignment horizontal="center" vertical="center" shrinkToFit="1"/>
    </xf>
    <xf numFmtId="0" fontId="0" fillId="0" borderId="40" xfId="0" applyNumberFormat="1" applyBorder="1" applyAlignment="1">
      <alignment shrinkToFit="1"/>
    </xf>
    <xf numFmtId="10" fontId="6" fillId="9" borderId="7" xfId="26" applyNumberFormat="1" applyFont="1" applyFill="1" applyBorder="1" applyAlignment="1">
      <alignment shrinkToFit="1"/>
    </xf>
    <xf numFmtId="164" fontId="6" fillId="12" borderId="14" xfId="26" applyNumberFormat="1" applyFont="1" applyFill="1" applyBorder="1" applyAlignment="1">
      <alignment shrinkToFit="1"/>
    </xf>
    <xf numFmtId="38" fontId="0" fillId="0" borderId="0" xfId="0" applyBorder="1" applyAlignment="1">
      <alignment horizontal="center" shrinkToFit="1"/>
    </xf>
    <xf numFmtId="1" fontId="5" fillId="5" borderId="0" xfId="15" applyNumberFormat="1" applyBorder="1" applyAlignment="1">
      <alignment horizontal="center" vertical="center" shrinkToFit="1"/>
      <protection locked="0"/>
    </xf>
    <xf numFmtId="38" fontId="0" fillId="12" borderId="4" xfId="0" applyFill="1" applyBorder="1"/>
    <xf numFmtId="10" fontId="0" fillId="0" borderId="0" xfId="26" applyNumberFormat="1" applyFont="1" applyFill="1" applyProtection="1"/>
    <xf numFmtId="0" fontId="0" fillId="9" borderId="0" xfId="0" applyNumberFormat="1" applyFill="1" applyBorder="1"/>
    <xf numFmtId="0" fontId="69" fillId="9" borderId="42" xfId="0" applyNumberFormat="1" applyFont="1" applyFill="1" applyBorder="1" applyAlignment="1">
      <alignment horizontal="center" vertical="top"/>
    </xf>
    <xf numFmtId="0" fontId="0" fillId="9" borderId="0" xfId="0" applyNumberFormat="1" applyFont="1" applyFill="1" applyBorder="1"/>
    <xf numFmtId="0" fontId="69" fillId="9" borderId="43" xfId="0" applyNumberFormat="1" applyFont="1" applyFill="1" applyBorder="1" applyAlignment="1">
      <alignment horizontal="center" vertical="top"/>
    </xf>
    <xf numFmtId="0" fontId="69" fillId="9" borderId="44" xfId="0" applyNumberFormat="1" applyFont="1" applyFill="1" applyBorder="1" applyAlignment="1">
      <alignment horizontal="center" vertical="top"/>
    </xf>
    <xf numFmtId="0" fontId="0" fillId="9" borderId="40" xfId="0" applyNumberFormat="1" applyFont="1" applyFill="1" applyBorder="1"/>
    <xf numFmtId="0" fontId="0" fillId="9" borderId="40" xfId="0" applyNumberFormat="1" applyFill="1" applyBorder="1"/>
    <xf numFmtId="38" fontId="69" fillId="9" borderId="43" xfId="0" applyNumberFormat="1" applyFont="1" applyFill="1" applyBorder="1" applyAlignment="1">
      <alignment horizontal="center" vertical="top"/>
    </xf>
    <xf numFmtId="0" fontId="69" fillId="9" borderId="43" xfId="0" applyNumberFormat="1" applyFont="1" applyFill="1" applyBorder="1" applyAlignment="1">
      <alignment horizontal="center"/>
    </xf>
    <xf numFmtId="0" fontId="69" fillId="9" borderId="45" xfId="0" applyNumberFormat="1" applyFont="1" applyFill="1" applyBorder="1" applyAlignment="1">
      <alignment horizontal="center" vertical="top"/>
    </xf>
    <xf numFmtId="0" fontId="69" fillId="9" borderId="45" xfId="0" applyNumberFormat="1" applyFont="1" applyFill="1" applyBorder="1" applyAlignment="1">
      <alignment horizontal="center"/>
    </xf>
    <xf numFmtId="38" fontId="69" fillId="9" borderId="45" xfId="0" applyNumberFormat="1" applyFont="1" applyFill="1" applyBorder="1" applyAlignment="1">
      <alignment horizontal="center" vertical="top"/>
    </xf>
    <xf numFmtId="0" fontId="70" fillId="0" borderId="0" xfId="0" applyNumberFormat="1" applyFont="1"/>
    <xf numFmtId="176" fontId="0" fillId="0" borderId="0" xfId="0" applyNumberFormat="1" applyAlignment="1">
      <alignment shrinkToFit="1"/>
    </xf>
    <xf numFmtId="10" fontId="41" fillId="14" borderId="46" xfId="26" applyNumberFormat="1" applyFont="1" applyFill="1" applyBorder="1" applyAlignment="1">
      <alignment horizontal="center" vertical="center" shrinkToFit="1"/>
    </xf>
    <xf numFmtId="38" fontId="41" fillId="14" borderId="47" xfId="0" applyFont="1" applyFill="1" applyBorder="1" applyAlignment="1">
      <alignment horizontal="center" shrinkToFit="1"/>
    </xf>
    <xf numFmtId="10" fontId="41" fillId="14" borderId="47" xfId="26" applyNumberFormat="1" applyFont="1" applyFill="1" applyBorder="1" applyAlignment="1">
      <alignment horizontal="center" shrinkToFit="1"/>
    </xf>
    <xf numFmtId="38" fontId="41" fillId="14" borderId="47" xfId="0" applyNumberFormat="1" applyFont="1" applyFill="1" applyBorder="1" applyAlignment="1">
      <alignment horizontal="center" shrinkToFit="1"/>
    </xf>
    <xf numFmtId="38" fontId="0" fillId="0" borderId="0" xfId="0" applyFill="1" applyAlignment="1">
      <alignment horizontal="center" shrinkToFit="1"/>
    </xf>
    <xf numFmtId="38" fontId="0" fillId="0" borderId="0" xfId="0" applyFill="1" applyAlignment="1">
      <alignment horizontal="center"/>
    </xf>
    <xf numFmtId="38" fontId="19" fillId="0" borderId="0" xfId="30" applyFont="1" applyFill="1" applyBorder="1"/>
    <xf numFmtId="38" fontId="11" fillId="0" borderId="0" xfId="30" applyFill="1" applyBorder="1"/>
    <xf numFmtId="38" fontId="7" fillId="0" borderId="0" xfId="0" applyFont="1" applyFill="1" applyAlignment="1">
      <alignment horizontal="left" indent="3"/>
    </xf>
    <xf numFmtId="38" fontId="17" fillId="0" borderId="0" xfId="0" applyFont="1" applyFill="1"/>
    <xf numFmtId="0" fontId="0" fillId="9" borderId="0" xfId="0" applyNumberFormat="1" applyFill="1" applyAlignment="1">
      <alignment shrinkToFit="1"/>
    </xf>
    <xf numFmtId="0" fontId="0" fillId="0" borderId="0" xfId="0" applyNumberFormat="1" applyFill="1" applyAlignment="1">
      <alignment shrinkToFit="1"/>
    </xf>
    <xf numFmtId="0" fontId="0" fillId="9" borderId="6" xfId="0" applyNumberFormat="1" applyFill="1" applyBorder="1" applyAlignment="1">
      <alignment horizontal="center" vertical="center" shrinkToFit="1"/>
    </xf>
    <xf numFmtId="0" fontId="0" fillId="0" borderId="0" xfId="0" applyNumberFormat="1" applyBorder="1" applyAlignment="1">
      <alignment horizontal="center" shrinkToFit="1"/>
    </xf>
    <xf numFmtId="0" fontId="0" fillId="0" borderId="0" xfId="0" applyNumberFormat="1" applyAlignment="1">
      <alignment shrinkToFit="1"/>
    </xf>
    <xf numFmtId="38" fontId="0" fillId="9" borderId="48" xfId="0" applyFill="1" applyBorder="1" applyAlignment="1">
      <alignment horizontal="center" vertical="center" wrapText="1"/>
    </xf>
    <xf numFmtId="38" fontId="2" fillId="0" borderId="0" xfId="0" applyFont="1" applyFill="1" applyAlignment="1">
      <alignment horizontal="right"/>
    </xf>
    <xf numFmtId="38" fontId="2" fillId="0" borderId="39" xfId="0" applyFont="1" applyFill="1" applyBorder="1" applyAlignment="1">
      <alignment horizontal="right"/>
    </xf>
    <xf numFmtId="10" fontId="22" fillId="12" borderId="49" xfId="26" applyNumberFormat="1" applyFont="1" applyFill="1" applyBorder="1" applyAlignment="1">
      <alignment horizontal="center" shrinkToFit="1"/>
    </xf>
    <xf numFmtId="38" fontId="41" fillId="0" borderId="0" xfId="0" applyFont="1" applyFill="1" applyAlignment="1">
      <alignment horizontal="right"/>
    </xf>
    <xf numFmtId="38" fontId="41" fillId="0" borderId="0" xfId="0" applyFont="1" applyFill="1" applyAlignment="1">
      <alignment horizontal="right" shrinkToFit="1"/>
    </xf>
    <xf numFmtId="174" fontId="0" fillId="0" borderId="0" xfId="0" applyNumberFormat="1" applyBorder="1" applyAlignment="1">
      <alignment horizontal="right" shrinkToFit="1"/>
    </xf>
    <xf numFmtId="38" fontId="4" fillId="0" borderId="0" xfId="0" applyFont="1" applyFill="1" applyAlignment="1">
      <alignment horizontal="left" indent="3"/>
    </xf>
    <xf numFmtId="174" fontId="0" fillId="5" borderId="15" xfId="15" applyNumberFormat="1" applyFont="1" applyBorder="1" applyAlignment="1">
      <alignment shrinkToFit="1"/>
      <protection locked="0"/>
    </xf>
    <xf numFmtId="174" fontId="0" fillId="5" borderId="16" xfId="15" applyNumberFormat="1" applyFont="1" applyBorder="1" applyAlignment="1">
      <alignment shrinkToFit="1"/>
      <protection locked="0"/>
    </xf>
    <xf numFmtId="174" fontId="0" fillId="5" borderId="17" xfId="15" applyNumberFormat="1" applyFont="1" applyBorder="1" applyAlignment="1">
      <alignment shrinkToFit="1"/>
      <protection locked="0"/>
    </xf>
    <xf numFmtId="38" fontId="0" fillId="0" borderId="36" xfId="0" applyNumberFormat="1" applyBorder="1" applyAlignment="1">
      <alignment shrinkToFit="1"/>
    </xf>
    <xf numFmtId="38" fontId="0" fillId="0" borderId="0" xfId="5" applyNumberFormat="1" applyFont="1" applyBorder="1" applyAlignment="1">
      <alignment shrinkToFit="1"/>
    </xf>
    <xf numFmtId="38" fontId="5" fillId="18" borderId="36" xfId="5" applyNumberFormat="1" applyFont="1" applyFill="1" applyBorder="1" applyAlignment="1">
      <alignment shrinkToFit="1"/>
    </xf>
    <xf numFmtId="38" fontId="5" fillId="18" borderId="10" xfId="5" applyNumberFormat="1" applyFont="1" applyFill="1" applyBorder="1" applyAlignment="1">
      <alignment shrinkToFit="1"/>
    </xf>
    <xf numFmtId="38" fontId="0" fillId="9" borderId="20" xfId="0" applyFill="1" applyBorder="1" applyAlignment="1">
      <alignment horizontal="center" vertical="center" shrinkToFit="1"/>
    </xf>
    <xf numFmtId="174" fontId="5" fillId="5" borderId="36" xfId="15" applyNumberFormat="1" applyBorder="1" applyAlignment="1">
      <alignment horizontal="center" shrinkToFit="1"/>
      <protection locked="0"/>
    </xf>
    <xf numFmtId="174" fontId="0" fillId="5" borderId="36" xfId="15" applyNumberFormat="1" applyFont="1" applyBorder="1" applyAlignment="1">
      <alignment horizontal="center" shrinkToFit="1"/>
      <protection locked="0"/>
    </xf>
    <xf numFmtId="38" fontId="0" fillId="0" borderId="50" xfId="0" applyBorder="1" applyAlignment="1">
      <alignment horizontal="center" shrinkToFit="1"/>
    </xf>
    <xf numFmtId="174" fontId="0" fillId="0" borderId="40" xfId="0" applyNumberFormat="1" applyBorder="1" applyAlignment="1">
      <alignment horizontal="right" shrinkToFit="1"/>
    </xf>
    <xf numFmtId="174" fontId="5" fillId="5" borderId="51" xfId="15" applyNumberFormat="1" applyBorder="1" applyAlignment="1">
      <alignment horizontal="center" shrinkToFit="1"/>
      <protection locked="0"/>
    </xf>
    <xf numFmtId="38" fontId="0" fillId="0" borderId="51" xfId="0" applyNumberFormat="1" applyBorder="1" applyAlignment="1">
      <alignment shrinkToFit="1"/>
    </xf>
    <xf numFmtId="38" fontId="0" fillId="0" borderId="40" xfId="5" applyNumberFormat="1" applyFont="1" applyBorder="1" applyAlignment="1">
      <alignment shrinkToFit="1"/>
    </xf>
    <xf numFmtId="38" fontId="5" fillId="18" borderId="51" xfId="5" applyNumberFormat="1" applyFont="1" applyFill="1" applyBorder="1" applyAlignment="1">
      <alignment shrinkToFit="1"/>
    </xf>
    <xf numFmtId="38" fontId="5" fillId="18" borderId="52" xfId="5" applyNumberFormat="1" applyFont="1" applyFill="1" applyBorder="1" applyAlignment="1">
      <alignment shrinkToFit="1"/>
    </xf>
    <xf numFmtId="38" fontId="0" fillId="9" borderId="53" xfId="0" applyFill="1" applyBorder="1" applyAlignment="1">
      <alignment horizontal="center" vertical="center" wrapText="1"/>
    </xf>
    <xf numFmtId="38" fontId="0" fillId="0" borderId="9" xfId="5" applyNumberFormat="1" applyFont="1" applyBorder="1" applyAlignment="1">
      <alignment shrinkToFit="1"/>
    </xf>
    <xf numFmtId="38" fontId="0" fillId="0" borderId="54" xfId="5" applyNumberFormat="1" applyFont="1" applyBorder="1" applyAlignment="1">
      <alignment shrinkToFit="1"/>
    </xf>
    <xf numFmtId="38" fontId="0" fillId="9" borderId="23" xfId="0" applyFont="1" applyFill="1" applyBorder="1" applyAlignment="1">
      <alignment horizontal="center" vertical="center" wrapText="1"/>
    </xf>
    <xf numFmtId="38" fontId="0" fillId="5" borderId="10" xfId="15" applyNumberFormat="1" applyFont="1" applyBorder="1" applyAlignment="1">
      <alignment shrinkToFit="1"/>
      <protection locked="0"/>
    </xf>
    <xf numFmtId="38" fontId="0" fillId="5" borderId="52" xfId="15" applyNumberFormat="1" applyFont="1" applyBorder="1" applyAlignment="1">
      <alignment shrinkToFit="1"/>
      <protection locked="0"/>
    </xf>
    <xf numFmtId="38" fontId="0" fillId="0" borderId="55" xfId="5" applyNumberFormat="1" applyFont="1" applyBorder="1" applyAlignment="1">
      <alignment shrinkToFit="1"/>
    </xf>
    <xf numFmtId="38" fontId="0" fillId="5" borderId="11" xfId="15" applyNumberFormat="1" applyFont="1" applyBorder="1" applyAlignment="1">
      <alignment shrinkToFit="1"/>
      <protection locked="0"/>
    </xf>
    <xf numFmtId="38" fontId="0" fillId="5" borderId="56" xfId="15" applyNumberFormat="1" applyFont="1" applyBorder="1" applyAlignment="1">
      <alignment shrinkToFit="1"/>
      <protection locked="0"/>
    </xf>
    <xf numFmtId="38" fontId="0" fillId="5" borderId="35" xfId="15" applyNumberFormat="1" applyFont="1" applyBorder="1" applyAlignment="1">
      <alignment shrinkToFit="1"/>
      <protection locked="0"/>
    </xf>
    <xf numFmtId="38" fontId="0" fillId="5" borderId="50" xfId="15" applyNumberFormat="1" applyFont="1" applyBorder="1" applyAlignment="1">
      <alignment shrinkToFit="1"/>
      <protection locked="0"/>
    </xf>
    <xf numFmtId="38" fontId="0" fillId="0" borderId="22" xfId="0" applyFill="1" applyBorder="1" applyAlignment="1">
      <alignment horizontal="center"/>
    </xf>
    <xf numFmtId="38" fontId="41" fillId="12" borderId="4" xfId="0" applyFont="1" applyFill="1" applyBorder="1" applyAlignment="1">
      <alignment shrinkToFit="1"/>
    </xf>
    <xf numFmtId="38" fontId="41" fillId="12" borderId="25" xfId="0" applyFont="1" applyFill="1" applyBorder="1" applyAlignment="1">
      <alignment shrinkToFit="1"/>
    </xf>
    <xf numFmtId="0" fontId="41" fillId="12" borderId="25" xfId="0" applyNumberFormat="1" applyFont="1" applyFill="1" applyBorder="1" applyAlignment="1">
      <alignment shrinkToFit="1"/>
    </xf>
    <xf numFmtId="38" fontId="41" fillId="12" borderId="57" xfId="0" applyFont="1" applyFill="1" applyBorder="1" applyAlignment="1">
      <alignment shrinkToFit="1"/>
    </xf>
    <xf numFmtId="38" fontId="22" fillId="12" borderId="25" xfId="0" applyNumberFormat="1" applyFont="1" applyFill="1" applyBorder="1" applyAlignment="1">
      <alignment shrinkToFit="1"/>
    </xf>
    <xf numFmtId="38" fontId="22" fillId="12" borderId="58" xfId="0" applyNumberFormat="1" applyFont="1" applyFill="1" applyBorder="1" applyAlignment="1">
      <alignment shrinkToFit="1"/>
    </xf>
    <xf numFmtId="38" fontId="22" fillId="12" borderId="18" xfId="26" applyNumberFormat="1" applyFont="1" applyFill="1" applyBorder="1" applyAlignment="1">
      <alignment shrinkToFit="1"/>
    </xf>
    <xf numFmtId="38" fontId="22" fillId="12" borderId="57" xfId="26" applyNumberFormat="1" applyFont="1" applyFill="1" applyBorder="1" applyAlignment="1">
      <alignment shrinkToFit="1"/>
    </xf>
    <xf numFmtId="38" fontId="22" fillId="12" borderId="59" xfId="0" applyNumberFormat="1" applyFont="1" applyFill="1" applyBorder="1" applyAlignment="1">
      <alignment shrinkToFit="1"/>
    </xf>
    <xf numFmtId="38" fontId="22" fillId="12" borderId="18" xfId="0" applyNumberFormat="1" applyFont="1" applyFill="1" applyBorder="1" applyAlignment="1">
      <alignment shrinkToFit="1"/>
    </xf>
    <xf numFmtId="38" fontId="78" fillId="0" borderId="0" xfId="0" quotePrefix="1" applyFont="1" applyFill="1" applyAlignment="1">
      <alignment horizontal="right"/>
    </xf>
    <xf numFmtId="38" fontId="9" fillId="9" borderId="20" xfId="0" applyFont="1" applyFill="1" applyBorder="1" applyAlignment="1">
      <alignment horizontal="center" vertical="center" wrapText="1"/>
    </xf>
    <xf numFmtId="38" fontId="4" fillId="9" borderId="25" xfId="0" applyFont="1" applyFill="1" applyBorder="1" applyAlignment="1">
      <alignment horizontal="center" shrinkToFit="1"/>
    </xf>
    <xf numFmtId="38" fontId="4" fillId="9" borderId="57" xfId="0" applyFont="1" applyFill="1" applyBorder="1" applyAlignment="1">
      <alignment horizontal="center" shrinkToFit="1"/>
    </xf>
    <xf numFmtId="0" fontId="1" fillId="0" borderId="0" xfId="20" applyFont="1"/>
    <xf numFmtId="0" fontId="83" fillId="17" borderId="0" xfId="20" applyFill="1"/>
    <xf numFmtId="0" fontId="25" fillId="0" borderId="0" xfId="20" applyFont="1"/>
    <xf numFmtId="0" fontId="83" fillId="0" borderId="0" xfId="20" applyAlignment="1">
      <alignment horizontal="left" indent="1"/>
    </xf>
    <xf numFmtId="175" fontId="37" fillId="9" borderId="2" xfId="4" applyNumberFormat="1" applyFont="1" applyFill="1" applyBorder="1" applyAlignment="1">
      <alignment horizontal="center"/>
    </xf>
    <xf numFmtId="0" fontId="77" fillId="0" borderId="0" xfId="20" applyFont="1" applyAlignment="1">
      <alignment horizontal="right" shrinkToFit="1"/>
    </xf>
    <xf numFmtId="0" fontId="1" fillId="0" borderId="0" xfId="20" applyFont="1" applyAlignment="1">
      <alignment horizontal="left" indent="1"/>
    </xf>
    <xf numFmtId="0" fontId="27" fillId="0" borderId="0" xfId="20" applyFont="1" applyAlignment="1">
      <alignment horizontal="right" indent="2"/>
    </xf>
    <xf numFmtId="0" fontId="29" fillId="0" borderId="0" xfId="20" applyFont="1"/>
    <xf numFmtId="0" fontId="26" fillId="0" borderId="0" xfId="0" applyNumberFormat="1" applyFont="1"/>
    <xf numFmtId="164" fontId="7" fillId="19" borderId="2" xfId="28" applyNumberFormat="1" applyFont="1" applyFill="1" applyBorder="1" applyAlignment="1" applyProtection="1">
      <alignment horizontal="center"/>
      <protection locked="0"/>
    </xf>
    <xf numFmtId="164" fontId="43" fillId="9" borderId="2" xfId="28" applyNumberFormat="1" applyFont="1" applyFill="1" applyBorder="1" applyAlignment="1">
      <alignment horizontal="center" shrinkToFit="1"/>
    </xf>
    <xf numFmtId="164" fontId="22" fillId="14" borderId="2" xfId="28" applyNumberFormat="1" applyFont="1" applyFill="1" applyBorder="1" applyAlignment="1">
      <alignment horizontal="center"/>
    </xf>
    <xf numFmtId="0" fontId="1" fillId="0" borderId="0" xfId="20" applyFont="1" applyAlignment="1">
      <alignment horizontal="left" indent="1" shrinkToFit="1"/>
    </xf>
    <xf numFmtId="9" fontId="0" fillId="0" borderId="0" xfId="28" applyFont="1" applyAlignment="1">
      <alignment horizontal="center"/>
    </xf>
    <xf numFmtId="9" fontId="0" fillId="0" borderId="2" xfId="28" applyFont="1" applyFill="1" applyBorder="1"/>
    <xf numFmtId="9" fontId="0" fillId="0" borderId="0" xfId="28" applyFont="1"/>
    <xf numFmtId="0" fontId="37" fillId="19" borderId="17" xfId="20" applyFont="1" applyFill="1" applyBorder="1" applyAlignment="1" applyProtection="1">
      <alignment horizontal="center"/>
      <protection locked="0"/>
    </xf>
    <xf numFmtId="0" fontId="77" fillId="0" borderId="0" xfId="20" applyFont="1" applyAlignment="1">
      <alignment vertical="center" shrinkToFit="1"/>
    </xf>
    <xf numFmtId="0" fontId="7" fillId="9" borderId="2" xfId="0" applyNumberFormat="1" applyFont="1" applyFill="1" applyBorder="1" applyAlignment="1">
      <alignment horizontal="center" vertical="center" wrapText="1"/>
    </xf>
    <xf numFmtId="0" fontId="7" fillId="0" borderId="2" xfId="0" applyNumberFormat="1" applyFont="1" applyBorder="1" applyAlignment="1">
      <alignment horizontal="center" vertical="center"/>
    </xf>
    <xf numFmtId="0" fontId="25" fillId="19" borderId="2" xfId="20" applyFont="1" applyFill="1" applyBorder="1" applyAlignment="1" applyProtection="1">
      <alignment horizontal="center"/>
      <protection locked="0"/>
    </xf>
    <xf numFmtId="0" fontId="73" fillId="19" borderId="2" xfId="20" applyFont="1" applyFill="1" applyBorder="1" applyAlignment="1" applyProtection="1">
      <alignment horizontal="center"/>
      <protection locked="0"/>
    </xf>
    <xf numFmtId="0" fontId="35" fillId="0" borderId="0" xfId="20" applyFont="1"/>
    <xf numFmtId="166" fontId="0" fillId="0" borderId="0" xfId="0" applyNumberFormat="1"/>
    <xf numFmtId="38" fontId="0" fillId="0" borderId="0" xfId="0" applyAlignment="1">
      <alignment horizontal="center" vertical="center" wrapText="1"/>
    </xf>
    <xf numFmtId="38" fontId="6" fillId="0" borderId="0" xfId="0" applyFont="1" applyAlignment="1">
      <alignment horizontal="center" vertical="center" wrapText="1"/>
    </xf>
    <xf numFmtId="171" fontId="0" fillId="0" borderId="0" xfId="0" applyNumberFormat="1" applyAlignment="1">
      <alignment horizontal="center" vertical="center" wrapText="1"/>
    </xf>
    <xf numFmtId="38" fontId="0" fillId="12" borderId="0" xfId="0" applyFill="1" applyBorder="1"/>
    <xf numFmtId="38" fontId="0" fillId="0" borderId="35" xfId="0" applyBorder="1" applyAlignment="1">
      <alignment horizontal="center"/>
    </xf>
    <xf numFmtId="38" fontId="9" fillId="9" borderId="0" xfId="0" applyFont="1" applyFill="1" applyBorder="1" applyAlignment="1">
      <alignment horizontal="center" vertical="center" wrapText="1"/>
    </xf>
    <xf numFmtId="38" fontId="6" fillId="9" borderId="53" xfId="0" applyFont="1" applyFill="1" applyBorder="1" applyAlignment="1">
      <alignment horizontal="center" vertical="center" wrapText="1"/>
    </xf>
    <xf numFmtId="38" fontId="7" fillId="9" borderId="60" xfId="0" applyFont="1" applyFill="1" applyBorder="1" applyAlignment="1">
      <alignment horizontal="center"/>
    </xf>
    <xf numFmtId="38" fontId="5" fillId="0" borderId="0" xfId="0" applyFont="1"/>
    <xf numFmtId="38" fontId="5" fillId="0" borderId="0" xfId="0" applyFont="1" applyBorder="1"/>
    <xf numFmtId="5" fontId="5" fillId="0" borderId="0" xfId="0" applyNumberFormat="1" applyFont="1" applyBorder="1"/>
    <xf numFmtId="38" fontId="5" fillId="0" borderId="0" xfId="0" applyFont="1" applyBorder="1" applyAlignment="1">
      <alignment horizontal="fill"/>
    </xf>
    <xf numFmtId="38" fontId="75" fillId="0" borderId="61" xfId="0" applyFont="1" applyBorder="1" applyProtection="1">
      <protection locked="0"/>
    </xf>
    <xf numFmtId="37" fontId="4" fillId="0" borderId="62" xfId="0" applyNumberFormat="1" applyFont="1" applyBorder="1"/>
    <xf numFmtId="38" fontId="5" fillId="0" borderId="63" xfId="0" applyFont="1" applyBorder="1"/>
    <xf numFmtId="38" fontId="5" fillId="0" borderId="64" xfId="0" applyFont="1" applyBorder="1" applyAlignment="1">
      <alignment horizontal="left"/>
    </xf>
    <xf numFmtId="164" fontId="5" fillId="5" borderId="65" xfId="15" applyNumberFormat="1" applyBorder="1">
      <protection locked="0"/>
    </xf>
    <xf numFmtId="38" fontId="5" fillId="0" borderId="36" xfId="0" applyFont="1" applyBorder="1" applyAlignment="1">
      <alignment horizontal="left"/>
    </xf>
    <xf numFmtId="37" fontId="5" fillId="0" borderId="66" xfId="0" applyNumberFormat="1" applyFont="1" applyBorder="1"/>
    <xf numFmtId="38" fontId="5" fillId="0" borderId="67" xfId="0" applyFont="1" applyBorder="1"/>
    <xf numFmtId="38" fontId="5" fillId="0" borderId="36" xfId="0" applyFont="1" applyBorder="1"/>
    <xf numFmtId="38" fontId="6" fillId="0" borderId="36" xfId="0" applyFont="1" applyBorder="1"/>
    <xf numFmtId="38" fontId="5" fillId="0" borderId="68" xfId="0" applyFont="1" applyBorder="1"/>
    <xf numFmtId="38" fontId="5" fillId="0" borderId="61" xfId="0" applyFont="1" applyBorder="1"/>
    <xf numFmtId="38" fontId="6" fillId="0" borderId="69" xfId="0" applyFont="1" applyBorder="1" applyAlignment="1">
      <alignment horizontal="left"/>
    </xf>
    <xf numFmtId="38" fontId="11" fillId="9" borderId="0" xfId="30" quotePrefix="1" applyBorder="1"/>
    <xf numFmtId="38" fontId="5" fillId="0" borderId="69" xfId="0" applyFont="1" applyBorder="1"/>
    <xf numFmtId="0" fontId="5" fillId="0" borderId="67" xfId="0" applyNumberFormat="1" applyFont="1" applyBorder="1"/>
    <xf numFmtId="0" fontId="5" fillId="0" borderId="0" xfId="0" applyNumberFormat="1" applyFont="1"/>
    <xf numFmtId="38" fontId="8" fillId="0" borderId="36" xfId="0" applyFont="1" applyBorder="1" applyAlignment="1">
      <alignment horizontal="left"/>
    </xf>
    <xf numFmtId="39" fontId="4" fillId="0" borderId="67" xfId="0" applyNumberFormat="1" applyFont="1" applyBorder="1"/>
    <xf numFmtId="39" fontId="5" fillId="0" borderId="0" xfId="0" applyNumberFormat="1" applyFont="1"/>
    <xf numFmtId="39" fontId="4" fillId="0" borderId="0" xfId="0" applyNumberFormat="1" applyFont="1" applyBorder="1"/>
    <xf numFmtId="39" fontId="5" fillId="0" borderId="67" xfId="0" applyNumberFormat="1" applyFont="1" applyBorder="1"/>
    <xf numFmtId="39" fontId="5" fillId="0" borderId="0" xfId="0" applyNumberFormat="1" applyFont="1" applyBorder="1"/>
    <xf numFmtId="39" fontId="5" fillId="0" borderId="0" xfId="0" applyNumberFormat="1" applyFont="1" applyAlignment="1">
      <alignment horizontal="right"/>
    </xf>
    <xf numFmtId="38" fontId="5" fillId="0" borderId="0" xfId="0" applyFont="1" applyAlignment="1">
      <alignment horizontal="right"/>
    </xf>
    <xf numFmtId="39" fontId="5" fillId="0" borderId="70" xfId="0" applyNumberFormat="1" applyFont="1" applyBorder="1"/>
    <xf numFmtId="39" fontId="5" fillId="5" borderId="71" xfId="15" applyNumberFormat="1" applyBorder="1">
      <protection locked="0"/>
    </xf>
    <xf numFmtId="167" fontId="5" fillId="0" borderId="0" xfId="0" applyNumberFormat="1" applyFont="1" applyBorder="1"/>
    <xf numFmtId="38" fontId="4" fillId="0" borderId="36" xfId="0" applyFont="1" applyBorder="1" applyAlignment="1">
      <alignment horizontal="right"/>
    </xf>
    <xf numFmtId="167" fontId="5" fillId="5" borderId="70" xfId="15" applyNumberFormat="1" applyBorder="1">
      <protection locked="0"/>
    </xf>
    <xf numFmtId="167" fontId="5" fillId="5" borderId="71" xfId="15" applyNumberFormat="1" applyBorder="1">
      <protection locked="0"/>
    </xf>
    <xf numFmtId="167" fontId="5" fillId="5" borderId="67" xfId="15" applyNumberFormat="1" applyBorder="1">
      <protection locked="0"/>
    </xf>
    <xf numFmtId="167" fontId="5" fillId="5" borderId="0" xfId="15" applyNumberFormat="1" applyBorder="1">
      <protection locked="0"/>
    </xf>
    <xf numFmtId="167" fontId="5" fillId="0" borderId="67" xfId="0" applyNumberFormat="1" applyFont="1" applyBorder="1"/>
    <xf numFmtId="167" fontId="5" fillId="0" borderId="70" xfId="0" applyNumberFormat="1" applyFont="1" applyBorder="1"/>
    <xf numFmtId="0" fontId="5" fillId="0" borderId="0" xfId="0" applyNumberFormat="1" applyFont="1" applyBorder="1"/>
    <xf numFmtId="38" fontId="4" fillId="0" borderId="67" xfId="0" applyFont="1" applyBorder="1"/>
    <xf numFmtId="38" fontId="4" fillId="0" borderId="0" xfId="0" applyFont="1" applyBorder="1"/>
    <xf numFmtId="0" fontId="5" fillId="5" borderId="67" xfId="15" applyNumberFormat="1" applyBorder="1">
      <protection locked="0"/>
    </xf>
    <xf numFmtId="0" fontId="5" fillId="5" borderId="0" xfId="15" applyNumberFormat="1" applyBorder="1">
      <protection locked="0"/>
    </xf>
    <xf numFmtId="38" fontId="5" fillId="0" borderId="68" xfId="0" applyFont="1" applyBorder="1" applyAlignment="1">
      <alignment horizontal="center"/>
    </xf>
    <xf numFmtId="38" fontId="5" fillId="0" borderId="61" xfId="0" applyFont="1" applyBorder="1" applyAlignment="1">
      <alignment horizontal="center"/>
    </xf>
    <xf numFmtId="38" fontId="5" fillId="0" borderId="61" xfId="0" applyFont="1" applyBorder="1" applyAlignment="1">
      <alignment horizontal="left"/>
    </xf>
    <xf numFmtId="168" fontId="5" fillId="0" borderId="26" xfId="1" applyBorder="1"/>
    <xf numFmtId="0" fontId="5" fillId="5" borderId="13" xfId="15" applyNumberFormat="1" applyBorder="1">
      <protection locked="0"/>
    </xf>
    <xf numFmtId="38" fontId="0" fillId="0" borderId="13" xfId="0" applyBorder="1"/>
    <xf numFmtId="168" fontId="5" fillId="0" borderId="8" xfId="1" applyBorder="1"/>
    <xf numFmtId="9" fontId="5" fillId="5" borderId="12" xfId="15" applyNumberFormat="1" applyBorder="1">
      <protection locked="0"/>
    </xf>
    <xf numFmtId="38" fontId="0" fillId="0" borderId="12" xfId="0" applyBorder="1"/>
    <xf numFmtId="168" fontId="5" fillId="0" borderId="7" xfId="1" applyBorder="1"/>
    <xf numFmtId="0" fontId="5" fillId="5" borderId="1" xfId="15" applyNumberFormat="1" applyBorder="1">
      <protection locked="0"/>
    </xf>
    <xf numFmtId="40" fontId="0" fillId="0" borderId="2" xfId="0" applyNumberFormat="1" applyBorder="1"/>
    <xf numFmtId="164" fontId="14" fillId="6" borderId="0" xfId="17" applyNumberFormat="1">
      <protection locked="0"/>
    </xf>
    <xf numFmtId="38" fontId="49" fillId="0" borderId="0" xfId="0" applyFont="1"/>
    <xf numFmtId="38" fontId="14" fillId="6" borderId="0" xfId="17" applyNumberFormat="1">
      <protection locked="0"/>
    </xf>
    <xf numFmtId="38" fontId="0" fillId="20" borderId="0" xfId="0" applyFill="1"/>
    <xf numFmtId="164" fontId="5" fillId="20" borderId="26" xfId="26" applyNumberFormat="1" applyFont="1" applyFill="1" applyBorder="1"/>
    <xf numFmtId="164" fontId="5" fillId="20" borderId="14" xfId="26" applyNumberFormat="1" applyFont="1" applyFill="1" applyBorder="1"/>
    <xf numFmtId="164" fontId="0" fillId="20" borderId="13" xfId="26" applyNumberFormat="1" applyFont="1" applyFill="1" applyBorder="1"/>
    <xf numFmtId="38" fontId="0" fillId="20" borderId="14" xfId="0" applyFill="1" applyBorder="1"/>
    <xf numFmtId="38" fontId="0" fillId="20" borderId="13" xfId="0" applyFill="1" applyBorder="1"/>
    <xf numFmtId="164" fontId="5" fillId="20" borderId="7" xfId="26" applyNumberFormat="1" applyFont="1" applyFill="1" applyBorder="1"/>
    <xf numFmtId="164" fontId="5" fillId="20" borderId="0" xfId="26" applyNumberFormat="1" applyFont="1" applyFill="1" applyBorder="1"/>
    <xf numFmtId="164" fontId="0" fillId="20" borderId="1" xfId="26" applyNumberFormat="1" applyFont="1" applyFill="1" applyBorder="1"/>
    <xf numFmtId="38" fontId="0" fillId="20" borderId="1" xfId="0" applyFill="1" applyBorder="1"/>
    <xf numFmtId="164" fontId="5" fillId="20" borderId="8" xfId="26" applyNumberFormat="1" applyFont="1" applyFill="1" applyBorder="1"/>
    <xf numFmtId="164" fontId="5" fillId="20" borderId="19" xfId="26" applyNumberFormat="1" applyFont="1" applyFill="1" applyBorder="1"/>
    <xf numFmtId="38" fontId="4" fillId="20" borderId="8" xfId="0" applyFont="1" applyFill="1" applyBorder="1" applyAlignment="1">
      <alignment horizontal="center"/>
    </xf>
    <xf numFmtId="38" fontId="4" fillId="20" borderId="19" xfId="0" applyFont="1" applyFill="1" applyBorder="1" applyAlignment="1">
      <alignment horizontal="center"/>
    </xf>
    <xf numFmtId="38" fontId="4" fillId="20" borderId="3" xfId="0" applyFont="1" applyFill="1" applyBorder="1"/>
    <xf numFmtId="38" fontId="0" fillId="20" borderId="31" xfId="0" applyFill="1" applyBorder="1"/>
    <xf numFmtId="38" fontId="4" fillId="20" borderId="0" xfId="0" applyFont="1" applyFill="1"/>
    <xf numFmtId="180" fontId="0" fillId="0" borderId="0" xfId="26" applyNumberFormat="1" applyFont="1"/>
    <xf numFmtId="38" fontId="0" fillId="9" borderId="72" xfId="0" applyFill="1" applyBorder="1" applyAlignment="1">
      <alignment horizontal="center" vertical="center" wrapText="1"/>
    </xf>
    <xf numFmtId="38" fontId="0" fillId="0" borderId="16" xfId="0" applyBorder="1" applyAlignment="1">
      <alignment horizontal="center" shrinkToFit="1"/>
    </xf>
    <xf numFmtId="174" fontId="5" fillId="5" borderId="16" xfId="15" applyNumberFormat="1" applyBorder="1" applyAlignment="1">
      <alignment horizontal="center" vertical="center" shrinkToFit="1"/>
      <protection locked="0"/>
    </xf>
    <xf numFmtId="178" fontId="0" fillId="0" borderId="0" xfId="0" applyNumberFormat="1"/>
    <xf numFmtId="174" fontId="0" fillId="12" borderId="0" xfId="0" applyNumberFormat="1" applyFill="1"/>
    <xf numFmtId="170" fontId="0" fillId="0" borderId="0" xfId="5" quotePrefix="1" applyNumberFormat="1" applyFont="1" applyBorder="1" applyAlignment="1">
      <alignment horizontal="right" shrinkToFit="1"/>
    </xf>
    <xf numFmtId="170" fontId="0" fillId="0" borderId="1" xfId="5" applyNumberFormat="1" applyFont="1" applyBorder="1" applyAlignment="1">
      <alignment horizontal="right" shrinkToFit="1"/>
    </xf>
    <xf numFmtId="170" fontId="83" fillId="0" borderId="19" xfId="20" applyNumberFormat="1" applyBorder="1" applyAlignment="1">
      <alignment horizontal="right" shrinkToFit="1"/>
    </xf>
    <xf numFmtId="170" fontId="83" fillId="0" borderId="0" xfId="20" applyNumberFormat="1" applyBorder="1" applyAlignment="1">
      <alignment horizontal="right" shrinkToFit="1"/>
    </xf>
    <xf numFmtId="170" fontId="53" fillId="9" borderId="27" xfId="20" applyNumberFormat="1" applyFont="1" applyFill="1" applyBorder="1" applyAlignment="1">
      <alignment horizontal="right" shrinkToFit="1"/>
    </xf>
    <xf numFmtId="180" fontId="41" fillId="14" borderId="46" xfId="26" applyNumberFormat="1" applyFont="1" applyFill="1" applyBorder="1" applyAlignment="1">
      <alignment horizontal="center" vertical="center" shrinkToFit="1"/>
    </xf>
    <xf numFmtId="164" fontId="0" fillId="0" borderId="0" xfId="26" applyNumberFormat="1" applyFont="1"/>
    <xf numFmtId="10" fontId="0" fillId="0" borderId="0" xfId="26" applyNumberFormat="1" applyFont="1" applyFill="1" applyAlignment="1">
      <alignment horizontal="left" shrinkToFit="1"/>
    </xf>
    <xf numFmtId="174" fontId="83" fillId="0" borderId="0" xfId="20" applyNumberFormat="1"/>
    <xf numFmtId="38" fontId="0" fillId="0" borderId="27" xfId="0" applyBorder="1"/>
    <xf numFmtId="38" fontId="0" fillId="0" borderId="12" xfId="0" applyBorder="1" applyAlignment="1">
      <alignment horizontal="right"/>
    </xf>
    <xf numFmtId="38" fontId="0" fillId="0" borderId="1" xfId="0" applyNumberFormat="1" applyBorder="1"/>
    <xf numFmtId="38" fontId="0" fillId="12" borderId="13" xfId="0" applyFill="1" applyBorder="1"/>
    <xf numFmtId="180" fontId="41" fillId="14" borderId="16" xfId="26" applyNumberFormat="1" applyFont="1" applyFill="1" applyBorder="1" applyAlignment="1">
      <alignment horizontal="center" shrinkToFit="1"/>
    </xf>
    <xf numFmtId="38" fontId="0" fillId="0" borderId="61" xfId="0" applyFill="1" applyBorder="1" applyAlignment="1">
      <alignment shrinkToFit="1"/>
    </xf>
    <xf numFmtId="38" fontId="0" fillId="0" borderId="61" xfId="0" applyFill="1" applyBorder="1" applyAlignment="1">
      <alignment horizontal="center" shrinkToFit="1"/>
    </xf>
    <xf numFmtId="38" fontId="0" fillId="0" borderId="63" xfId="0" applyFill="1" applyBorder="1" applyAlignment="1">
      <alignment shrinkToFit="1"/>
    </xf>
    <xf numFmtId="38" fontId="0" fillId="0" borderId="63" xfId="0" applyBorder="1"/>
    <xf numFmtId="38" fontId="0" fillId="0" borderId="63" xfId="0" applyFill="1" applyBorder="1" applyAlignment="1">
      <alignment horizontal="center" shrinkToFit="1"/>
    </xf>
    <xf numFmtId="38" fontId="0" fillId="0" borderId="0" xfId="0" applyNumberFormat="1" applyAlignment="1">
      <alignment horizontal="center"/>
    </xf>
    <xf numFmtId="38" fontId="0" fillId="0" borderId="15" xfId="0" applyBorder="1" applyAlignment="1">
      <alignment horizontal="center"/>
    </xf>
    <xf numFmtId="176" fontId="0" fillId="9" borderId="0" xfId="0" applyNumberFormat="1" applyFill="1"/>
    <xf numFmtId="38" fontId="0" fillId="0" borderId="0" xfId="0" applyFont="1" applyFill="1" applyBorder="1" applyAlignment="1">
      <alignment vertical="top" wrapText="1"/>
    </xf>
    <xf numFmtId="38" fontId="0" fillId="0" borderId="0" xfId="0" applyFill="1" applyBorder="1" applyAlignment="1">
      <alignment vertical="top" wrapText="1"/>
    </xf>
    <xf numFmtId="38" fontId="0" fillId="0" borderId="0" xfId="0" applyFont="1" applyFill="1" applyBorder="1" applyAlignment="1">
      <alignment wrapText="1"/>
    </xf>
    <xf numFmtId="38" fontId="0" fillId="0" borderId="0" xfId="0" applyFill="1" applyBorder="1" applyAlignment="1">
      <alignment wrapText="1"/>
    </xf>
    <xf numFmtId="38" fontId="10" fillId="0" borderId="0" xfId="0" applyFont="1" applyFill="1" applyBorder="1" applyAlignment="1">
      <alignment horizontal="right" wrapText="1"/>
    </xf>
    <xf numFmtId="38" fontId="0" fillId="0" borderId="0" xfId="0" applyFont="1" applyFill="1" applyBorder="1" applyAlignment="1">
      <alignment horizontal="right" wrapText="1"/>
    </xf>
    <xf numFmtId="0" fontId="63" fillId="0" borderId="0" xfId="21" applyFont="1" applyFill="1" applyBorder="1" applyAlignment="1">
      <alignment wrapText="1" shrinkToFit="1"/>
    </xf>
    <xf numFmtId="0" fontId="66" fillId="0" borderId="0" xfId="21" applyFont="1" applyFill="1" applyBorder="1" applyAlignment="1">
      <alignment horizontal="left" wrapText="1" shrinkToFit="1"/>
    </xf>
    <xf numFmtId="0" fontId="64" fillId="0" borderId="0" xfId="21" applyFont="1" applyFill="1" applyBorder="1" applyAlignment="1">
      <alignment horizontal="left" wrapText="1" shrinkToFit="1"/>
    </xf>
    <xf numFmtId="0" fontId="32" fillId="0" borderId="0" xfId="21" applyFont="1" applyFill="1" applyBorder="1" applyAlignment="1">
      <alignment horizontal="left" vertical="center" wrapText="1"/>
    </xf>
    <xf numFmtId="0" fontId="67" fillId="0" borderId="0" xfId="21" applyFont="1" applyFill="1" applyBorder="1" applyAlignment="1">
      <alignment wrapText="1"/>
    </xf>
    <xf numFmtId="0" fontId="31" fillId="0" borderId="0" xfId="21" applyFont="1" applyFill="1" applyBorder="1" applyAlignment="1">
      <alignment horizontal="left" wrapText="1"/>
    </xf>
    <xf numFmtId="0" fontId="67" fillId="0" borderId="0" xfId="21" applyFont="1" applyFill="1" applyBorder="1" applyAlignment="1">
      <alignment horizontal="left" wrapText="1"/>
    </xf>
    <xf numFmtId="38" fontId="0" fillId="21" borderId="47" xfId="0" applyFill="1" applyBorder="1" applyAlignment="1">
      <alignment horizontal="left" vertical="top" wrapText="1"/>
    </xf>
    <xf numFmtId="38" fontId="0" fillId="21" borderId="73" xfId="0" applyFill="1" applyBorder="1" applyAlignment="1">
      <alignment horizontal="left" vertical="top" wrapText="1"/>
    </xf>
    <xf numFmtId="38" fontId="22" fillId="21" borderId="46" xfId="0" applyFont="1" applyFill="1" applyBorder="1" applyAlignment="1">
      <alignment vertical="top"/>
    </xf>
    <xf numFmtId="38" fontId="22" fillId="21" borderId="47" xfId="0" applyFont="1" applyFill="1" applyBorder="1" applyAlignment="1">
      <alignment vertical="top"/>
    </xf>
    <xf numFmtId="0" fontId="41" fillId="0" borderId="0" xfId="0" applyNumberFormat="1" applyFont="1"/>
    <xf numFmtId="38" fontId="41" fillId="0" borderId="0" xfId="0" applyFont="1"/>
    <xf numFmtId="179" fontId="41" fillId="0" borderId="0" xfId="0" applyNumberFormat="1" applyFont="1"/>
    <xf numFmtId="10" fontId="41" fillId="0" borderId="0" xfId="26" applyNumberFormat="1" applyFont="1"/>
    <xf numFmtId="0" fontId="69" fillId="9" borderId="74" xfId="0" applyNumberFormat="1" applyFont="1" applyFill="1" applyBorder="1" applyAlignment="1">
      <alignment horizontal="center" vertical="top"/>
    </xf>
    <xf numFmtId="0" fontId="69" fillId="9" borderId="75" xfId="0" applyNumberFormat="1" applyFont="1" applyFill="1" applyBorder="1" applyAlignment="1">
      <alignment horizontal="center" vertical="top"/>
    </xf>
    <xf numFmtId="0" fontId="69" fillId="9" borderId="76" xfId="0" applyNumberFormat="1" applyFont="1" applyFill="1" applyBorder="1" applyAlignment="1">
      <alignment horizontal="center" vertical="top"/>
    </xf>
    <xf numFmtId="38" fontId="69" fillId="9" borderId="75" xfId="0" applyNumberFormat="1" applyFont="1" applyFill="1" applyBorder="1" applyAlignment="1">
      <alignment horizontal="center" vertical="top"/>
    </xf>
    <xf numFmtId="38" fontId="69" fillId="9" borderId="77" xfId="0" applyNumberFormat="1" applyFont="1" applyFill="1" applyBorder="1" applyAlignment="1">
      <alignment horizontal="center" vertical="top"/>
    </xf>
    <xf numFmtId="0" fontId="22" fillId="0" borderId="0" xfId="0" applyNumberFormat="1" applyFont="1" applyAlignment="1">
      <alignment horizontal="right"/>
    </xf>
    <xf numFmtId="0" fontId="41" fillId="0" borderId="19" xfId="0" applyNumberFormat="1" applyFont="1" applyBorder="1"/>
    <xf numFmtId="0" fontId="22" fillId="0" borderId="13" xfId="0" applyNumberFormat="1" applyFont="1" applyBorder="1" applyAlignment="1">
      <alignment horizontal="right"/>
    </xf>
    <xf numFmtId="38" fontId="41" fillId="0" borderId="14" xfId="0" applyNumberFormat="1" applyFont="1" applyBorder="1"/>
    <xf numFmtId="0" fontId="41" fillId="0" borderId="14" xfId="0" applyNumberFormat="1" applyFont="1" applyBorder="1"/>
    <xf numFmtId="38" fontId="41" fillId="0" borderId="26" xfId="0" applyNumberFormat="1" applyFont="1" applyBorder="1"/>
    <xf numFmtId="0" fontId="22" fillId="0" borderId="12" xfId="0" applyNumberFormat="1" applyFont="1" applyBorder="1" applyAlignment="1">
      <alignment horizontal="right"/>
    </xf>
    <xf numFmtId="38" fontId="41" fillId="0" borderId="19" xfId="0" applyNumberFormat="1" applyFont="1" applyBorder="1"/>
    <xf numFmtId="38" fontId="41" fillId="0" borderId="8" xfId="0" applyNumberFormat="1" applyFont="1" applyBorder="1"/>
    <xf numFmtId="0" fontId="41" fillId="0" borderId="14" xfId="0" applyNumberFormat="1" applyFont="1" applyBorder="1" applyAlignment="1">
      <alignment horizontal="center"/>
    </xf>
    <xf numFmtId="38" fontId="22" fillId="14" borderId="19" xfId="0" applyNumberFormat="1" applyFont="1" applyFill="1" applyBorder="1"/>
    <xf numFmtId="38" fontId="22" fillId="14" borderId="14" xfId="0" applyNumberFormat="1" applyFont="1" applyFill="1" applyBorder="1"/>
    <xf numFmtId="174" fontId="0" fillId="9" borderId="0" xfId="0" applyNumberFormat="1" applyFill="1" applyAlignment="1">
      <alignment horizontal="center"/>
    </xf>
    <xf numFmtId="38" fontId="4" fillId="14" borderId="0" xfId="0" applyFont="1" applyFill="1" applyAlignment="1">
      <alignment horizontal="right" shrinkToFit="1"/>
    </xf>
    <xf numFmtId="178" fontId="0" fillId="5" borderId="0" xfId="15" applyNumberFormat="1" applyFont="1">
      <protection locked="0"/>
    </xf>
    <xf numFmtId="174" fontId="0" fillId="0" borderId="9" xfId="0" applyNumberFormat="1" applyBorder="1" applyAlignment="1">
      <alignment horizontal="center" shrinkToFit="1"/>
    </xf>
    <xf numFmtId="1" fontId="80" fillId="0" borderId="9" xfId="0" applyNumberFormat="1" applyFont="1" applyBorder="1" applyAlignment="1">
      <alignment horizontal="center" shrinkToFit="1"/>
    </xf>
    <xf numFmtId="38" fontId="83" fillId="22" borderId="78" xfId="20" applyNumberFormat="1" applyFill="1" applyBorder="1" applyAlignment="1">
      <alignment horizontal="center" vertical="center" shrinkToFit="1"/>
    </xf>
    <xf numFmtId="170" fontId="53" fillId="22" borderId="27" xfId="20" applyNumberFormat="1" applyFont="1" applyFill="1" applyBorder="1" applyAlignment="1">
      <alignment shrinkToFit="1"/>
    </xf>
    <xf numFmtId="170" fontId="53" fillId="22" borderId="28" xfId="20" applyNumberFormat="1" applyFont="1" applyFill="1" applyBorder="1" applyAlignment="1">
      <alignment shrinkToFit="1"/>
    </xf>
    <xf numFmtId="170" fontId="53" fillId="22" borderId="29" xfId="20" applyNumberFormat="1" applyFont="1" applyFill="1" applyBorder="1" applyAlignment="1">
      <alignment shrinkToFit="1"/>
    </xf>
    <xf numFmtId="176" fontId="83" fillId="22" borderId="19" xfId="20" applyNumberFormat="1" applyFill="1" applyBorder="1" applyAlignment="1">
      <alignment shrinkToFit="1"/>
    </xf>
    <xf numFmtId="170" fontId="83" fillId="22" borderId="79" xfId="20" applyNumberFormat="1" applyFill="1" applyBorder="1" applyAlignment="1">
      <alignment shrinkToFit="1"/>
    </xf>
    <xf numFmtId="170" fontId="83" fillId="22" borderId="80" xfId="20" applyNumberFormat="1" applyFill="1" applyBorder="1" applyAlignment="1">
      <alignment shrinkToFit="1"/>
    </xf>
    <xf numFmtId="176" fontId="83" fillId="22" borderId="0" xfId="20" applyNumberFormat="1" applyFill="1" applyBorder="1" applyAlignment="1">
      <alignment shrinkToFit="1"/>
    </xf>
    <xf numFmtId="170" fontId="83" fillId="22" borderId="9" xfId="20" applyNumberFormat="1" applyFill="1" applyBorder="1" applyAlignment="1">
      <alignment shrinkToFit="1"/>
    </xf>
    <xf numFmtId="170" fontId="83" fillId="22" borderId="10" xfId="20" applyNumberFormat="1" applyFill="1" applyBorder="1" applyAlignment="1">
      <alignment shrinkToFit="1"/>
    </xf>
    <xf numFmtId="38" fontId="7" fillId="9" borderId="0" xfId="0" applyFont="1" applyFill="1" applyAlignment="1">
      <alignment vertical="top"/>
    </xf>
    <xf numFmtId="38" fontId="83" fillId="0" borderId="0" xfId="20" applyNumberFormat="1" applyAlignment="1">
      <alignment horizontal="right" indent="1" shrinkToFit="1"/>
    </xf>
    <xf numFmtId="38" fontId="1" fillId="0" borderId="0" xfId="20" applyNumberFormat="1" applyFont="1" applyAlignment="1">
      <alignment horizontal="right" indent="1" shrinkToFit="1"/>
    </xf>
    <xf numFmtId="38" fontId="7" fillId="0" borderId="0" xfId="0" applyFont="1" applyFill="1" applyBorder="1" applyAlignment="1">
      <alignment horizontal="center" vertical="top" wrapText="1"/>
    </xf>
    <xf numFmtId="38" fontId="7" fillId="0" borderId="0" xfId="0" applyFont="1" applyAlignment="1">
      <alignment horizontal="center" vertical="top"/>
    </xf>
    <xf numFmtId="38" fontId="22" fillId="0" borderId="0" xfId="0" applyFont="1" applyFill="1" applyBorder="1" applyAlignment="1">
      <alignment vertical="top" wrapText="1"/>
    </xf>
    <xf numFmtId="38" fontId="0" fillId="23" borderId="0" xfId="0" applyFill="1" applyBorder="1" applyAlignment="1">
      <alignment wrapText="1"/>
    </xf>
    <xf numFmtId="38" fontId="0" fillId="23" borderId="0" xfId="0" applyFill="1" applyBorder="1" applyAlignment="1">
      <alignment vertical="top" wrapText="1"/>
    </xf>
    <xf numFmtId="0" fontId="83" fillId="0" borderId="0" xfId="20" applyAlignment="1">
      <alignment wrapText="1"/>
    </xf>
    <xf numFmtId="38" fontId="4" fillId="24" borderId="2" xfId="0" applyFont="1" applyFill="1" applyBorder="1" applyAlignment="1">
      <alignment horizontal="center"/>
    </xf>
    <xf numFmtId="0" fontId="89" fillId="0" borderId="0" xfId="20" applyFont="1"/>
    <xf numFmtId="38" fontId="0" fillId="24" borderId="0" xfId="0" applyFont="1" applyFill="1" applyBorder="1" applyAlignment="1">
      <alignment vertical="top" wrapText="1"/>
    </xf>
    <xf numFmtId="38" fontId="0" fillId="24" borderId="0" xfId="0" applyFill="1" applyAlignment="1">
      <alignment vertical="top" wrapText="1"/>
    </xf>
    <xf numFmtId="38" fontId="1" fillId="0" borderId="0" xfId="20" applyNumberFormat="1" applyFont="1" applyAlignment="1">
      <alignment horizontal="left" indent="1" shrinkToFit="1"/>
    </xf>
    <xf numFmtId="38" fontId="79" fillId="9" borderId="0" xfId="0" applyFont="1" applyFill="1" applyAlignment="1">
      <alignment horizontal="left" vertical="center" indent="3"/>
    </xf>
    <xf numFmtId="38" fontId="0" fillId="25" borderId="0" xfId="0" applyFill="1" applyBorder="1" applyAlignment="1">
      <alignment vertical="top" wrapText="1"/>
    </xf>
    <xf numFmtId="174" fontId="41" fillId="5" borderId="15" xfId="15" applyNumberFormat="1" applyFont="1" applyBorder="1" applyAlignment="1">
      <alignment horizontal="center" shrinkToFit="1"/>
      <protection locked="0"/>
    </xf>
    <xf numFmtId="38" fontId="22" fillId="9" borderId="0" xfId="0" applyFont="1" applyFill="1"/>
    <xf numFmtId="40" fontId="4" fillId="12" borderId="25" xfId="26" applyNumberFormat="1" applyFont="1" applyFill="1" applyBorder="1" applyAlignment="1">
      <alignment shrinkToFit="1"/>
    </xf>
    <xf numFmtId="0" fontId="83" fillId="26" borderId="22" xfId="20" applyFill="1" applyBorder="1" applyProtection="1">
      <protection locked="0"/>
    </xf>
    <xf numFmtId="38" fontId="4" fillId="14" borderId="0" xfId="0" applyFont="1" applyFill="1" applyBorder="1" applyAlignment="1">
      <alignment horizontal="center" shrinkToFit="1"/>
    </xf>
    <xf numFmtId="38" fontId="4" fillId="14" borderId="0" xfId="0" applyFont="1" applyFill="1" applyAlignment="1">
      <alignment horizontal="center" shrinkToFit="1"/>
    </xf>
    <xf numFmtId="1" fontId="41" fillId="14" borderId="16" xfId="26" applyNumberFormat="1" applyFont="1" applyFill="1" applyBorder="1" applyAlignment="1">
      <alignment horizontal="center" shrinkToFit="1"/>
    </xf>
    <xf numFmtId="10" fontId="0" fillId="0" borderId="0" xfId="26" applyNumberFormat="1" applyFont="1" applyAlignment="1">
      <alignment horizontal="right"/>
    </xf>
    <xf numFmtId="10" fontId="0" fillId="0" borderId="0" xfId="26" applyNumberFormat="1" applyFont="1" applyAlignment="1">
      <alignment horizontal="right" indent="1"/>
    </xf>
    <xf numFmtId="180" fontId="41" fillId="14" borderId="16" xfId="26" applyNumberFormat="1" applyFont="1" applyFill="1" applyBorder="1" applyAlignment="1">
      <alignment horizontal="center" vertical="center" shrinkToFit="1"/>
    </xf>
    <xf numFmtId="182" fontId="41" fillId="14" borderId="16" xfId="26" applyNumberFormat="1" applyFont="1" applyFill="1" applyBorder="1" applyAlignment="1">
      <alignment horizontal="center" shrinkToFit="1"/>
    </xf>
    <xf numFmtId="38" fontId="0" fillId="0" borderId="0" xfId="0" applyAlignment="1">
      <alignment horizontal="right" indent="1" shrinkToFit="1"/>
    </xf>
    <xf numFmtId="10" fontId="41" fillId="14" borderId="16" xfId="26" applyNumberFormat="1" applyFont="1" applyFill="1" applyBorder="1" applyAlignment="1">
      <alignment horizontal="center" shrinkToFit="1"/>
    </xf>
    <xf numFmtId="10" fontId="41" fillId="27" borderId="81" xfId="26" applyNumberFormat="1" applyFont="1" applyFill="1" applyBorder="1" applyAlignment="1">
      <alignment horizontal="center" shrinkToFit="1"/>
    </xf>
    <xf numFmtId="10" fontId="41" fillId="27" borderId="82" xfId="26" applyNumberFormat="1" applyFont="1" applyFill="1" applyBorder="1" applyAlignment="1">
      <alignment horizontal="center" shrinkToFit="1"/>
    </xf>
    <xf numFmtId="38" fontId="0" fillId="0" borderId="0" xfId="0" applyAlignment="1">
      <alignment horizontal="center" wrapText="1"/>
    </xf>
    <xf numFmtId="180" fontId="41" fillId="0" borderId="0" xfId="26" applyNumberFormat="1" applyFont="1" applyFill="1" applyBorder="1" applyAlignment="1">
      <alignment horizontal="center" vertical="center" shrinkToFit="1"/>
    </xf>
    <xf numFmtId="38" fontId="41" fillId="0" borderId="0" xfId="0" applyNumberFormat="1" applyFont="1" applyFill="1" applyBorder="1" applyAlignment="1">
      <alignment horizontal="center" shrinkToFit="1"/>
    </xf>
    <xf numFmtId="180" fontId="41" fillId="0" borderId="61" xfId="26" applyNumberFormat="1" applyFont="1" applyFill="1" applyBorder="1" applyAlignment="1">
      <alignment horizontal="center" shrinkToFit="1"/>
    </xf>
    <xf numFmtId="180" fontId="41" fillId="0" borderId="63" xfId="26" applyNumberFormat="1" applyFont="1" applyFill="1" applyBorder="1" applyAlignment="1">
      <alignment horizontal="center" shrinkToFit="1"/>
    </xf>
    <xf numFmtId="180" fontId="41" fillId="0" borderId="0" xfId="26" applyNumberFormat="1" applyFont="1" applyFill="1" applyBorder="1" applyAlignment="1">
      <alignment horizontal="center" shrinkToFit="1"/>
    </xf>
    <xf numFmtId="38" fontId="4" fillId="27" borderId="61" xfId="0" quotePrefix="1" applyFont="1" applyFill="1" applyBorder="1" applyAlignment="1">
      <alignment horizontal="center" shrinkToFit="1"/>
    </xf>
    <xf numFmtId="38" fontId="4" fillId="27" borderId="63" xfId="0" quotePrefix="1" applyFont="1" applyFill="1" applyBorder="1" applyAlignment="1">
      <alignment horizontal="right" shrinkToFit="1"/>
    </xf>
    <xf numFmtId="181" fontId="7" fillId="19" borderId="2" xfId="4" applyNumberFormat="1" applyFont="1" applyFill="1" applyBorder="1" applyAlignment="1" applyProtection="1">
      <alignment horizontal="center" shrinkToFit="1"/>
      <protection locked="0"/>
    </xf>
    <xf numFmtId="39" fontId="31" fillId="0" borderId="0" xfId="4" applyNumberFormat="1" applyFont="1" applyAlignment="1">
      <alignment horizontal="left" vertical="center"/>
    </xf>
    <xf numFmtId="38" fontId="0" fillId="25" borderId="0" xfId="0" applyFont="1" applyFill="1" applyBorder="1" applyAlignment="1">
      <alignment vertical="top" wrapText="1"/>
    </xf>
    <xf numFmtId="40" fontId="5" fillId="5" borderId="0" xfId="15" applyNumberFormat="1" applyAlignment="1">
      <alignment horizontal="center"/>
      <protection locked="0"/>
    </xf>
    <xf numFmtId="170" fontId="90" fillId="16" borderId="34" xfId="20" applyNumberFormat="1" applyFont="1" applyFill="1" applyBorder="1" applyAlignment="1">
      <alignment shrinkToFit="1"/>
    </xf>
    <xf numFmtId="170" fontId="90" fillId="16" borderId="32" xfId="20" applyNumberFormat="1" applyFont="1" applyFill="1" applyBorder="1" applyAlignment="1">
      <alignment shrinkToFit="1"/>
    </xf>
    <xf numFmtId="170" fontId="90" fillId="16" borderId="83" xfId="20" applyNumberFormat="1" applyFont="1" applyFill="1" applyBorder="1" applyAlignment="1">
      <alignment shrinkToFit="1"/>
    </xf>
    <xf numFmtId="170" fontId="0" fillId="0" borderId="11" xfId="5" applyNumberFormat="1" applyFont="1" applyBorder="1" applyAlignment="1">
      <alignment horizontal="right" shrinkToFit="1"/>
    </xf>
    <xf numFmtId="40" fontId="0" fillId="12" borderId="25" xfId="0" applyNumberFormat="1" applyFill="1" applyBorder="1" applyAlignment="1">
      <alignment horizontal="right" shrinkToFit="1"/>
    </xf>
    <xf numFmtId="181" fontId="83" fillId="0" borderId="0" xfId="20" applyNumberFormat="1"/>
    <xf numFmtId="38" fontId="4" fillId="9" borderId="0" xfId="0" applyFont="1" applyFill="1" applyAlignment="1"/>
    <xf numFmtId="4" fontId="0" fillId="0" borderId="0" xfId="0" applyNumberFormat="1"/>
    <xf numFmtId="38" fontId="84" fillId="23" borderId="84" xfId="0" applyFont="1" applyFill="1" applyBorder="1"/>
    <xf numFmtId="38" fontId="0" fillId="23" borderId="19" xfId="0" applyFill="1" applyBorder="1"/>
    <xf numFmtId="38" fontId="0" fillId="23" borderId="8" xfId="0" applyFill="1" applyBorder="1"/>
    <xf numFmtId="38" fontId="0" fillId="23" borderId="0" xfId="0" applyFill="1"/>
    <xf numFmtId="38" fontId="0" fillId="23" borderId="0" xfId="0" applyFill="1" applyBorder="1"/>
    <xf numFmtId="38" fontId="0" fillId="23" borderId="14" xfId="0" applyFill="1" applyBorder="1"/>
    <xf numFmtId="38" fontId="84" fillId="23" borderId="14" xfId="0" applyFont="1" applyFill="1" applyBorder="1"/>
    <xf numFmtId="38" fontId="84" fillId="28" borderId="85" xfId="0" applyFont="1" applyFill="1" applyBorder="1" applyAlignment="1">
      <alignment horizontal="center" vertical="center" wrapText="1"/>
    </xf>
    <xf numFmtId="38" fontId="84" fillId="28" borderId="86" xfId="0" applyFont="1" applyFill="1" applyBorder="1" applyAlignment="1">
      <alignment horizontal="center" vertical="center" wrapText="1"/>
    </xf>
    <xf numFmtId="38" fontId="84" fillId="29" borderId="87" xfId="0" applyFont="1" applyFill="1" applyBorder="1" applyAlignment="1">
      <alignment horizontal="center" vertical="center" wrapText="1"/>
    </xf>
    <xf numFmtId="38" fontId="84" fillId="30" borderId="88" xfId="0" applyFont="1" applyFill="1" applyBorder="1" applyAlignment="1">
      <alignment horizontal="center" vertical="center" wrapText="1"/>
    </xf>
    <xf numFmtId="38" fontId="84" fillId="30" borderId="89" xfId="0" applyFont="1" applyFill="1" applyBorder="1" applyAlignment="1">
      <alignment horizontal="center" vertical="center" wrapText="1"/>
    </xf>
    <xf numFmtId="38" fontId="84" fillId="30" borderId="90" xfId="0" applyFont="1" applyFill="1" applyBorder="1" applyAlignment="1">
      <alignment horizontal="center" vertical="center" wrapText="1"/>
    </xf>
    <xf numFmtId="38" fontId="84" fillId="29" borderId="91" xfId="0" applyFont="1" applyFill="1" applyBorder="1" applyAlignment="1">
      <alignment horizontal="center" vertical="center" wrapText="1"/>
    </xf>
    <xf numFmtId="38" fontId="84" fillId="28" borderId="92" xfId="0" applyFont="1" applyFill="1" applyBorder="1" applyAlignment="1">
      <alignment horizontal="center" vertical="center" wrapText="1"/>
    </xf>
    <xf numFmtId="38" fontId="88" fillId="23" borderId="0" xfId="0" applyFont="1" applyFill="1" applyAlignment="1">
      <alignment horizontal="center" vertical="center" wrapText="1"/>
    </xf>
    <xf numFmtId="38" fontId="0" fillId="23" borderId="93" xfId="0" applyFill="1" applyBorder="1"/>
    <xf numFmtId="174" fontId="88" fillId="0" borderId="64" xfId="0" applyNumberFormat="1" applyFont="1" applyFill="1" applyBorder="1"/>
    <xf numFmtId="2" fontId="0" fillId="23" borderId="0" xfId="0" applyNumberFormat="1" applyFill="1"/>
    <xf numFmtId="4" fontId="0" fillId="23" borderId="0" xfId="0" applyNumberFormat="1" applyFill="1"/>
    <xf numFmtId="38" fontId="0" fillId="23" borderId="94" xfId="0" applyFill="1" applyBorder="1"/>
    <xf numFmtId="38" fontId="91" fillId="23" borderId="0" xfId="0" applyFont="1" applyFill="1"/>
    <xf numFmtId="38" fontId="92" fillId="28" borderId="3" xfId="0" applyFont="1" applyFill="1" applyBorder="1"/>
    <xf numFmtId="4" fontId="91" fillId="29" borderId="78" xfId="0" applyNumberFormat="1" applyFont="1" applyFill="1" applyBorder="1"/>
    <xf numFmtId="4" fontId="91" fillId="29" borderId="95" xfId="0" applyNumberFormat="1" applyFont="1" applyFill="1" applyBorder="1"/>
    <xf numFmtId="4" fontId="91" fillId="31" borderId="96" xfId="0" applyNumberFormat="1" applyFont="1" applyFill="1" applyBorder="1"/>
    <xf numFmtId="4" fontId="91" fillId="31" borderId="28" xfId="0" applyNumberFormat="1" applyFont="1" applyFill="1" applyBorder="1"/>
    <xf numFmtId="4" fontId="91" fillId="31" borderId="97" xfId="0" applyNumberFormat="1" applyFont="1" applyFill="1" applyBorder="1"/>
    <xf numFmtId="4" fontId="91" fillId="31" borderId="98" xfId="0" applyNumberFormat="1" applyFont="1" applyFill="1" applyBorder="1"/>
    <xf numFmtId="4" fontId="91" fillId="29" borderId="28" xfId="0" applyNumberFormat="1" applyFont="1" applyFill="1" applyBorder="1"/>
    <xf numFmtId="4" fontId="91" fillId="32" borderId="2" xfId="0" applyNumberFormat="1" applyFont="1" applyFill="1" applyBorder="1"/>
    <xf numFmtId="38" fontId="0" fillId="25" borderId="0" xfId="0" applyFill="1"/>
    <xf numFmtId="38" fontId="88" fillId="24" borderId="99" xfId="0" applyFont="1" applyFill="1" applyBorder="1" applyAlignment="1">
      <alignment horizontal="center" vertical="center" wrapText="1"/>
    </xf>
    <xf numFmtId="0" fontId="41" fillId="0" borderId="39" xfId="0" applyNumberFormat="1" applyFont="1" applyBorder="1"/>
    <xf numFmtId="38" fontId="27" fillId="9" borderId="0" xfId="0" applyNumberFormat="1" applyFont="1" applyFill="1" applyBorder="1"/>
    <xf numFmtId="38" fontId="81" fillId="9" borderId="43" xfId="0" applyNumberFormat="1" applyFont="1" applyFill="1" applyBorder="1" applyAlignment="1">
      <alignment horizontal="center" vertical="top"/>
    </xf>
    <xf numFmtId="38" fontId="81" fillId="9" borderId="43" xfId="0" applyNumberFormat="1" applyFont="1" applyFill="1" applyBorder="1" applyAlignment="1">
      <alignment horizontal="center"/>
    </xf>
    <xf numFmtId="38" fontId="81" fillId="9" borderId="75" xfId="0" applyNumberFormat="1" applyFont="1" applyFill="1" applyBorder="1" applyAlignment="1">
      <alignment horizontal="center" vertical="top"/>
    </xf>
    <xf numFmtId="0" fontId="41" fillId="0" borderId="41" xfId="0" applyNumberFormat="1" applyFont="1" applyBorder="1"/>
    <xf numFmtId="0" fontId="6" fillId="0" borderId="0" xfId="0" applyNumberFormat="1" applyFont="1"/>
    <xf numFmtId="4" fontId="0" fillId="33" borderId="64" xfId="0" applyNumberFormat="1" applyFill="1" applyBorder="1"/>
    <xf numFmtId="38" fontId="93" fillId="33" borderId="100" xfId="0" applyFont="1" applyFill="1" applyBorder="1" applyAlignment="1">
      <alignment horizontal="center" vertical="center" wrapText="1"/>
    </xf>
    <xf numFmtId="38" fontId="93" fillId="33" borderId="89" xfId="0" applyFont="1" applyFill="1" applyBorder="1" applyAlignment="1">
      <alignment horizontal="center" vertical="center" wrapText="1"/>
    </xf>
    <xf numFmtId="38" fontId="22" fillId="0" borderId="0" xfId="0" applyFont="1" applyBorder="1"/>
    <xf numFmtId="38" fontId="37" fillId="13" borderId="133" xfId="20" applyNumberFormat="1" applyFont="1" applyFill="1" applyBorder="1" applyAlignment="1">
      <alignment horizontal="center"/>
    </xf>
    <xf numFmtId="9" fontId="37" fillId="13" borderId="133" xfId="26" applyFont="1" applyFill="1" applyBorder="1" applyAlignment="1">
      <alignment horizontal="center"/>
    </xf>
    <xf numFmtId="39" fontId="37" fillId="9" borderId="2" xfId="4" applyNumberFormat="1" applyFont="1" applyFill="1" applyBorder="1" applyAlignment="1">
      <alignment horizontal="center"/>
    </xf>
    <xf numFmtId="164" fontId="5" fillId="22" borderId="10" xfId="26" applyNumberFormat="1" applyFont="1" applyFill="1" applyBorder="1" applyAlignment="1">
      <alignment shrinkToFit="1"/>
    </xf>
    <xf numFmtId="0" fontId="83" fillId="0" borderId="0" xfId="20" applyAlignment="1">
      <alignment shrinkToFit="1"/>
    </xf>
    <xf numFmtId="0" fontId="83" fillId="0" borderId="0" xfId="20" applyAlignment="1">
      <alignment horizontal="right" indent="1" shrinkToFit="1"/>
    </xf>
    <xf numFmtId="38" fontId="7" fillId="9" borderId="25" xfId="0" applyFont="1" applyFill="1" applyBorder="1" applyAlignment="1">
      <alignment horizontal="center" shrinkToFit="1"/>
    </xf>
    <xf numFmtId="38" fontId="7" fillId="9" borderId="25" xfId="0" applyFont="1" applyFill="1" applyBorder="1" applyAlignment="1"/>
    <xf numFmtId="38" fontId="6" fillId="9" borderId="101" xfId="0" applyFont="1" applyFill="1" applyBorder="1" applyAlignment="1">
      <alignment horizontal="center" vertical="center" wrapText="1"/>
    </xf>
    <xf numFmtId="0" fontId="83" fillId="24" borderId="0" xfId="20" applyFill="1" applyAlignment="1">
      <alignment horizontal="right"/>
    </xf>
    <xf numFmtId="170" fontId="53" fillId="9" borderId="2" xfId="20" applyNumberFormat="1" applyFont="1" applyFill="1" applyBorder="1" applyAlignment="1">
      <alignment shrinkToFit="1"/>
    </xf>
    <xf numFmtId="0" fontId="83" fillId="0" borderId="8" xfId="20" applyBorder="1"/>
    <xf numFmtId="170" fontId="83" fillId="16" borderId="15" xfId="20" applyNumberFormat="1" applyFill="1" applyBorder="1" applyAlignment="1">
      <alignment shrinkToFit="1"/>
    </xf>
    <xf numFmtId="164" fontId="83" fillId="16" borderId="16" xfId="26" applyNumberFormat="1" applyFont="1" applyFill="1" applyBorder="1" applyAlignment="1">
      <alignment shrinkToFit="1"/>
    </xf>
    <xf numFmtId="164" fontId="83" fillId="16" borderId="17" xfId="26" applyNumberFormat="1" applyFont="1" applyFill="1" applyBorder="1" applyAlignment="1">
      <alignment shrinkToFit="1"/>
    </xf>
    <xf numFmtId="170" fontId="83" fillId="0" borderId="26" xfId="20" applyNumberFormat="1" applyBorder="1" applyAlignment="1">
      <alignment shrinkToFit="1"/>
    </xf>
    <xf numFmtId="38" fontId="0" fillId="34" borderId="0" xfId="0" applyFill="1" applyProtection="1">
      <protection locked="0"/>
    </xf>
    <xf numFmtId="164" fontId="5" fillId="35" borderId="10" xfId="26" applyNumberFormat="1" applyFont="1" applyFill="1" applyBorder="1" applyAlignment="1">
      <alignment shrinkToFit="1"/>
    </xf>
    <xf numFmtId="38" fontId="6" fillId="35" borderId="23" xfId="0" applyFont="1" applyFill="1" applyBorder="1" applyAlignment="1">
      <alignment horizontal="center" vertical="center" wrapText="1"/>
    </xf>
    <xf numFmtId="37" fontId="7" fillId="34" borderId="2" xfId="4" applyNumberFormat="1" applyFont="1" applyFill="1" applyBorder="1" applyAlignment="1" applyProtection="1">
      <alignment horizontal="center"/>
      <protection locked="0"/>
    </xf>
    <xf numFmtId="164" fontId="7" fillId="34" borderId="2" xfId="27" applyNumberFormat="1" applyFont="1" applyFill="1" applyBorder="1" applyAlignment="1" applyProtection="1">
      <alignment horizontal="center"/>
      <protection locked="0"/>
    </xf>
    <xf numFmtId="10" fontId="7" fillId="34" borderId="102" xfId="27" applyNumberFormat="1" applyFont="1" applyFill="1" applyBorder="1" applyAlignment="1" applyProtection="1">
      <alignment horizontal="center"/>
      <protection locked="0"/>
    </xf>
    <xf numFmtId="10" fontId="7" fillId="34" borderId="103" xfId="27" applyNumberFormat="1" applyFont="1" applyFill="1" applyBorder="1" applyAlignment="1" applyProtection="1">
      <alignment horizontal="center"/>
      <protection locked="0"/>
    </xf>
    <xf numFmtId="39" fontId="7" fillId="34" borderId="104" xfId="4" applyNumberFormat="1" applyFont="1" applyFill="1" applyBorder="1" applyAlignment="1" applyProtection="1">
      <alignment horizontal="center" shrinkToFit="1"/>
      <protection locked="0"/>
    </xf>
    <xf numFmtId="39" fontId="7" fillId="34" borderId="105" xfId="4" applyNumberFormat="1" applyFont="1" applyFill="1" applyBorder="1" applyAlignment="1" applyProtection="1">
      <alignment horizontal="center" shrinkToFit="1"/>
      <protection locked="0"/>
    </xf>
    <xf numFmtId="10" fontId="7" fillId="34" borderId="106" xfId="27" applyNumberFormat="1" applyFont="1" applyFill="1" applyBorder="1" applyAlignment="1" applyProtection="1">
      <alignment horizontal="center"/>
      <protection locked="0"/>
    </xf>
    <xf numFmtId="164" fontId="7" fillId="34" borderId="103" xfId="27" applyNumberFormat="1" applyFont="1" applyFill="1" applyBorder="1" applyAlignment="1" applyProtection="1">
      <alignment horizontal="center"/>
      <protection locked="0"/>
    </xf>
    <xf numFmtId="164" fontId="7" fillId="34" borderId="102" xfId="27" applyNumberFormat="1" applyFont="1" applyFill="1" applyBorder="1" applyAlignment="1" applyProtection="1">
      <alignment horizontal="center"/>
      <protection locked="0"/>
    </xf>
    <xf numFmtId="0" fontId="56" fillId="0" borderId="0" xfId="20" applyFont="1" applyBorder="1" applyAlignment="1">
      <alignment horizontal="left" shrinkToFit="1"/>
    </xf>
    <xf numFmtId="0" fontId="94" fillId="0" borderId="0" xfId="20" applyFont="1" applyAlignment="1">
      <alignment horizontal="left" indent="1"/>
    </xf>
    <xf numFmtId="0" fontId="94" fillId="0" borderId="2" xfId="20" applyFont="1" applyBorder="1" applyAlignment="1">
      <alignment horizontal="left" vertical="center" wrapText="1"/>
    </xf>
    <xf numFmtId="10" fontId="41" fillId="25" borderId="2" xfId="26" applyNumberFormat="1" applyFont="1" applyFill="1" applyBorder="1" applyAlignment="1">
      <alignment horizontal="center" shrinkToFit="1"/>
    </xf>
    <xf numFmtId="38" fontId="91" fillId="23" borderId="0" xfId="0" applyFont="1" applyFill="1" applyAlignment="1">
      <alignment shrinkToFit="1"/>
    </xf>
    <xf numFmtId="164" fontId="91" fillId="23" borderId="0" xfId="26" applyNumberFormat="1" applyFont="1" applyFill="1" applyAlignment="1">
      <alignment shrinkToFit="1"/>
    </xf>
    <xf numFmtId="38" fontId="84" fillId="28" borderId="94" xfId="0" applyFont="1" applyFill="1" applyBorder="1" applyAlignment="1">
      <alignment horizontal="right"/>
    </xf>
    <xf numFmtId="38" fontId="95" fillId="28" borderId="102" xfId="0" applyFont="1" applyFill="1" applyBorder="1" applyAlignment="1">
      <alignment horizontal="right"/>
    </xf>
    <xf numFmtId="170" fontId="0" fillId="0" borderId="107" xfId="5" applyNumberFormat="1" applyFont="1" applyBorder="1" applyAlignment="1">
      <alignment shrinkToFit="1"/>
    </xf>
    <xf numFmtId="170" fontId="0" fillId="0" borderId="36" xfId="5" applyNumberFormat="1" applyFont="1" applyBorder="1" applyAlignment="1">
      <alignment horizontal="right" shrinkToFit="1"/>
    </xf>
    <xf numFmtId="40" fontId="0" fillId="12" borderId="57" xfId="0" applyNumberFormat="1" applyFill="1" applyBorder="1" applyAlignment="1">
      <alignment shrinkToFit="1"/>
    </xf>
    <xf numFmtId="170" fontId="0" fillId="0" borderId="79" xfId="5" applyNumberFormat="1" applyFont="1" applyBorder="1" applyAlignment="1">
      <alignment shrinkToFit="1"/>
    </xf>
    <xf numFmtId="170" fontId="0" fillId="0" borderId="9" xfId="5" applyNumberFormat="1" applyFont="1" applyBorder="1" applyAlignment="1">
      <alignment shrinkToFit="1"/>
    </xf>
    <xf numFmtId="40" fontId="0" fillId="12" borderId="58" xfId="0" applyNumberFormat="1" applyFill="1" applyBorder="1" applyAlignment="1">
      <alignment shrinkToFit="1"/>
    </xf>
    <xf numFmtId="38" fontId="96" fillId="23" borderId="0" xfId="0" applyFont="1" applyFill="1"/>
    <xf numFmtId="38" fontId="84" fillId="30" borderId="100" xfId="0" applyFont="1" applyFill="1" applyBorder="1" applyAlignment="1">
      <alignment horizontal="center" vertical="center" wrapText="1"/>
    </xf>
    <xf numFmtId="4" fontId="91" fillId="31" borderId="78" xfId="0" applyNumberFormat="1" applyFont="1" applyFill="1" applyBorder="1"/>
    <xf numFmtId="40" fontId="88" fillId="34" borderId="108" xfId="0" applyNumberFormat="1" applyFont="1" applyFill="1" applyBorder="1" applyAlignment="1">
      <alignment horizontal="center" wrapText="1"/>
    </xf>
    <xf numFmtId="0" fontId="97" fillId="0" borderId="0" xfId="20" applyFont="1" applyFill="1" applyBorder="1" applyAlignment="1">
      <alignment horizontal="left" vertical="center" shrinkToFit="1"/>
    </xf>
    <xf numFmtId="3" fontId="29" fillId="36" borderId="134" xfId="20" applyNumberFormat="1" applyFont="1" applyFill="1" applyBorder="1" applyAlignment="1">
      <alignment horizontal="center" shrinkToFit="1"/>
    </xf>
    <xf numFmtId="0" fontId="11" fillId="0" borderId="0" xfId="0" applyNumberFormat="1" applyFont="1" applyBorder="1" applyAlignment="1">
      <alignment vertical="center"/>
    </xf>
    <xf numFmtId="0" fontId="4" fillId="0" borderId="2" xfId="0" applyNumberFormat="1" applyFont="1" applyBorder="1" applyAlignment="1">
      <alignment horizontal="center" vertical="center" wrapText="1"/>
    </xf>
    <xf numFmtId="1" fontId="1" fillId="36" borderId="22" xfId="20" applyNumberFormat="1" applyFont="1" applyFill="1" applyBorder="1" applyAlignment="1">
      <alignment horizontal="center"/>
    </xf>
    <xf numFmtId="2" fontId="1" fillId="36" borderId="22" xfId="20" applyNumberFormat="1" applyFont="1" applyFill="1" applyBorder="1" applyAlignment="1">
      <alignment horizontal="center"/>
    </xf>
    <xf numFmtId="38" fontId="1" fillId="36" borderId="22" xfId="20" applyNumberFormat="1" applyFont="1" applyFill="1" applyBorder="1" applyAlignment="1">
      <alignment horizontal="right" shrinkToFit="1"/>
    </xf>
    <xf numFmtId="40" fontId="88" fillId="24" borderId="109" xfId="0" applyNumberFormat="1" applyFont="1" applyFill="1" applyBorder="1"/>
    <xf numFmtId="38" fontId="98" fillId="23" borderId="0" xfId="13" applyNumberFormat="1" applyFont="1" applyFill="1"/>
    <xf numFmtId="0" fontId="99" fillId="0" borderId="14" xfId="0" applyNumberFormat="1" applyFont="1" applyBorder="1" applyAlignment="1">
      <alignment horizontal="right" shrinkToFit="1"/>
    </xf>
    <xf numFmtId="0" fontId="99" fillId="0" borderId="0" xfId="0" applyNumberFormat="1" applyFont="1" applyAlignment="1">
      <alignment horizontal="right" shrinkToFit="1"/>
    </xf>
    <xf numFmtId="0" fontId="41" fillId="0" borderId="0" xfId="0" applyNumberFormat="1" applyFont="1" applyAlignment="1">
      <alignment horizontal="right"/>
    </xf>
    <xf numFmtId="38" fontId="100" fillId="9" borderId="0" xfId="0" applyFont="1" applyFill="1"/>
    <xf numFmtId="176" fontId="0" fillId="9" borderId="0" xfId="0" applyNumberFormat="1" applyFill="1" applyAlignment="1">
      <alignment horizontal="center"/>
    </xf>
    <xf numFmtId="38" fontId="4" fillId="9" borderId="0" xfId="0" applyFont="1" applyFill="1" applyAlignment="1">
      <alignment horizontal="left" vertical="center" indent="1"/>
    </xf>
    <xf numFmtId="164" fontId="22" fillId="12" borderId="18" xfId="26" applyNumberFormat="1" applyFont="1" applyFill="1" applyBorder="1" applyAlignment="1">
      <alignment shrinkToFit="1"/>
    </xf>
    <xf numFmtId="164" fontId="22" fillId="12" borderId="57" xfId="26" applyNumberFormat="1" applyFont="1" applyFill="1" applyBorder="1" applyAlignment="1">
      <alignment shrinkToFit="1"/>
    </xf>
    <xf numFmtId="164" fontId="22" fillId="12" borderId="60" xfId="26" applyNumberFormat="1" applyFont="1" applyFill="1" applyBorder="1" applyAlignment="1">
      <alignment shrinkToFit="1"/>
    </xf>
    <xf numFmtId="38" fontId="41" fillId="12" borderId="110" xfId="0" applyFont="1" applyFill="1" applyBorder="1" applyAlignment="1">
      <alignment shrinkToFit="1"/>
    </xf>
    <xf numFmtId="38" fontId="41" fillId="12" borderId="111" xfId="0" applyFont="1" applyFill="1" applyBorder="1" applyAlignment="1">
      <alignment shrinkToFit="1"/>
    </xf>
    <xf numFmtId="10" fontId="101" fillId="30" borderId="78" xfId="0" applyNumberFormat="1" applyFont="1" applyFill="1" applyBorder="1" applyAlignment="1">
      <alignment horizontal="center"/>
    </xf>
    <xf numFmtId="38" fontId="0" fillId="23" borderId="0" xfId="0" applyFill="1" applyAlignment="1">
      <alignment horizontal="center"/>
    </xf>
    <xf numFmtId="174" fontId="88" fillId="34" borderId="22" xfId="0" applyNumberFormat="1" applyFont="1" applyFill="1" applyBorder="1" applyAlignment="1">
      <alignment horizontal="center" wrapText="1"/>
    </xf>
    <xf numFmtId="183" fontId="88" fillId="34" borderId="108" xfId="0" applyNumberFormat="1" applyFont="1" applyFill="1" applyBorder="1" applyAlignment="1">
      <alignment horizontal="center" wrapText="1"/>
    </xf>
    <xf numFmtId="38" fontId="91" fillId="23" borderId="0" xfId="0" applyFont="1" applyFill="1" applyAlignment="1">
      <alignment horizontal="center"/>
    </xf>
    <xf numFmtId="38" fontId="84" fillId="29" borderId="89" xfId="0" applyFont="1" applyFill="1" applyBorder="1" applyAlignment="1">
      <alignment horizontal="center" vertical="center" wrapText="1"/>
    </xf>
    <xf numFmtId="38" fontId="6" fillId="9" borderId="33" xfId="0" applyFont="1" applyFill="1" applyBorder="1" applyAlignment="1">
      <alignment horizontal="center" vertical="center" wrapText="1"/>
    </xf>
    <xf numFmtId="38" fontId="0" fillId="27" borderId="28" xfId="0" applyFill="1" applyBorder="1" applyAlignment="1">
      <alignment horizontal="center" vertical="center" wrapText="1"/>
    </xf>
    <xf numFmtId="38" fontId="6" fillId="9" borderId="28" xfId="0" applyFont="1" applyFill="1" applyBorder="1" applyAlignment="1">
      <alignment horizontal="center" vertical="center" wrapText="1"/>
    </xf>
    <xf numFmtId="38" fontId="6" fillId="9" borderId="78" xfId="0" applyFont="1" applyFill="1" applyBorder="1" applyAlignment="1">
      <alignment horizontal="center" vertical="center" wrapText="1"/>
    </xf>
    <xf numFmtId="38" fontId="6" fillId="9" borderId="98" xfId="0" applyFont="1" applyFill="1" applyBorder="1" applyAlignment="1">
      <alignment horizontal="center" vertical="center" wrapText="1"/>
    </xf>
    <xf numFmtId="38" fontId="0" fillId="9" borderId="33" xfId="0" applyFill="1" applyBorder="1" applyAlignment="1">
      <alignment horizontal="center" vertical="center" wrapText="1"/>
    </xf>
    <xf numFmtId="0" fontId="0" fillId="9" borderId="20" xfId="0" applyNumberFormat="1" applyFill="1" applyBorder="1" applyAlignment="1">
      <alignment horizontal="center" vertical="center" wrapText="1" shrinkToFit="1"/>
    </xf>
    <xf numFmtId="38" fontId="0" fillId="9" borderId="98" xfId="0" applyFill="1" applyBorder="1" applyAlignment="1">
      <alignment horizontal="center" vertical="center" wrapText="1"/>
    </xf>
    <xf numFmtId="38" fontId="0" fillId="9" borderId="28" xfId="0" applyFill="1" applyBorder="1" applyAlignment="1">
      <alignment horizontal="center" vertical="center" wrapText="1"/>
    </xf>
    <xf numFmtId="38" fontId="41" fillId="9" borderId="0" xfId="0" applyFont="1" applyFill="1"/>
    <xf numFmtId="38" fontId="22" fillId="9" borderId="0" xfId="0" applyFont="1" applyFill="1" applyAlignment="1">
      <alignment horizontal="right"/>
    </xf>
    <xf numFmtId="38" fontId="22" fillId="9" borderId="0" xfId="0" applyFont="1" applyFill="1" applyAlignment="1">
      <alignment horizontal="left"/>
    </xf>
    <xf numFmtId="174" fontId="22" fillId="9" borderId="0" xfId="0" applyNumberFormat="1" applyFont="1" applyFill="1" applyAlignment="1">
      <alignment shrinkToFit="1"/>
    </xf>
    <xf numFmtId="40" fontId="88" fillId="34" borderId="112" xfId="0" applyNumberFormat="1" applyFont="1" applyFill="1" applyBorder="1" applyAlignment="1">
      <alignment horizontal="center" wrapText="1"/>
    </xf>
    <xf numFmtId="40" fontId="101" fillId="30" borderId="0" xfId="0" applyNumberFormat="1" applyFont="1" applyFill="1" applyBorder="1" applyAlignment="1">
      <alignment horizontal="center" wrapText="1"/>
    </xf>
    <xf numFmtId="175" fontId="76" fillId="0" borderId="0" xfId="4" applyNumberFormat="1" applyFont="1" applyAlignment="1">
      <alignment horizontal="center" shrinkToFit="1"/>
    </xf>
    <xf numFmtId="0" fontId="48" fillId="0" borderId="135" xfId="20" applyFont="1" applyBorder="1" applyAlignment="1">
      <alignment horizontal="left" shrinkToFit="1"/>
    </xf>
    <xf numFmtId="38" fontId="103" fillId="22" borderId="28" xfId="20" applyNumberFormat="1" applyFont="1" applyFill="1" applyBorder="1" applyAlignment="1">
      <alignment horizontal="center" vertical="center" wrapText="1"/>
    </xf>
    <xf numFmtId="38" fontId="103" fillId="22" borderId="31" xfId="20" applyNumberFormat="1" applyFont="1" applyFill="1" applyBorder="1" applyAlignment="1">
      <alignment horizontal="center" vertical="center" wrapText="1"/>
    </xf>
    <xf numFmtId="38" fontId="103" fillId="0" borderId="28" xfId="20" applyNumberFormat="1" applyFont="1" applyBorder="1" applyAlignment="1">
      <alignment horizontal="center" vertical="center" wrapText="1"/>
    </xf>
    <xf numFmtId="38" fontId="62" fillId="0" borderId="0" xfId="21" applyNumberFormat="1" applyFont="1" applyFill="1" applyBorder="1" applyAlignment="1">
      <alignment horizontal="left" wrapText="1" shrinkToFit="1"/>
    </xf>
    <xf numFmtId="38" fontId="0" fillId="0" borderId="0" xfId="0" applyAlignment="1">
      <alignment wrapText="1"/>
    </xf>
    <xf numFmtId="38" fontId="0" fillId="0" borderId="0" xfId="0" applyFill="1" applyAlignment="1">
      <alignment wrapText="1"/>
    </xf>
    <xf numFmtId="38" fontId="0" fillId="15" borderId="0" xfId="0" applyFill="1" applyAlignment="1">
      <alignment vertical="top" wrapText="1"/>
    </xf>
    <xf numFmtId="38" fontId="104" fillId="37" borderId="136" xfId="0" applyFont="1" applyFill="1" applyBorder="1" applyAlignment="1">
      <alignment horizontal="right"/>
    </xf>
    <xf numFmtId="38" fontId="104" fillId="0" borderId="136" xfId="0" applyFont="1" applyBorder="1" applyAlignment="1">
      <alignment horizontal="right"/>
    </xf>
    <xf numFmtId="9" fontId="105" fillId="0" borderId="137" xfId="26" applyNumberFormat="1" applyFont="1" applyBorder="1" applyAlignment="1">
      <alignment horizontal="center"/>
    </xf>
    <xf numFmtId="0" fontId="98" fillId="0" borderId="132" xfId="12" applyFont="1"/>
    <xf numFmtId="40" fontId="0" fillId="9" borderId="0" xfId="0" applyNumberFormat="1" applyFill="1" applyAlignment="1">
      <alignment vertical="top"/>
    </xf>
    <xf numFmtId="38" fontId="0" fillId="9" borderId="0" xfId="0" applyFill="1" applyAlignment="1">
      <alignment vertical="top" wrapText="1"/>
    </xf>
    <xf numFmtId="38" fontId="0" fillId="9" borderId="0" xfId="0" applyFill="1" applyAlignment="1">
      <alignment vertical="top"/>
    </xf>
    <xf numFmtId="38" fontId="85" fillId="9" borderId="132" xfId="12" applyNumberFormat="1" applyFill="1"/>
    <xf numFmtId="170" fontId="4" fillId="0" borderId="36" xfId="5" applyNumberFormat="1" applyFont="1" applyBorder="1" applyAlignment="1">
      <alignment shrinkToFit="1"/>
    </xf>
    <xf numFmtId="170" fontId="4" fillId="0" borderId="37" xfId="5" applyNumberFormat="1" applyFont="1" applyBorder="1" applyAlignment="1">
      <alignment shrinkToFit="1"/>
    </xf>
    <xf numFmtId="169" fontId="5" fillId="0" borderId="0" xfId="5" applyFont="1" applyBorder="1" applyAlignment="1">
      <alignment shrinkToFit="1"/>
    </xf>
    <xf numFmtId="169" fontId="0" fillId="0" borderId="0" xfId="5" applyFont="1" applyBorder="1" applyAlignment="1">
      <alignment shrinkToFit="1"/>
    </xf>
    <xf numFmtId="38" fontId="0" fillId="0" borderId="113" xfId="0" applyBorder="1" applyAlignment="1">
      <alignment shrinkToFit="1"/>
    </xf>
    <xf numFmtId="38" fontId="0" fillId="0" borderId="114" xfId="0" applyBorder="1" applyAlignment="1">
      <alignment shrinkToFit="1"/>
    </xf>
    <xf numFmtId="170" fontId="0" fillId="0" borderId="0" xfId="5" quotePrefix="1" applyNumberFormat="1" applyFont="1" applyBorder="1" applyAlignment="1">
      <alignment shrinkToFit="1"/>
    </xf>
    <xf numFmtId="38" fontId="0" fillId="0" borderId="16" xfId="0" applyBorder="1" applyAlignment="1">
      <alignment shrinkToFit="1"/>
    </xf>
    <xf numFmtId="38" fontId="0" fillId="0" borderId="32" xfId="0" applyBorder="1" applyAlignment="1">
      <alignment shrinkToFit="1"/>
    </xf>
    <xf numFmtId="10" fontId="7" fillId="34" borderId="2" xfId="27" applyNumberFormat="1" applyFont="1" applyFill="1" applyBorder="1" applyAlignment="1" applyProtection="1">
      <alignment horizontal="center"/>
      <protection locked="0"/>
    </xf>
    <xf numFmtId="38" fontId="0" fillId="0" borderId="41" xfId="0" applyBorder="1" applyAlignment="1">
      <alignment shrinkToFit="1"/>
    </xf>
    <xf numFmtId="38" fontId="0" fillId="12" borderId="110" xfId="0" applyFill="1" applyBorder="1" applyAlignment="1">
      <alignment shrinkToFit="1"/>
    </xf>
    <xf numFmtId="38" fontId="0" fillId="12" borderId="111" xfId="0" applyFill="1" applyBorder="1" applyAlignment="1">
      <alignment shrinkToFit="1"/>
    </xf>
    <xf numFmtId="38" fontId="0" fillId="25" borderId="0" xfId="0" applyFont="1" applyFill="1" applyBorder="1" applyAlignment="1">
      <alignment wrapText="1"/>
    </xf>
    <xf numFmtId="10" fontId="48" fillId="0" borderId="0" xfId="20" applyNumberFormat="1" applyFont="1" applyBorder="1" applyAlignment="1">
      <alignment horizontal="left"/>
    </xf>
    <xf numFmtId="10" fontId="41" fillId="8" borderId="15" xfId="25" applyNumberFormat="1" applyFont="1" applyBorder="1" applyAlignment="1">
      <alignment horizontal="center" vertical="center" shrinkToFit="1"/>
      <protection locked="0"/>
    </xf>
    <xf numFmtId="164" fontId="8" fillId="38" borderId="115" xfId="26" applyNumberFormat="1" applyFont="1" applyFill="1" applyBorder="1"/>
    <xf numFmtId="184" fontId="0" fillId="0" borderId="116" xfId="0" applyNumberFormat="1" applyFill="1" applyBorder="1"/>
    <xf numFmtId="184" fontId="0" fillId="0" borderId="62" xfId="0" applyNumberFormat="1" applyFill="1" applyBorder="1"/>
    <xf numFmtId="184" fontId="0" fillId="0" borderId="117" xfId="0" applyNumberFormat="1" applyFill="1" applyBorder="1"/>
    <xf numFmtId="184" fontId="0" fillId="0" borderId="64" xfId="0" applyNumberFormat="1" applyFill="1" applyBorder="1"/>
    <xf numFmtId="184" fontId="0" fillId="0" borderId="118" xfId="0" applyNumberFormat="1" applyFill="1" applyBorder="1"/>
    <xf numFmtId="184" fontId="0" fillId="0" borderId="63" xfId="0" applyNumberFormat="1" applyFill="1" applyBorder="1"/>
    <xf numFmtId="184" fontId="0" fillId="33" borderId="63" xfId="0" applyNumberFormat="1" applyFill="1" applyBorder="1"/>
    <xf numFmtId="38" fontId="0" fillId="34" borderId="12" xfId="0" applyFill="1" applyBorder="1" applyProtection="1">
      <protection locked="0"/>
    </xf>
    <xf numFmtId="38" fontId="0" fillId="34" borderId="8" xfId="0" applyFill="1" applyBorder="1" applyProtection="1">
      <protection locked="0"/>
    </xf>
    <xf numFmtId="38" fontId="0" fillId="34" borderId="1" xfId="0" applyFill="1" applyBorder="1" applyProtection="1">
      <protection locked="0"/>
    </xf>
    <xf numFmtId="38" fontId="0" fillId="34" borderId="7" xfId="0" applyFill="1" applyBorder="1" applyProtection="1">
      <protection locked="0"/>
    </xf>
    <xf numFmtId="38" fontId="0" fillId="34" borderId="13" xfId="0" applyFill="1" applyBorder="1" applyProtection="1">
      <protection locked="0"/>
    </xf>
    <xf numFmtId="38" fontId="0" fillId="34" borderId="26" xfId="0" applyFill="1" applyBorder="1" applyProtection="1">
      <protection locked="0"/>
    </xf>
    <xf numFmtId="0" fontId="22" fillId="0" borderId="0" xfId="0" applyNumberFormat="1" applyFont="1" applyAlignment="1">
      <alignment horizontal="right" vertical="center"/>
    </xf>
    <xf numFmtId="0" fontId="4" fillId="0" borderId="0" xfId="0" applyNumberFormat="1" applyFont="1" applyAlignment="1">
      <alignment horizontal="left" vertical="center"/>
    </xf>
    <xf numFmtId="38" fontId="0" fillId="23" borderId="0" xfId="0" applyFill="1" applyAlignment="1">
      <alignment horizontal="left"/>
    </xf>
    <xf numFmtId="38" fontId="22" fillId="23" borderId="0" xfId="0" applyFont="1" applyFill="1" applyAlignment="1">
      <alignment horizontal="left" indent="1"/>
    </xf>
    <xf numFmtId="38" fontId="82" fillId="23" borderId="0" xfId="0" applyFont="1" applyFill="1"/>
    <xf numFmtId="4" fontId="88" fillId="34" borderId="22" xfId="0" applyNumberFormat="1" applyFont="1" applyFill="1" applyBorder="1" applyAlignment="1" applyProtection="1">
      <alignment horizontal="center" wrapText="1"/>
      <protection locked="0"/>
    </xf>
    <xf numFmtId="38" fontId="0" fillId="0" borderId="119" xfId="0" applyFill="1" applyBorder="1" applyProtection="1">
      <protection locked="0"/>
    </xf>
    <xf numFmtId="38" fontId="0" fillId="0" borderId="108" xfId="0" applyFill="1" applyBorder="1" applyProtection="1">
      <protection locked="0"/>
    </xf>
    <xf numFmtId="183" fontId="0" fillId="9" borderId="0" xfId="0" applyNumberFormat="1" applyFill="1" applyAlignment="1">
      <alignment horizontal="center"/>
    </xf>
    <xf numFmtId="170" fontId="4" fillId="0" borderId="9" xfId="5" applyNumberFormat="1" applyFont="1" applyBorder="1" applyAlignment="1">
      <alignment shrinkToFit="1"/>
    </xf>
    <xf numFmtId="170" fontId="4" fillId="0" borderId="10" xfId="5" applyNumberFormat="1" applyFont="1" applyBorder="1" applyAlignment="1">
      <alignment shrinkToFit="1"/>
    </xf>
    <xf numFmtId="40" fontId="0" fillId="0" borderId="0" xfId="0" applyNumberFormat="1" applyBorder="1" applyAlignment="1">
      <alignment shrinkToFit="1"/>
    </xf>
    <xf numFmtId="40" fontId="5" fillId="0" borderId="0" xfId="5" applyNumberFormat="1" applyFont="1" applyBorder="1" applyAlignment="1">
      <alignment shrinkToFit="1"/>
    </xf>
    <xf numFmtId="180" fontId="41" fillId="27" borderId="47" xfId="26" applyNumberFormat="1" applyFont="1" applyFill="1" applyBorder="1" applyAlignment="1">
      <alignment horizontal="center" shrinkToFit="1"/>
    </xf>
    <xf numFmtId="180" fontId="41" fillId="27" borderId="73" xfId="26" applyNumberFormat="1" applyFont="1" applyFill="1" applyBorder="1" applyAlignment="1">
      <alignment horizontal="center" shrinkToFit="1"/>
    </xf>
    <xf numFmtId="0" fontId="49" fillId="0" borderId="0" xfId="0" applyNumberFormat="1" applyFont="1" applyAlignment="1">
      <alignment horizontal="left"/>
    </xf>
    <xf numFmtId="38" fontId="103" fillId="0" borderId="29" xfId="20" applyNumberFormat="1" applyFont="1" applyBorder="1" applyAlignment="1">
      <alignment horizontal="center" vertical="center" wrapText="1"/>
    </xf>
    <xf numFmtId="0" fontId="1" fillId="0" borderId="2" xfId="20" applyFont="1" applyBorder="1" applyAlignment="1">
      <alignment horizontal="center" vertical="center" shrinkToFit="1"/>
    </xf>
    <xf numFmtId="2" fontId="83" fillId="0" borderId="0" xfId="20" applyNumberFormat="1" applyAlignment="1">
      <alignment horizontal="center"/>
    </xf>
    <xf numFmtId="38" fontId="102" fillId="0" borderId="0" xfId="0" applyFont="1" applyAlignment="1"/>
    <xf numFmtId="40" fontId="41" fillId="14" borderId="47" xfId="0" applyNumberFormat="1" applyFont="1" applyFill="1" applyBorder="1" applyAlignment="1">
      <alignment horizontal="center" shrinkToFit="1"/>
    </xf>
    <xf numFmtId="183" fontId="0" fillId="0" borderId="0" xfId="0" applyNumberFormat="1" applyBorder="1" applyAlignment="1">
      <alignment horizontal="center"/>
    </xf>
    <xf numFmtId="180" fontId="2" fillId="9" borderId="3" xfId="27" applyNumberFormat="1" applyFont="1" applyFill="1" applyBorder="1" applyAlignment="1">
      <alignment horizontal="center" shrinkToFit="1"/>
    </xf>
    <xf numFmtId="180" fontId="41" fillId="27" borderId="46" xfId="26" applyNumberFormat="1" applyFont="1" applyFill="1" applyBorder="1" applyAlignment="1">
      <alignment horizontal="center" shrinkToFit="1"/>
    </xf>
    <xf numFmtId="38" fontId="0" fillId="25" borderId="0" xfId="0" applyFill="1" applyAlignment="1">
      <alignment vertical="top" wrapText="1"/>
    </xf>
    <xf numFmtId="6" fontId="83" fillId="0" borderId="13" xfId="21" applyNumberFormat="1" applyBorder="1"/>
    <xf numFmtId="6" fontId="83" fillId="0" borderId="14" xfId="21" applyNumberFormat="1" applyBorder="1"/>
    <xf numFmtId="6" fontId="83" fillId="0" borderId="26" xfId="21" applyNumberFormat="1" applyBorder="1"/>
    <xf numFmtId="38" fontId="0" fillId="9" borderId="0" xfId="0" applyFill="1" applyAlignment="1">
      <alignment vertical="center"/>
    </xf>
    <xf numFmtId="38" fontId="22" fillId="0" borderId="19" xfId="0" applyFont="1" applyBorder="1"/>
    <xf numFmtId="38" fontId="0" fillId="0" borderId="19" xfId="0" applyBorder="1"/>
    <xf numFmtId="180" fontId="83" fillId="0" borderId="0" xfId="26" applyNumberFormat="1" applyFont="1" applyAlignment="1">
      <alignment horizontal="right" shrinkToFit="1"/>
    </xf>
    <xf numFmtId="10" fontId="83" fillId="0" borderId="0" xfId="20" applyNumberFormat="1" applyAlignment="1">
      <alignment horizontal="right"/>
    </xf>
    <xf numFmtId="172" fontId="83" fillId="0" borderId="0" xfId="20" applyNumberFormat="1"/>
    <xf numFmtId="164" fontId="83" fillId="0" borderId="0" xfId="20" applyNumberFormat="1"/>
    <xf numFmtId="164" fontId="83" fillId="0" borderId="0" xfId="26" applyNumberFormat="1" applyFont="1" applyAlignment="1">
      <alignment horizontal="right" shrinkToFit="1"/>
    </xf>
    <xf numFmtId="180" fontId="83" fillId="0" borderId="0" xfId="26" applyNumberFormat="1" applyFont="1" applyAlignment="1">
      <alignment horizontal="left" shrinkToFit="1"/>
    </xf>
    <xf numFmtId="10" fontId="83" fillId="0" borderId="0" xfId="20" applyNumberFormat="1" applyAlignment="1">
      <alignment horizontal="left" shrinkToFit="1"/>
    </xf>
    <xf numFmtId="0" fontId="83" fillId="0" borderId="0" xfId="20" applyAlignment="1">
      <alignment horizontal="left" shrinkToFit="1"/>
    </xf>
    <xf numFmtId="38" fontId="0" fillId="9" borderId="0" xfId="0" applyFill="1" applyAlignment="1">
      <alignment horizontal="left"/>
    </xf>
    <xf numFmtId="38" fontId="0" fillId="9" borderId="0" xfId="0" applyFill="1" applyAlignment="1">
      <alignment horizontal="center"/>
    </xf>
    <xf numFmtId="40" fontId="0" fillId="5" borderId="0" xfId="15" applyNumberFormat="1" applyFont="1" applyAlignment="1">
      <alignment horizontal="center"/>
      <protection locked="0"/>
    </xf>
    <xf numFmtId="0" fontId="22" fillId="0" borderId="0" xfId="0" applyNumberFormat="1" applyFont="1" applyBorder="1" applyAlignment="1">
      <alignment horizontal="right"/>
    </xf>
    <xf numFmtId="38" fontId="41" fillId="0" borderId="0" xfId="0" applyNumberFormat="1" applyFont="1" applyBorder="1"/>
    <xf numFmtId="0" fontId="41" fillId="0" borderId="0" xfId="0" applyNumberFormat="1" applyFont="1" applyBorder="1"/>
    <xf numFmtId="38" fontId="0" fillId="12" borderId="25" xfId="0" applyFill="1" applyBorder="1" applyAlignment="1">
      <alignment horizontal="center" shrinkToFit="1"/>
    </xf>
    <xf numFmtId="38" fontId="113" fillId="0" borderId="19" xfId="0" applyFont="1" applyBorder="1"/>
    <xf numFmtId="10" fontId="82" fillId="27" borderId="2" xfId="27" applyNumberFormat="1" applyFont="1" applyFill="1" applyBorder="1" applyAlignment="1">
      <alignment horizontal="center" shrinkToFit="1"/>
    </xf>
    <xf numFmtId="38" fontId="0" fillId="23" borderId="0" xfId="0" applyFill="1" applyAlignment="1">
      <alignment vertical="top" wrapText="1"/>
    </xf>
    <xf numFmtId="0" fontId="62" fillId="23" borderId="0" xfId="21" applyFont="1" applyFill="1" applyBorder="1" applyAlignment="1">
      <alignment horizontal="left" wrapText="1" shrinkToFit="1"/>
    </xf>
    <xf numFmtId="0" fontId="83" fillId="0" borderId="0" xfId="20" applyAlignment="1">
      <alignment horizontal="center" shrinkToFit="1"/>
    </xf>
    <xf numFmtId="38" fontId="29" fillId="0" borderId="0" xfId="20" applyNumberFormat="1" applyFont="1" applyAlignment="1">
      <alignment vertical="center" wrapText="1" shrinkToFit="1"/>
    </xf>
    <xf numFmtId="40" fontId="0" fillId="9" borderId="0" xfId="0" applyNumberFormat="1" applyFill="1"/>
    <xf numFmtId="38" fontId="0" fillId="5" borderId="22" xfId="15" applyFont="1" applyBorder="1" applyAlignment="1">
      <alignment horizontal="center" vertical="center"/>
      <protection locked="0"/>
    </xf>
    <xf numFmtId="185" fontId="83" fillId="5" borderId="1" xfId="21" applyNumberFormat="1" applyFill="1" applyBorder="1" applyAlignment="1" applyProtection="1">
      <alignment shrinkToFit="1"/>
      <protection locked="0"/>
    </xf>
    <xf numFmtId="185" fontId="83" fillId="5" borderId="9" xfId="21" applyNumberFormat="1" applyFill="1" applyBorder="1" applyAlignment="1" applyProtection="1">
      <alignment shrinkToFit="1"/>
      <protection locked="0"/>
    </xf>
    <xf numFmtId="185" fontId="23" fillId="5" borderId="10" xfId="21" applyNumberFormat="1" applyFont="1" applyFill="1" applyBorder="1" applyAlignment="1" applyProtection="1">
      <alignment shrinkToFit="1"/>
      <protection locked="0"/>
    </xf>
    <xf numFmtId="185" fontId="83" fillId="5" borderId="11" xfId="21" applyNumberFormat="1" applyFill="1" applyBorder="1" applyAlignment="1" applyProtection="1">
      <alignment shrinkToFit="1"/>
      <protection locked="0"/>
    </xf>
    <xf numFmtId="185" fontId="83" fillId="5" borderId="10" xfId="21" applyNumberFormat="1" applyFill="1" applyBorder="1" applyAlignment="1" applyProtection="1">
      <alignment shrinkToFit="1"/>
      <protection locked="0"/>
    </xf>
    <xf numFmtId="185" fontId="83" fillId="0" borderId="1" xfId="21" applyNumberFormat="1" applyBorder="1" applyAlignment="1">
      <alignment shrinkToFit="1"/>
    </xf>
    <xf numFmtId="185" fontId="83" fillId="0" borderId="9" xfId="21" applyNumberFormat="1" applyBorder="1" applyAlignment="1">
      <alignment shrinkToFit="1"/>
    </xf>
    <xf numFmtId="185" fontId="1" fillId="0" borderId="10" xfId="21" applyNumberFormat="1" applyFont="1" applyBorder="1" applyAlignment="1">
      <alignment shrinkToFit="1"/>
    </xf>
    <xf numFmtId="185" fontId="83" fillId="0" borderId="11" xfId="21" applyNumberFormat="1" applyBorder="1" applyAlignment="1">
      <alignment shrinkToFit="1"/>
    </xf>
    <xf numFmtId="185" fontId="83" fillId="0" borderId="10" xfId="21" applyNumberFormat="1" applyBorder="1" applyAlignment="1">
      <alignment shrinkToFit="1"/>
    </xf>
    <xf numFmtId="185" fontId="39" fillId="5" borderId="2" xfId="21" applyNumberFormat="1" applyFont="1" applyFill="1" applyBorder="1" applyAlignment="1" applyProtection="1">
      <alignment shrinkToFit="1"/>
      <protection locked="0"/>
    </xf>
    <xf numFmtId="185" fontId="27" fillId="0" borderId="10" xfId="21" applyNumberFormat="1" applyFont="1" applyBorder="1" applyAlignment="1">
      <alignment shrinkToFit="1"/>
    </xf>
    <xf numFmtId="185" fontId="27" fillId="5" borderId="10" xfId="21" applyNumberFormat="1" applyFont="1" applyFill="1" applyBorder="1" applyAlignment="1" applyProtection="1">
      <alignment shrinkToFit="1"/>
      <protection locked="0"/>
    </xf>
    <xf numFmtId="185" fontId="28" fillId="0" borderId="1" xfId="21" applyNumberFormat="1" applyFont="1" applyBorder="1" applyAlignment="1">
      <alignment shrinkToFit="1"/>
    </xf>
    <xf numFmtId="185" fontId="28" fillId="0" borderId="9" xfId="21" applyNumberFormat="1" applyFont="1" applyBorder="1" applyAlignment="1">
      <alignment shrinkToFit="1"/>
    </xf>
    <xf numFmtId="185" fontId="28" fillId="0" borderId="10" xfId="21" applyNumberFormat="1" applyFont="1" applyBorder="1" applyAlignment="1">
      <alignment shrinkToFit="1"/>
    </xf>
    <xf numFmtId="185" fontId="28" fillId="0" borderId="11" xfId="21" applyNumberFormat="1" applyFont="1" applyBorder="1" applyAlignment="1">
      <alignment shrinkToFit="1"/>
    </xf>
    <xf numFmtId="185" fontId="28" fillId="0" borderId="1" xfId="29" applyNumberFormat="1" applyFont="1" applyBorder="1" applyAlignment="1">
      <alignment shrinkToFit="1"/>
    </xf>
    <xf numFmtId="185" fontId="28" fillId="0" borderId="9" xfId="29" applyNumberFormat="1" applyFont="1" applyBorder="1" applyAlignment="1">
      <alignment shrinkToFit="1"/>
    </xf>
    <xf numFmtId="185" fontId="28" fillId="0" borderId="10" xfId="29" applyNumberFormat="1" applyFont="1" applyBorder="1" applyAlignment="1">
      <alignment shrinkToFit="1"/>
    </xf>
    <xf numFmtId="185" fontId="28" fillId="0" borderId="11" xfId="29" applyNumberFormat="1" applyFont="1" applyBorder="1" applyAlignment="1">
      <alignment shrinkToFit="1"/>
    </xf>
    <xf numFmtId="185" fontId="25" fillId="0" borderId="13" xfId="21" applyNumberFormat="1" applyFont="1" applyBorder="1" applyAlignment="1">
      <alignment shrinkToFit="1"/>
    </xf>
    <xf numFmtId="185" fontId="25" fillId="0" borderId="120" xfId="21" applyNumberFormat="1" applyFont="1" applyBorder="1" applyAlignment="1">
      <alignment shrinkToFit="1"/>
    </xf>
    <xf numFmtId="185" fontId="34" fillId="0" borderId="101" xfId="21" applyNumberFormat="1" applyFont="1" applyBorder="1" applyAlignment="1">
      <alignment shrinkToFit="1"/>
    </xf>
    <xf numFmtId="185" fontId="25" fillId="0" borderId="121" xfId="21" applyNumberFormat="1" applyFont="1" applyBorder="1" applyAlignment="1">
      <alignment shrinkToFit="1"/>
    </xf>
    <xf numFmtId="185" fontId="25" fillId="0" borderId="101" xfId="21" applyNumberFormat="1" applyFont="1" applyBorder="1" applyAlignment="1">
      <alignment shrinkToFit="1"/>
    </xf>
    <xf numFmtId="185" fontId="104" fillId="5" borderId="22" xfId="21" applyNumberFormat="1" applyFont="1" applyFill="1" applyBorder="1" applyAlignment="1" applyProtection="1">
      <alignment horizontal="center" shrinkToFit="1"/>
      <protection locked="0"/>
    </xf>
    <xf numFmtId="185" fontId="105" fillId="0" borderId="22" xfId="21" applyNumberFormat="1" applyFont="1" applyFill="1" applyBorder="1" applyAlignment="1" applyProtection="1">
      <alignment horizontal="center" shrinkToFit="1"/>
    </xf>
    <xf numFmtId="185" fontId="22" fillId="19" borderId="2" xfId="9" applyNumberFormat="1" applyFont="1" applyFill="1" applyBorder="1" applyAlignment="1" applyProtection="1">
      <alignment horizontal="center" shrinkToFit="1"/>
      <protection locked="0"/>
    </xf>
    <xf numFmtId="185" fontId="37" fillId="13" borderId="2" xfId="20" applyNumberFormat="1" applyFont="1" applyFill="1" applyBorder="1" applyAlignment="1">
      <alignment horizontal="center" shrinkToFit="1"/>
    </xf>
    <xf numFmtId="185" fontId="27" fillId="0" borderId="0" xfId="20" applyNumberFormat="1" applyFont="1" applyAlignment="1">
      <alignment horizontal="center" shrinkToFit="1"/>
    </xf>
    <xf numFmtId="185" fontId="37" fillId="13" borderId="17" xfId="20" applyNumberFormat="1" applyFont="1" applyFill="1" applyBorder="1" applyAlignment="1">
      <alignment horizontal="center" shrinkToFit="1"/>
    </xf>
    <xf numFmtId="185" fontId="7" fillId="34" borderId="2" xfId="4" applyNumberFormat="1" applyFont="1" applyFill="1" applyBorder="1" applyAlignment="1" applyProtection="1">
      <alignment horizontal="center" shrinkToFit="1"/>
      <protection locked="0"/>
    </xf>
    <xf numFmtId="38" fontId="100" fillId="9" borderId="0" xfId="0" applyFont="1" applyFill="1" applyAlignment="1">
      <alignment horizontal="center" vertical="top" wrapText="1"/>
    </xf>
    <xf numFmtId="38" fontId="87" fillId="9" borderId="0" xfId="14" applyNumberFormat="1" applyFill="1" applyAlignment="1" applyProtection="1">
      <alignment horizontal="center"/>
    </xf>
    <xf numFmtId="38" fontId="87" fillId="9" borderId="0" xfId="14" applyNumberFormat="1" applyFill="1" applyAlignment="1" applyProtection="1">
      <alignment horizontal="left"/>
    </xf>
    <xf numFmtId="38" fontId="0" fillId="21" borderId="47" xfId="0" applyFill="1" applyBorder="1" applyAlignment="1">
      <alignment horizontal="left" vertical="top" wrapText="1"/>
    </xf>
    <xf numFmtId="38" fontId="22" fillId="9" borderId="0" xfId="0" applyFont="1" applyFill="1" applyAlignment="1">
      <alignment horizontal="center"/>
    </xf>
    <xf numFmtId="9" fontId="76" fillId="0" borderId="1" xfId="26" applyFont="1" applyBorder="1" applyAlignment="1">
      <alignment horizontal="left" indent="1" shrinkToFit="1"/>
    </xf>
    <xf numFmtId="9" fontId="76" fillId="0" borderId="0" xfId="26" applyFont="1" applyAlignment="1">
      <alignment horizontal="left" indent="1" shrinkToFit="1"/>
    </xf>
    <xf numFmtId="0" fontId="1" fillId="0" borderId="0" xfId="20" applyFont="1" applyAlignment="1">
      <alignment horizontal="center" shrinkToFit="1"/>
    </xf>
    <xf numFmtId="0" fontId="1" fillId="0" borderId="7" xfId="20" applyFont="1" applyBorder="1" applyAlignment="1">
      <alignment horizontal="center" shrinkToFit="1"/>
    </xf>
    <xf numFmtId="0" fontId="27" fillId="0" borderId="0" xfId="20" applyFont="1" applyAlignment="1">
      <alignment horizontal="left" shrinkToFit="1"/>
    </xf>
    <xf numFmtId="38" fontId="0" fillId="0" borderId="0" xfId="0" applyAlignment="1">
      <alignment shrinkToFit="1"/>
    </xf>
    <xf numFmtId="38" fontId="7" fillId="9" borderId="57" xfId="0" applyFont="1" applyFill="1" applyBorder="1" applyAlignment="1">
      <alignment horizontal="center"/>
    </xf>
    <xf numFmtId="38" fontId="7" fillId="9" borderId="25" xfId="0" applyFont="1" applyFill="1" applyBorder="1" applyAlignment="1">
      <alignment horizontal="center"/>
    </xf>
    <xf numFmtId="38" fontId="7" fillId="9" borderId="122" xfId="0" applyFont="1" applyFill="1" applyBorder="1" applyAlignment="1">
      <alignment horizontal="center"/>
    </xf>
    <xf numFmtId="38" fontId="0" fillId="0" borderId="0" xfId="0" applyAlignment="1">
      <alignment horizontal="center" wrapText="1"/>
    </xf>
    <xf numFmtId="38" fontId="9" fillId="9" borderId="46" xfId="0" applyFont="1" applyFill="1" applyBorder="1" applyAlignment="1">
      <alignment horizontal="center" vertical="center" wrapText="1"/>
    </xf>
    <xf numFmtId="38" fontId="9" fillId="9" borderId="73" xfId="0" applyFont="1" applyFill="1" applyBorder="1" applyAlignment="1">
      <alignment horizontal="center" vertical="center" wrapText="1"/>
    </xf>
    <xf numFmtId="0" fontId="59" fillId="0" borderId="0" xfId="20" applyFont="1" applyAlignment="1">
      <alignment horizontal="center" vertical="center" wrapText="1"/>
    </xf>
    <xf numFmtId="10" fontId="43" fillId="9" borderId="15" xfId="27" applyNumberFormat="1" applyFont="1" applyFill="1" applyBorder="1" applyAlignment="1">
      <alignment horizontal="center" vertical="center" shrinkToFit="1"/>
    </xf>
    <xf numFmtId="10" fontId="0" fillId="0" borderId="17" xfId="0" applyNumberFormat="1" applyBorder="1" applyAlignment="1">
      <alignment horizontal="center" vertical="center" shrinkToFit="1"/>
    </xf>
    <xf numFmtId="10" fontId="43" fillId="9" borderId="17" xfId="27" applyNumberFormat="1" applyFont="1" applyFill="1" applyBorder="1" applyAlignment="1">
      <alignment horizontal="center" vertical="center" shrinkToFit="1"/>
    </xf>
    <xf numFmtId="38" fontId="48" fillId="32" borderId="13" xfId="20" applyNumberFormat="1" applyFont="1" applyFill="1" applyBorder="1" applyAlignment="1">
      <alignment horizontal="right" vertical="center" shrinkToFit="1"/>
    </xf>
    <xf numFmtId="38" fontId="48" fillId="32" borderId="14" xfId="20" applyNumberFormat="1" applyFont="1" applyFill="1" applyBorder="1" applyAlignment="1">
      <alignment horizontal="right" vertical="center" shrinkToFit="1"/>
    </xf>
    <xf numFmtId="38" fontId="48" fillId="32" borderId="26" xfId="20" applyNumberFormat="1" applyFont="1" applyFill="1" applyBorder="1" applyAlignment="1">
      <alignment horizontal="right" vertical="center" shrinkToFit="1"/>
    </xf>
    <xf numFmtId="0" fontId="48" fillId="24" borderId="13" xfId="20" applyFont="1" applyFill="1" applyBorder="1" applyAlignment="1">
      <alignment horizontal="right" vertical="center" shrinkToFit="1"/>
    </xf>
    <xf numFmtId="0" fontId="48" fillId="24" borderId="14" xfId="20" applyFont="1" applyFill="1" applyBorder="1" applyAlignment="1">
      <alignment horizontal="right" vertical="center" shrinkToFit="1"/>
    </xf>
    <xf numFmtId="0" fontId="48" fillId="24" borderId="26" xfId="20" applyFont="1" applyFill="1" applyBorder="1" applyAlignment="1">
      <alignment horizontal="right" vertical="center" shrinkToFit="1"/>
    </xf>
    <xf numFmtId="0" fontId="48" fillId="32" borderId="12" xfId="20" applyFont="1" applyFill="1" applyBorder="1" applyAlignment="1">
      <alignment horizontal="right" vertical="center" shrinkToFit="1"/>
    </xf>
    <xf numFmtId="0" fontId="48" fillId="32" borderId="19" xfId="20" applyFont="1" applyFill="1" applyBorder="1" applyAlignment="1">
      <alignment horizontal="right" vertical="center" shrinkToFit="1"/>
    </xf>
    <xf numFmtId="0" fontId="48" fillId="32" borderId="8" xfId="20" applyFont="1" applyFill="1" applyBorder="1" applyAlignment="1">
      <alignment horizontal="right" vertical="center" shrinkToFit="1"/>
    </xf>
    <xf numFmtId="0" fontId="56" fillId="0" borderId="138" xfId="20" applyFont="1" applyBorder="1" applyAlignment="1">
      <alignment horizontal="left" shrinkToFit="1"/>
    </xf>
    <xf numFmtId="0" fontId="56" fillId="0" borderId="149" xfId="20" applyFont="1" applyBorder="1" applyAlignment="1">
      <alignment horizontal="left" shrinkToFit="1"/>
    </xf>
    <xf numFmtId="38" fontId="48" fillId="32" borderId="1" xfId="20" applyNumberFormat="1" applyFont="1" applyFill="1" applyBorder="1" applyAlignment="1">
      <alignment horizontal="right" vertical="center" shrinkToFit="1"/>
    </xf>
    <xf numFmtId="38" fontId="48" fillId="32" borderId="0" xfId="20" applyNumberFormat="1" applyFont="1" applyFill="1" applyBorder="1" applyAlignment="1">
      <alignment horizontal="right" vertical="center" shrinkToFit="1"/>
    </xf>
    <xf numFmtId="38" fontId="48" fillId="32" borderId="7" xfId="20" applyNumberFormat="1" applyFont="1" applyFill="1" applyBorder="1" applyAlignment="1">
      <alignment horizontal="right" vertical="center" shrinkToFit="1"/>
    </xf>
    <xf numFmtId="180" fontId="2" fillId="9" borderId="15" xfId="27" applyNumberFormat="1" applyFont="1" applyFill="1" applyBorder="1" applyAlignment="1">
      <alignment horizontal="center" vertical="center" shrinkToFit="1"/>
    </xf>
    <xf numFmtId="180" fontId="2" fillId="9" borderId="17" xfId="27" applyNumberFormat="1" applyFont="1" applyFill="1" applyBorder="1" applyAlignment="1">
      <alignment horizontal="center" vertical="center" shrinkToFit="1"/>
    </xf>
    <xf numFmtId="0" fontId="97" fillId="36" borderId="146" xfId="20" applyFont="1" applyFill="1" applyBorder="1" applyAlignment="1">
      <alignment horizontal="right" vertical="center" shrinkToFit="1"/>
    </xf>
    <xf numFmtId="0" fontId="97" fillId="36" borderId="147" xfId="20" applyFont="1" applyFill="1" applyBorder="1" applyAlignment="1">
      <alignment horizontal="right" vertical="center" shrinkToFit="1"/>
    </xf>
    <xf numFmtId="0" fontId="97" fillId="36" borderId="148" xfId="20" applyFont="1" applyFill="1" applyBorder="1" applyAlignment="1">
      <alignment horizontal="right" vertical="center" shrinkToFit="1"/>
    </xf>
    <xf numFmtId="10" fontId="82" fillId="27" borderId="15" xfId="27" applyNumberFormat="1" applyFont="1" applyFill="1" applyBorder="1" applyAlignment="1">
      <alignment horizontal="center" vertical="center" shrinkToFit="1"/>
    </xf>
    <xf numFmtId="10" fontId="0" fillId="27" borderId="17" xfId="0" applyNumberFormat="1" applyFont="1" applyFill="1" applyBorder="1" applyAlignment="1">
      <alignment horizontal="center" vertical="center" shrinkToFit="1"/>
    </xf>
    <xf numFmtId="164" fontId="22" fillId="14" borderId="15" xfId="27" applyNumberFormat="1" applyFont="1" applyFill="1" applyBorder="1" applyAlignment="1">
      <alignment horizontal="center" vertical="center"/>
    </xf>
    <xf numFmtId="38" fontId="0" fillId="0" borderId="17" xfId="0" applyBorder="1" applyAlignment="1">
      <alignment horizontal="center" vertical="center"/>
    </xf>
    <xf numFmtId="180" fontId="2" fillId="9" borderId="15" xfId="27" applyNumberFormat="1" applyFont="1" applyFill="1" applyBorder="1" applyAlignment="1">
      <alignment horizontal="center" vertical="center"/>
    </xf>
    <xf numFmtId="180" fontId="2" fillId="0" borderId="17" xfId="0" applyNumberFormat="1" applyFont="1" applyBorder="1" applyAlignment="1">
      <alignment horizontal="center" vertical="center"/>
    </xf>
    <xf numFmtId="0" fontId="48" fillId="0" borderId="1" xfId="20" applyFont="1" applyBorder="1" applyAlignment="1">
      <alignment horizontal="center" shrinkToFit="1"/>
    </xf>
    <xf numFmtId="0" fontId="48" fillId="0" borderId="7" xfId="20" applyFont="1" applyBorder="1" applyAlignment="1">
      <alignment horizontal="center" shrinkToFit="1"/>
    </xf>
    <xf numFmtId="0" fontId="48" fillId="0" borderId="141" xfId="20" applyFont="1" applyBorder="1" applyAlignment="1">
      <alignment horizontal="right" shrinkToFit="1"/>
    </xf>
    <xf numFmtId="0" fontId="48" fillId="0" borderId="0" xfId="20" applyFont="1" applyBorder="1" applyAlignment="1">
      <alignment horizontal="right" shrinkToFit="1"/>
    </xf>
    <xf numFmtId="0" fontId="48" fillId="0" borderId="7" xfId="20" applyFont="1" applyBorder="1" applyAlignment="1">
      <alignment horizontal="right" shrinkToFit="1"/>
    </xf>
    <xf numFmtId="0" fontId="94" fillId="0" borderId="2" xfId="20" quotePrefix="1" applyFont="1" applyBorder="1" applyAlignment="1">
      <alignment horizontal="left" vertical="center" wrapText="1"/>
    </xf>
    <xf numFmtId="0" fontId="94" fillId="0" borderId="2" xfId="20" applyFont="1" applyBorder="1" applyAlignment="1">
      <alignment horizontal="left" vertical="center" wrapText="1"/>
    </xf>
    <xf numFmtId="49" fontId="68" fillId="0" borderId="13" xfId="20" applyNumberFormat="1" applyFont="1" applyBorder="1" applyAlignment="1">
      <alignment horizontal="center" shrinkToFit="1"/>
    </xf>
    <xf numFmtId="49" fontId="68" fillId="0" borderId="14" xfId="20" applyNumberFormat="1" applyFont="1" applyBorder="1" applyAlignment="1">
      <alignment horizontal="center" shrinkToFit="1"/>
    </xf>
    <xf numFmtId="10" fontId="4" fillId="0" borderId="17" xfId="0" applyNumberFormat="1" applyFont="1" applyBorder="1" applyAlignment="1">
      <alignment horizontal="center" vertical="center" shrinkToFit="1"/>
    </xf>
    <xf numFmtId="0" fontId="94" fillId="0" borderId="8" xfId="20" quotePrefix="1" applyFont="1" applyBorder="1" applyAlignment="1">
      <alignment horizontal="left" vertical="center" wrapText="1"/>
    </xf>
    <xf numFmtId="0" fontId="94" fillId="0" borderId="7" xfId="20" quotePrefix="1" applyFont="1" applyBorder="1" applyAlignment="1">
      <alignment horizontal="left" vertical="center" wrapText="1"/>
    </xf>
    <xf numFmtId="0" fontId="94" fillId="0" borderId="26" xfId="20" quotePrefix="1" applyFont="1" applyBorder="1" applyAlignment="1">
      <alignment horizontal="left" vertical="center" wrapText="1"/>
    </xf>
    <xf numFmtId="180" fontId="83" fillId="0" borderId="7" xfId="26" applyNumberFormat="1" applyFont="1" applyBorder="1" applyAlignment="1">
      <alignment horizontal="left" shrinkToFit="1"/>
    </xf>
    <xf numFmtId="10" fontId="43" fillId="9" borderId="16" xfId="27" applyNumberFormat="1" applyFont="1" applyFill="1" applyBorder="1" applyAlignment="1">
      <alignment horizontal="center" vertical="center" shrinkToFit="1"/>
    </xf>
    <xf numFmtId="0" fontId="94" fillId="0" borderId="15" xfId="20" quotePrefix="1" applyFont="1" applyBorder="1" applyAlignment="1">
      <alignment horizontal="left" vertical="center"/>
    </xf>
    <xf numFmtId="0" fontId="94" fillId="0" borderId="16" xfId="20" quotePrefix="1" applyFont="1" applyBorder="1" applyAlignment="1">
      <alignment horizontal="left" vertical="center"/>
    </xf>
    <xf numFmtId="0" fontId="94" fillId="0" borderId="17" xfId="20" quotePrefix="1" applyFont="1" applyBorder="1" applyAlignment="1">
      <alignment horizontal="left" vertical="center"/>
    </xf>
    <xf numFmtId="180" fontId="83" fillId="0" borderId="0" xfId="26" applyNumberFormat="1" applyFont="1" applyBorder="1" applyAlignment="1">
      <alignment horizontal="right" shrinkToFit="1"/>
    </xf>
    <xf numFmtId="0" fontId="58" fillId="0" borderId="142" xfId="20" applyFont="1" applyBorder="1" applyAlignment="1">
      <alignment horizontal="left"/>
    </xf>
    <xf numFmtId="0" fontId="58" fillId="0" borderId="143" xfId="20" applyFont="1" applyBorder="1" applyAlignment="1">
      <alignment horizontal="left"/>
    </xf>
    <xf numFmtId="0" fontId="37" fillId="0" borderId="141" xfId="20" applyFont="1" applyBorder="1" applyAlignment="1">
      <alignment horizontal="right" shrinkToFit="1"/>
    </xf>
    <xf numFmtId="0" fontId="37" fillId="0" borderId="7" xfId="20" applyFont="1" applyBorder="1" applyAlignment="1">
      <alignment horizontal="right" shrinkToFit="1"/>
    </xf>
    <xf numFmtId="10" fontId="43" fillId="9" borderId="12" xfId="27" applyNumberFormat="1" applyFont="1" applyFill="1" applyBorder="1" applyAlignment="1">
      <alignment horizontal="center" vertical="center" shrinkToFit="1"/>
    </xf>
    <xf numFmtId="10" fontId="4" fillId="0" borderId="13" xfId="0" applyNumberFormat="1" applyFont="1" applyBorder="1" applyAlignment="1">
      <alignment horizontal="center" vertical="center" shrinkToFit="1"/>
    </xf>
    <xf numFmtId="10" fontId="43" fillId="9" borderId="144" xfId="27" applyNumberFormat="1" applyFont="1" applyFill="1" applyBorder="1" applyAlignment="1">
      <alignment horizontal="center" vertical="center" shrinkToFit="1"/>
    </xf>
    <xf numFmtId="10" fontId="43" fillId="9" borderId="145" xfId="27" applyNumberFormat="1" applyFont="1" applyFill="1" applyBorder="1" applyAlignment="1">
      <alignment horizontal="center" vertical="center" shrinkToFit="1"/>
    </xf>
    <xf numFmtId="0" fontId="56" fillId="0" borderId="1" xfId="20" applyFont="1" applyBorder="1" applyAlignment="1">
      <alignment horizontal="left" shrinkToFit="1"/>
    </xf>
    <xf numFmtId="0" fontId="56" fillId="0" borderId="0" xfId="20" applyFont="1" applyBorder="1" applyAlignment="1">
      <alignment horizontal="left" shrinkToFit="1"/>
    </xf>
    <xf numFmtId="0" fontId="56" fillId="0" borderId="135" xfId="20" applyFont="1" applyBorder="1" applyAlignment="1">
      <alignment horizontal="left" shrinkToFit="1"/>
    </xf>
    <xf numFmtId="38" fontId="35" fillId="0" borderId="0" xfId="20" applyNumberFormat="1" applyFont="1" applyAlignment="1">
      <alignment horizontal="center" shrinkToFit="1"/>
    </xf>
    <xf numFmtId="38" fontId="29" fillId="0" borderId="0" xfId="20" applyNumberFormat="1" applyFont="1" applyAlignment="1">
      <alignment horizontal="left" vertical="center" shrinkToFit="1"/>
    </xf>
    <xf numFmtId="0" fontId="1" fillId="0" borderId="0" xfId="20" applyFont="1" applyAlignment="1">
      <alignment horizontal="right" shrinkToFit="1"/>
    </xf>
    <xf numFmtId="0" fontId="1" fillId="0" borderId="7" xfId="20" applyFont="1" applyBorder="1" applyAlignment="1">
      <alignment horizontal="right" shrinkToFit="1"/>
    </xf>
    <xf numFmtId="38" fontId="48" fillId="24" borderId="12" xfId="20" applyNumberFormat="1" applyFont="1" applyFill="1" applyBorder="1" applyAlignment="1">
      <alignment horizontal="right" vertical="center" shrinkToFit="1"/>
    </xf>
    <xf numFmtId="38" fontId="48" fillId="24" borderId="19" xfId="20" applyNumberFormat="1" applyFont="1" applyFill="1" applyBorder="1" applyAlignment="1">
      <alignment horizontal="right" vertical="center" shrinkToFit="1"/>
    </xf>
    <xf numFmtId="38" fontId="48" fillId="24" borderId="8" xfId="20" applyNumberFormat="1" applyFont="1" applyFill="1" applyBorder="1" applyAlignment="1">
      <alignment horizontal="right" vertical="center" shrinkToFit="1"/>
    </xf>
    <xf numFmtId="10" fontId="82" fillId="27" borderId="17" xfId="27" applyNumberFormat="1" applyFont="1" applyFill="1" applyBorder="1" applyAlignment="1">
      <alignment horizontal="center" vertical="center" shrinkToFit="1"/>
    </xf>
    <xf numFmtId="0" fontId="83" fillId="0" borderId="0" xfId="21" applyAlignment="1">
      <alignment horizontal="left" indent="3"/>
    </xf>
    <xf numFmtId="0" fontId="48" fillId="24" borderId="12" xfId="20" applyFont="1" applyFill="1" applyBorder="1" applyAlignment="1">
      <alignment horizontal="center" vertical="center" wrapText="1" shrinkToFit="1"/>
    </xf>
    <xf numFmtId="0" fontId="48" fillId="24" borderId="19" xfId="20" applyFont="1" applyFill="1" applyBorder="1" applyAlignment="1">
      <alignment horizontal="center" vertical="center" wrapText="1" shrinkToFit="1"/>
    </xf>
    <xf numFmtId="0" fontId="48" fillId="24" borderId="8" xfId="20" applyFont="1" applyFill="1" applyBorder="1" applyAlignment="1">
      <alignment horizontal="center" vertical="center" wrapText="1" shrinkToFit="1"/>
    </xf>
    <xf numFmtId="0" fontId="48" fillId="24" borderId="13" xfId="20" applyFont="1" applyFill="1" applyBorder="1" applyAlignment="1">
      <alignment horizontal="center" vertical="center" wrapText="1" shrinkToFit="1"/>
    </xf>
    <xf numFmtId="0" fontId="48" fillId="24" borderId="14" xfId="20" applyFont="1" applyFill="1" applyBorder="1" applyAlignment="1">
      <alignment horizontal="center" vertical="center" wrapText="1" shrinkToFit="1"/>
    </xf>
    <xf numFmtId="0" fontId="48" fillId="24" borderId="26" xfId="20" applyFont="1" applyFill="1" applyBorder="1" applyAlignment="1">
      <alignment horizontal="center" vertical="center" wrapText="1" shrinkToFit="1"/>
    </xf>
    <xf numFmtId="0" fontId="48" fillId="0" borderId="138" xfId="20" applyFont="1" applyBorder="1" applyAlignment="1">
      <alignment horizontal="left" shrinkToFit="1"/>
    </xf>
    <xf numFmtId="0" fontId="48" fillId="0" borderId="139" xfId="20" applyFont="1" applyBorder="1" applyAlignment="1">
      <alignment horizontal="left" shrinkToFit="1"/>
    </xf>
    <xf numFmtId="9" fontId="48" fillId="0" borderId="1" xfId="26" applyFont="1" applyBorder="1" applyAlignment="1">
      <alignment horizontal="left" shrinkToFit="1"/>
    </xf>
    <xf numFmtId="9" fontId="48" fillId="0" borderId="0" xfId="26" applyFont="1" applyBorder="1" applyAlignment="1">
      <alignment horizontal="left" shrinkToFit="1"/>
    </xf>
    <xf numFmtId="9" fontId="48" fillId="0" borderId="135" xfId="26" applyFont="1" applyBorder="1" applyAlignment="1">
      <alignment horizontal="left" shrinkToFit="1"/>
    </xf>
    <xf numFmtId="0" fontId="49" fillId="0" borderId="1" xfId="0" applyNumberFormat="1" applyFont="1" applyBorder="1" applyAlignment="1">
      <alignment horizontal="left"/>
    </xf>
    <xf numFmtId="0" fontId="49" fillId="0" borderId="0" xfId="0" applyNumberFormat="1" applyFont="1" applyAlignment="1">
      <alignment horizontal="left"/>
    </xf>
    <xf numFmtId="38" fontId="50" fillId="0" borderId="0" xfId="20" applyNumberFormat="1" applyFont="1" applyAlignment="1">
      <alignment horizontal="right" shrinkToFit="1"/>
    </xf>
    <xf numFmtId="38" fontId="50" fillId="0" borderId="7" xfId="20" applyNumberFormat="1" applyFont="1" applyBorder="1" applyAlignment="1">
      <alignment horizontal="right" shrinkToFit="1"/>
    </xf>
    <xf numFmtId="38" fontId="48" fillId="0" borderId="0" xfId="20" applyNumberFormat="1" applyFont="1" applyAlignment="1">
      <alignment horizontal="right" shrinkToFit="1"/>
    </xf>
    <xf numFmtId="38" fontId="48" fillId="0" borderId="7" xfId="20" applyNumberFormat="1" applyFont="1" applyBorder="1" applyAlignment="1">
      <alignment horizontal="right" shrinkToFit="1"/>
    </xf>
    <xf numFmtId="0" fontId="106" fillId="0" borderId="14" xfId="20" applyFont="1" applyBorder="1" applyAlignment="1">
      <alignment horizontal="center" shrinkToFit="1"/>
    </xf>
    <xf numFmtId="0" fontId="106" fillId="0" borderId="26" xfId="20" applyFont="1" applyBorder="1" applyAlignment="1">
      <alignment horizontal="center" shrinkToFit="1"/>
    </xf>
    <xf numFmtId="0" fontId="83" fillId="0" borderId="0" xfId="20" applyAlignment="1">
      <alignment horizontal="right" vertical="center"/>
    </xf>
    <xf numFmtId="0" fontId="83" fillId="0" borderId="7" xfId="20" applyBorder="1" applyAlignment="1">
      <alignment horizontal="right" vertical="center"/>
    </xf>
    <xf numFmtId="0" fontId="48" fillId="32" borderId="13" xfId="20" applyFont="1" applyFill="1" applyBorder="1" applyAlignment="1">
      <alignment horizontal="right" vertical="center" shrinkToFit="1"/>
    </xf>
    <xf numFmtId="0" fontId="48" fillId="32" borderId="14" xfId="20" applyFont="1" applyFill="1" applyBorder="1" applyAlignment="1">
      <alignment horizontal="right" vertical="center" shrinkToFit="1"/>
    </xf>
    <xf numFmtId="0" fontId="48" fillId="32" borderId="26" xfId="20" applyFont="1" applyFill="1" applyBorder="1" applyAlignment="1">
      <alignment horizontal="right" vertical="center" shrinkToFit="1"/>
    </xf>
    <xf numFmtId="0" fontId="60" fillId="0" borderId="140" xfId="20" applyFont="1" applyBorder="1" applyAlignment="1">
      <alignment horizontal="right" shrinkToFit="1"/>
    </xf>
    <xf numFmtId="0" fontId="60" fillId="0" borderId="139" xfId="20" applyFont="1" applyBorder="1" applyAlignment="1">
      <alignment horizontal="right" shrinkToFit="1"/>
    </xf>
    <xf numFmtId="164" fontId="22" fillId="14" borderId="12" xfId="27" applyNumberFormat="1" applyFont="1" applyFill="1" applyBorder="1" applyAlignment="1">
      <alignment horizontal="center" vertical="center"/>
    </xf>
    <xf numFmtId="38" fontId="0" fillId="0" borderId="13" xfId="0" applyBorder="1" applyAlignment="1">
      <alignment horizontal="center" vertical="center"/>
    </xf>
    <xf numFmtId="39" fontId="31" fillId="0" borderId="0" xfId="4" applyNumberFormat="1" applyFont="1" applyAlignment="1">
      <alignment horizontal="left" vertical="center"/>
    </xf>
    <xf numFmtId="38" fontId="4" fillId="0" borderId="0" xfId="0" applyFont="1" applyAlignment="1">
      <alignment horizontal="center"/>
    </xf>
    <xf numFmtId="38" fontId="0" fillId="0" borderId="22" xfId="0" applyBorder="1" applyAlignment="1">
      <alignment horizontal="center"/>
    </xf>
    <xf numFmtId="38" fontId="4" fillId="9" borderId="0" xfId="0" applyFont="1" applyFill="1" applyAlignment="1">
      <alignment horizontal="center"/>
    </xf>
    <xf numFmtId="38" fontId="0" fillId="0" borderId="0" xfId="0" applyAlignment="1">
      <alignment horizontal="center"/>
    </xf>
    <xf numFmtId="38" fontId="4" fillId="4" borderId="0" xfId="0" applyFont="1" applyFill="1" applyAlignment="1">
      <alignment horizontal="center"/>
    </xf>
    <xf numFmtId="38" fontId="4" fillId="27" borderId="61" xfId="0" applyFont="1" applyFill="1" applyBorder="1" applyAlignment="1">
      <alignment horizontal="right" shrinkToFit="1"/>
    </xf>
    <xf numFmtId="38" fontId="4" fillId="14" borderId="0" xfId="0" applyFont="1" applyFill="1" applyBorder="1" applyAlignment="1">
      <alignment horizontal="right" shrinkToFit="1"/>
    </xf>
    <xf numFmtId="38" fontId="4" fillId="14" borderId="0" xfId="0" applyFont="1" applyFill="1" applyAlignment="1">
      <alignment horizontal="right" shrinkToFit="1"/>
    </xf>
    <xf numFmtId="38" fontId="7" fillId="9" borderId="3" xfId="0" applyFont="1" applyFill="1" applyBorder="1" applyAlignment="1">
      <alignment horizontal="center"/>
    </xf>
    <xf numFmtId="38" fontId="7" fillId="9" borderId="27" xfId="0" applyFont="1" applyFill="1" applyBorder="1" applyAlignment="1">
      <alignment horizontal="center"/>
    </xf>
    <xf numFmtId="38" fontId="7" fillId="9" borderId="31" xfId="0" applyFont="1" applyFill="1" applyBorder="1" applyAlignment="1">
      <alignment horizontal="center"/>
    </xf>
    <xf numFmtId="38" fontId="7" fillId="9" borderId="4" xfId="0" applyFont="1" applyFill="1" applyBorder="1" applyAlignment="1">
      <alignment horizontal="center" shrinkToFit="1"/>
    </xf>
    <xf numFmtId="38" fontId="7" fillId="9" borderId="25" xfId="0" applyFont="1" applyFill="1" applyBorder="1" applyAlignment="1">
      <alignment horizontal="center" shrinkToFit="1"/>
    </xf>
    <xf numFmtId="38" fontId="7" fillId="9" borderId="123" xfId="0" applyFont="1" applyFill="1" applyBorder="1" applyAlignment="1">
      <alignment horizontal="center" shrinkToFit="1"/>
    </xf>
    <xf numFmtId="38" fontId="19" fillId="9" borderId="0" xfId="30" applyFont="1" applyBorder="1" applyAlignment="1">
      <alignment horizontal="center"/>
    </xf>
    <xf numFmtId="38" fontId="22" fillId="9" borderId="1" xfId="0" applyFont="1" applyFill="1" applyBorder="1" applyAlignment="1">
      <alignment horizontal="left" shrinkToFit="1"/>
    </xf>
    <xf numFmtId="38" fontId="22" fillId="9" borderId="0" xfId="0" applyFont="1" applyFill="1" applyAlignment="1">
      <alignment horizontal="left" shrinkToFit="1"/>
    </xf>
    <xf numFmtId="38" fontId="0" fillId="0" borderId="0" xfId="0" applyFill="1" applyAlignment="1">
      <alignment horizontal="left" shrinkToFit="1"/>
    </xf>
    <xf numFmtId="38" fontId="8" fillId="0" borderId="27" xfId="0" applyFont="1" applyBorder="1" applyAlignment="1">
      <alignment horizontal="center"/>
    </xf>
    <xf numFmtId="38" fontId="8" fillId="0" borderId="31" xfId="0" applyFont="1" applyBorder="1" applyAlignment="1">
      <alignment horizontal="center"/>
    </xf>
    <xf numFmtId="38" fontId="0" fillId="0" borderId="63" xfId="0" applyFill="1" applyBorder="1" applyAlignment="1">
      <alignment horizontal="left" shrinkToFit="1"/>
    </xf>
    <xf numFmtId="38" fontId="0" fillId="0" borderId="61" xfId="0" applyFill="1" applyBorder="1" applyAlignment="1">
      <alignment horizontal="left" shrinkToFit="1"/>
    </xf>
    <xf numFmtId="38" fontId="0" fillId="0" borderId="0" xfId="0" applyAlignment="1">
      <alignment horizontal="left" shrinkToFit="1"/>
    </xf>
    <xf numFmtId="38" fontId="7" fillId="9" borderId="3" xfId="0" applyFont="1" applyFill="1" applyBorder="1" applyAlignment="1">
      <alignment horizontal="center" shrinkToFit="1"/>
    </xf>
    <xf numFmtId="38" fontId="7" fillId="9" borderId="27" xfId="0" applyFont="1" applyFill="1" applyBorder="1" applyAlignment="1">
      <alignment horizontal="center" shrinkToFit="1"/>
    </xf>
    <xf numFmtId="38" fontId="7" fillId="9" borderId="31" xfId="0" applyFont="1" applyFill="1" applyBorder="1" applyAlignment="1">
      <alignment horizontal="center" shrinkToFit="1"/>
    </xf>
    <xf numFmtId="38" fontId="0" fillId="0" borderId="0" xfId="0" applyAlignment="1">
      <alignment horizontal="left"/>
    </xf>
    <xf numFmtId="38" fontId="4" fillId="14" borderId="0" xfId="0" applyFont="1" applyFill="1" applyAlignment="1">
      <alignment horizontal="center" shrinkToFit="1"/>
    </xf>
    <xf numFmtId="38" fontId="4" fillId="27" borderId="63" xfId="0" quotePrefix="1" applyFont="1" applyFill="1" applyBorder="1" applyAlignment="1">
      <alignment horizontal="right" shrinkToFit="1"/>
    </xf>
    <xf numFmtId="38" fontId="0" fillId="14" borderId="0" xfId="0" applyFont="1" applyFill="1" applyAlignment="1">
      <alignment horizontal="center" shrinkToFit="1"/>
    </xf>
    <xf numFmtId="0" fontId="8" fillId="38" borderId="112" xfId="0" applyNumberFormat="1" applyFont="1" applyFill="1" applyBorder="1" applyAlignment="1">
      <alignment horizontal="left" shrinkToFit="1"/>
    </xf>
    <xf numFmtId="0" fontId="8" fillId="38" borderId="124" xfId="0" applyNumberFormat="1" applyFont="1" applyFill="1" applyBorder="1" applyAlignment="1">
      <alignment horizontal="left" shrinkToFit="1"/>
    </xf>
    <xf numFmtId="0" fontId="102" fillId="0" borderId="0" xfId="0" applyNumberFormat="1" applyFont="1" applyAlignment="1">
      <alignment shrinkToFit="1"/>
    </xf>
    <xf numFmtId="0" fontId="102" fillId="0" borderId="67" xfId="0" applyNumberFormat="1" applyFont="1" applyBorder="1" applyAlignment="1">
      <alignment shrinkToFit="1"/>
    </xf>
    <xf numFmtId="38" fontId="0" fillId="23" borderId="0" xfId="0" applyFill="1" applyAlignment="1">
      <alignment horizontal="center"/>
    </xf>
    <xf numFmtId="38" fontId="93" fillId="41" borderId="12" xfId="0" applyFont="1" applyFill="1" applyBorder="1" applyAlignment="1" applyProtection="1">
      <alignment horizontal="center" vertical="center" wrapText="1"/>
      <protection locked="0"/>
    </xf>
    <xf numFmtId="38" fontId="93" fillId="41" borderId="8" xfId="0" applyFont="1" applyFill="1" applyBorder="1" applyAlignment="1" applyProtection="1">
      <alignment horizontal="center" vertical="center" wrapText="1"/>
      <protection locked="0"/>
    </xf>
    <xf numFmtId="38" fontId="93" fillId="41" borderId="13" xfId="0" applyFont="1" applyFill="1" applyBorder="1" applyAlignment="1" applyProtection="1">
      <alignment horizontal="center" vertical="center" wrapText="1"/>
      <protection locked="0"/>
    </xf>
    <xf numFmtId="38" fontId="93" fillId="41" borderId="26" xfId="0" applyFont="1" applyFill="1" applyBorder="1" applyAlignment="1" applyProtection="1">
      <alignment horizontal="center" vertical="center" wrapText="1"/>
      <protection locked="0"/>
    </xf>
    <xf numFmtId="38" fontId="88" fillId="34" borderId="22" xfId="0" applyFont="1" applyFill="1" applyBorder="1" applyAlignment="1" applyProtection="1">
      <alignment horizontal="center" shrinkToFit="1"/>
      <protection locked="0"/>
    </xf>
    <xf numFmtId="38" fontId="88" fillId="34" borderId="22" xfId="0" quotePrefix="1" applyFont="1" applyFill="1" applyBorder="1" applyAlignment="1" applyProtection="1">
      <alignment horizontal="center" shrinkToFit="1"/>
      <protection locked="0"/>
    </xf>
    <xf numFmtId="38" fontId="84" fillId="28" borderId="129" xfId="0" applyFont="1" applyFill="1" applyBorder="1" applyAlignment="1">
      <alignment horizontal="center"/>
    </xf>
    <xf numFmtId="38" fontId="84" fillId="28" borderId="112" xfId="0" applyFont="1" applyFill="1" applyBorder="1" applyAlignment="1">
      <alignment horizontal="center"/>
    </xf>
    <xf numFmtId="38" fontId="95" fillId="30" borderId="131" xfId="0" applyFont="1" applyFill="1" applyBorder="1" applyAlignment="1">
      <alignment horizontal="center"/>
    </xf>
    <xf numFmtId="38" fontId="95" fillId="30" borderId="61" xfId="0" applyFont="1" applyFill="1" applyBorder="1" applyAlignment="1">
      <alignment horizontal="center"/>
    </xf>
    <xf numFmtId="38" fontId="22" fillId="41" borderId="12" xfId="0" applyFont="1" applyFill="1" applyBorder="1" applyAlignment="1">
      <alignment horizontal="center" vertical="center" wrapText="1"/>
    </xf>
    <xf numFmtId="38" fontId="22" fillId="41" borderId="8" xfId="0" applyFont="1" applyFill="1" applyBorder="1" applyAlignment="1">
      <alignment horizontal="center" vertical="center" wrapText="1"/>
    </xf>
    <xf numFmtId="38" fontId="22" fillId="41" borderId="1" xfId="0" applyFont="1" applyFill="1" applyBorder="1" applyAlignment="1">
      <alignment horizontal="center" vertical="center" wrapText="1"/>
    </xf>
    <xf numFmtId="38" fontId="22" fillId="41" borderId="7" xfId="0" applyFont="1" applyFill="1" applyBorder="1" applyAlignment="1">
      <alignment horizontal="center" vertical="center" wrapText="1"/>
    </xf>
    <xf numFmtId="38" fontId="22" fillId="41" borderId="13" xfId="0" applyFont="1" applyFill="1" applyBorder="1" applyAlignment="1">
      <alignment horizontal="center" vertical="center" wrapText="1"/>
    </xf>
    <xf numFmtId="38" fontId="22" fillId="41" borderId="26" xfId="0" applyFont="1" applyFill="1" applyBorder="1" applyAlignment="1">
      <alignment horizontal="center" vertical="center" wrapText="1"/>
    </xf>
    <xf numFmtId="38" fontId="95" fillId="30" borderId="1" xfId="0" applyFont="1" applyFill="1" applyBorder="1" applyAlignment="1">
      <alignment horizontal="center" shrinkToFit="1"/>
    </xf>
    <xf numFmtId="38" fontId="95" fillId="30" borderId="67" xfId="0" applyFont="1" applyFill="1" applyBorder="1" applyAlignment="1">
      <alignment horizontal="center" shrinkToFit="1"/>
    </xf>
    <xf numFmtId="38" fontId="84" fillId="28" borderId="1" xfId="0" applyFont="1" applyFill="1" applyBorder="1" applyAlignment="1">
      <alignment horizontal="right"/>
    </xf>
    <xf numFmtId="38" fontId="84" fillId="28" borderId="67" xfId="0" applyFont="1" applyFill="1" applyBorder="1" applyAlignment="1">
      <alignment horizontal="right"/>
    </xf>
    <xf numFmtId="38" fontId="108" fillId="40" borderId="27" xfId="0" applyFont="1" applyFill="1" applyBorder="1" applyAlignment="1">
      <alignment horizontal="center" shrinkToFit="1"/>
    </xf>
    <xf numFmtId="38" fontId="108" fillId="40" borderId="31" xfId="0" applyFont="1" applyFill="1" applyBorder="1" applyAlignment="1">
      <alignment horizontal="center" shrinkToFit="1"/>
    </xf>
    <xf numFmtId="38" fontId="88" fillId="34" borderId="130" xfId="0" quotePrefix="1" applyFont="1" applyFill="1" applyBorder="1" applyAlignment="1" applyProtection="1">
      <alignment horizontal="center" shrinkToFit="1"/>
      <protection locked="0"/>
    </xf>
    <xf numFmtId="38" fontId="109" fillId="28" borderId="1" xfId="0" applyFont="1" applyFill="1" applyBorder="1" applyAlignment="1">
      <alignment horizontal="center"/>
    </xf>
    <xf numFmtId="38" fontId="109" fillId="28" borderId="0" xfId="0" applyFont="1" applyFill="1" applyBorder="1" applyAlignment="1">
      <alignment horizontal="center"/>
    </xf>
    <xf numFmtId="38" fontId="107" fillId="39" borderId="14" xfId="0" applyFont="1" applyFill="1" applyBorder="1" applyAlignment="1">
      <alignment horizontal="center"/>
    </xf>
    <xf numFmtId="38" fontId="101" fillId="40" borderId="14" xfId="0" applyFont="1" applyFill="1" applyBorder="1" applyAlignment="1">
      <alignment horizontal="center"/>
    </xf>
    <xf numFmtId="38" fontId="101" fillId="34" borderId="125" xfId="0" applyFont="1" applyFill="1" applyBorder="1" applyAlignment="1" applyProtection="1">
      <alignment horizontal="center" shrinkToFit="1"/>
      <protection locked="0"/>
    </xf>
    <xf numFmtId="38" fontId="101" fillId="34" borderId="126" xfId="0" applyFont="1" applyFill="1" applyBorder="1" applyAlignment="1" applyProtection="1">
      <alignment horizontal="center" shrinkToFit="1"/>
      <protection locked="0"/>
    </xf>
    <xf numFmtId="38" fontId="88" fillId="34" borderId="127" xfId="0" applyFont="1" applyFill="1" applyBorder="1" applyAlignment="1" applyProtection="1">
      <alignment horizontal="center" shrinkToFit="1"/>
      <protection locked="0"/>
    </xf>
    <xf numFmtId="38" fontId="88" fillId="34" borderId="103" xfId="0" applyFont="1" applyFill="1" applyBorder="1" applyAlignment="1" applyProtection="1">
      <alignment horizontal="center" shrinkToFit="1"/>
      <protection locked="0"/>
    </xf>
    <xf numFmtId="38" fontId="88" fillId="34" borderId="115" xfId="0" applyFont="1" applyFill="1" applyBorder="1" applyAlignment="1" applyProtection="1">
      <alignment horizontal="center" shrinkToFit="1"/>
      <protection locked="0"/>
    </xf>
    <xf numFmtId="38" fontId="88" fillId="34" borderId="108" xfId="0" applyFont="1" applyFill="1" applyBorder="1" applyAlignment="1" applyProtection="1">
      <alignment horizontal="center" shrinkToFit="1"/>
      <protection locked="0"/>
    </xf>
    <xf numFmtId="38" fontId="88" fillId="34" borderId="128" xfId="0" applyFont="1" applyFill="1" applyBorder="1" applyAlignment="1" applyProtection="1">
      <alignment horizontal="center" shrinkToFit="1"/>
      <protection locked="0"/>
    </xf>
    <xf numFmtId="38" fontId="88" fillId="34" borderId="105" xfId="0" applyFont="1" applyFill="1" applyBorder="1" applyAlignment="1" applyProtection="1">
      <alignment horizontal="center" shrinkToFit="1"/>
      <protection locked="0"/>
    </xf>
    <xf numFmtId="0" fontId="38" fillId="0" borderId="0" xfId="21" applyFont="1" applyAlignment="1">
      <alignment horizontal="center"/>
    </xf>
    <xf numFmtId="172" fontId="37" fillId="2" borderId="3" xfId="21" applyNumberFormat="1" applyFont="1" applyFill="1" applyBorder="1" applyAlignment="1">
      <alignment horizontal="center"/>
    </xf>
    <xf numFmtId="172" fontId="37" fillId="2" borderId="27" xfId="21" applyNumberFormat="1" applyFont="1" applyFill="1" applyBorder="1" applyAlignment="1">
      <alignment horizontal="center"/>
    </xf>
    <xf numFmtId="172" fontId="37" fillId="2" borderId="31" xfId="21" applyNumberFormat="1" applyFont="1" applyFill="1" applyBorder="1" applyAlignment="1">
      <alignment horizontal="center"/>
    </xf>
    <xf numFmtId="172" fontId="37" fillId="9" borderId="3" xfId="21" applyNumberFormat="1" applyFont="1" applyFill="1" applyBorder="1" applyAlignment="1">
      <alignment horizontal="center"/>
    </xf>
    <xf numFmtId="172" fontId="37" fillId="9" borderId="27" xfId="21" applyNumberFormat="1" applyFont="1" applyFill="1" applyBorder="1" applyAlignment="1">
      <alignment horizontal="center"/>
    </xf>
    <xf numFmtId="172" fontId="37" fillId="9" borderId="31" xfId="21" applyNumberFormat="1" applyFont="1" applyFill="1" applyBorder="1" applyAlignment="1">
      <alignment horizontal="center"/>
    </xf>
    <xf numFmtId="172" fontId="37" fillId="9" borderId="12" xfId="21" applyNumberFormat="1" applyFont="1" applyFill="1" applyBorder="1" applyAlignment="1">
      <alignment horizontal="center"/>
    </xf>
    <xf numFmtId="172" fontId="37" fillId="9" borderId="19" xfId="21" applyNumberFormat="1" applyFont="1" applyFill="1" applyBorder="1" applyAlignment="1">
      <alignment horizontal="center"/>
    </xf>
    <xf numFmtId="172" fontId="37" fillId="9" borderId="8" xfId="21" applyNumberFormat="1" applyFont="1" applyFill="1" applyBorder="1" applyAlignment="1">
      <alignment horizontal="center"/>
    </xf>
    <xf numFmtId="172" fontId="37" fillId="2" borderId="12" xfId="21" applyNumberFormat="1" applyFont="1" applyFill="1" applyBorder="1" applyAlignment="1">
      <alignment horizontal="center"/>
    </xf>
    <xf numFmtId="172" fontId="37" fillId="2" borderId="19" xfId="21" applyNumberFormat="1" applyFont="1" applyFill="1" applyBorder="1" applyAlignment="1">
      <alignment horizontal="center"/>
    </xf>
    <xf numFmtId="172" fontId="37" fillId="2" borderId="8" xfId="21" applyNumberFormat="1" applyFont="1" applyFill="1" applyBorder="1" applyAlignment="1">
      <alignment horizontal="center"/>
    </xf>
    <xf numFmtId="38" fontId="22" fillId="5" borderId="3" xfId="15" applyFont="1" applyBorder="1" applyAlignment="1">
      <alignment horizontal="center"/>
      <protection locked="0"/>
    </xf>
    <xf numFmtId="38" fontId="22" fillId="5" borderId="31" xfId="15" applyFont="1" applyBorder="1" applyAlignment="1">
      <alignment horizontal="center"/>
      <protection locked="0"/>
    </xf>
    <xf numFmtId="2" fontId="22" fillId="5" borderId="3" xfId="15" applyNumberFormat="1" applyFont="1" applyBorder="1" applyAlignment="1">
      <alignment horizontal="center"/>
      <protection locked="0"/>
    </xf>
    <xf numFmtId="2" fontId="22" fillId="5" borderId="31" xfId="15" applyNumberFormat="1" applyFont="1" applyBorder="1" applyAlignment="1">
      <alignment horizontal="center"/>
      <protection locked="0"/>
    </xf>
    <xf numFmtId="38" fontId="41" fillId="0" borderId="3" xfId="0" applyFont="1" applyFill="1" applyBorder="1" applyAlignment="1">
      <alignment horizontal="center" shrinkToFit="1"/>
    </xf>
    <xf numFmtId="38" fontId="41" fillId="0" borderId="31" xfId="0" applyFont="1" applyFill="1" applyBorder="1" applyAlignment="1">
      <alignment horizontal="center" shrinkToFit="1"/>
    </xf>
    <xf numFmtId="174" fontId="22" fillId="5" borderId="3" xfId="15" applyNumberFormat="1" applyFont="1" applyBorder="1" applyAlignment="1">
      <alignment horizontal="center"/>
      <protection locked="0"/>
    </xf>
    <xf numFmtId="174" fontId="22" fillId="5" borderId="31" xfId="15" applyNumberFormat="1" applyFont="1" applyBorder="1" applyAlignment="1">
      <alignment horizontal="center"/>
      <protection locked="0"/>
    </xf>
    <xf numFmtId="38" fontId="7" fillId="9" borderId="4" xfId="0" applyFont="1" applyFill="1" applyBorder="1" applyAlignment="1">
      <alignment horizontal="center"/>
    </xf>
    <xf numFmtId="38" fontId="4" fillId="9" borderId="46" xfId="0" applyFont="1" applyFill="1" applyBorder="1" applyAlignment="1">
      <alignment horizontal="center" vertical="center" wrapText="1"/>
    </xf>
    <xf numFmtId="38" fontId="4" fillId="9" borderId="73" xfId="0" applyFont="1" applyFill="1" applyBorder="1" applyAlignment="1">
      <alignment horizontal="center" vertical="center" wrapText="1"/>
    </xf>
    <xf numFmtId="38" fontId="19" fillId="9" borderId="3" xfId="30" applyFont="1" applyBorder="1" applyAlignment="1">
      <alignment horizontal="center"/>
    </xf>
    <xf numFmtId="38" fontId="19" fillId="9" borderId="27" xfId="30" applyFont="1" applyBorder="1" applyAlignment="1">
      <alignment horizontal="center"/>
    </xf>
    <xf numFmtId="38" fontId="19" fillId="9" borderId="31" xfId="30" applyFont="1" applyBorder="1" applyAlignment="1">
      <alignment horizontal="center"/>
    </xf>
    <xf numFmtId="38" fontId="15" fillId="10" borderId="1" xfId="33" applyFont="1" applyBorder="1" applyAlignment="1">
      <alignment wrapText="1"/>
    </xf>
    <xf numFmtId="38" fontId="0" fillId="0" borderId="0" xfId="0" applyBorder="1" applyAlignment="1">
      <alignment wrapText="1"/>
    </xf>
    <xf numFmtId="38" fontId="0" fillId="0" borderId="0" xfId="0" applyAlignment="1"/>
  </cellXfs>
  <cellStyles count="66">
    <cellStyle name="abs_percent" xfId="1" xr:uid="{00000000-0005-0000-0000-000000000000}"/>
    <cellStyle name="Background" xfId="2" xr:uid="{00000000-0005-0000-0000-000001000000}"/>
    <cellStyle name="Cell_count" xfId="3" xr:uid="{00000000-0005-0000-0000-000002000000}"/>
    <cellStyle name="Comma" xfId="4" builtinId="3"/>
    <cellStyle name="Comma [0]" xfId="5" builtinId="6"/>
    <cellStyle name="Comma 2" xfId="6" xr:uid="{00000000-0005-0000-0000-000005000000}"/>
    <cellStyle name="Control_link" xfId="7" xr:uid="{00000000-0005-0000-0000-000006000000}"/>
    <cellStyle name="Currency 2" xfId="8" xr:uid="{00000000-0005-0000-0000-000007000000}"/>
    <cellStyle name="Currency 2 2" xfId="9" xr:uid="{00000000-0005-0000-0000-000008000000}"/>
    <cellStyle name="Currency 3" xfId="10" xr:uid="{00000000-0005-0000-0000-000009000000}"/>
    <cellStyle name="Detail" xfId="11" xr:uid="{00000000-0005-0000-0000-00000A000000}"/>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Heading 1" xfId="12" builtinId="16"/>
    <cellStyle name="Heading 4" xfId="13" builtinId="19"/>
    <cellStyle name="Hyperlink" xfId="14" builtinId="8"/>
    <cellStyle name="input" xfId="15" xr:uid="{00000000-0005-0000-0000-00002E000000}"/>
    <cellStyle name="Italic" xfId="16" xr:uid="{00000000-0005-0000-0000-00002F000000}"/>
    <cellStyle name="key input" xfId="17" xr:uid="{00000000-0005-0000-0000-000030000000}"/>
    <cellStyle name="Millares_Formato Propuesta" xfId="18" xr:uid="{00000000-0005-0000-0000-000031000000}"/>
    <cellStyle name="No zero w/0.0" xfId="19" xr:uid="{00000000-0005-0000-0000-000032000000}"/>
    <cellStyle name="Normal" xfId="0" builtinId="0"/>
    <cellStyle name="Normal 2" xfId="20" xr:uid="{00000000-0005-0000-0000-000034000000}"/>
    <cellStyle name="Normal 3" xfId="21" xr:uid="{00000000-0005-0000-0000-000035000000}"/>
    <cellStyle name="num_col" xfId="22" xr:uid="{00000000-0005-0000-0000-000036000000}"/>
    <cellStyle name="numcol" xfId="23" xr:uid="{00000000-0005-0000-0000-000037000000}"/>
    <cellStyle name="PageName" xfId="24" xr:uid="{00000000-0005-0000-0000-000038000000}"/>
    <cellStyle name="perc_input" xfId="25" xr:uid="{00000000-0005-0000-0000-000039000000}"/>
    <cellStyle name="Percent" xfId="26" builtinId="5"/>
    <cellStyle name="Percent 2" xfId="27" xr:uid="{00000000-0005-0000-0000-00003B000000}"/>
    <cellStyle name="Percent 2 2" xfId="28" xr:uid="{00000000-0005-0000-0000-00003C000000}"/>
    <cellStyle name="Percent 3" xfId="29" xr:uid="{00000000-0005-0000-0000-00003D000000}"/>
    <cellStyle name="Product_name" xfId="30" xr:uid="{00000000-0005-0000-0000-00003E000000}"/>
    <cellStyle name="Step" xfId="31" xr:uid="{00000000-0005-0000-0000-00003F000000}"/>
    <cellStyle name="Text" xfId="32" xr:uid="{00000000-0005-0000-0000-000040000000}"/>
    <cellStyle name="Title" xfId="33" builtinId="15" customBuiltin="1"/>
  </cellStyles>
  <dxfs count="30">
    <dxf>
      <font>
        <condense val="0"/>
        <extend val="0"/>
        <color auto="1"/>
      </font>
      <fill>
        <patternFill patternType="solid">
          <bgColor indexed="8"/>
        </patternFill>
      </fill>
    </dxf>
    <dxf>
      <font>
        <condense val="0"/>
        <extend val="0"/>
        <color indexed="8"/>
      </font>
      <fill>
        <patternFill>
          <bgColor indexed="8"/>
        </patternFill>
      </fill>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color rgb="FFFF0000"/>
      </font>
      <fill>
        <patternFill>
          <bgColor rgb="FFFFFF99"/>
        </patternFill>
      </fill>
    </dxf>
    <dxf>
      <font>
        <color theme="0"/>
      </font>
      <fill>
        <patternFill>
          <bgColor theme="0"/>
        </patternFill>
      </fill>
    </dxf>
    <dxf>
      <fill>
        <patternFill>
          <bgColor theme="1" tint="0.499984740745262"/>
        </patternFill>
      </fill>
    </dxf>
    <dxf>
      <fill>
        <patternFill>
          <bgColor indexed="23"/>
        </patternFill>
      </fill>
    </dxf>
    <dxf>
      <fill>
        <patternFill>
          <bgColor indexed="23"/>
        </patternFill>
      </fill>
    </dxf>
    <dxf>
      <fill>
        <patternFill>
          <bgColor indexed="23"/>
        </patternFill>
      </fill>
    </dxf>
    <dxf>
      <fill>
        <patternFill>
          <bgColor indexed="23"/>
        </patternFill>
      </fill>
    </dxf>
    <dxf>
      <fill>
        <patternFill>
          <bgColor theme="1" tint="0.499984740745262"/>
        </patternFill>
      </fill>
    </dxf>
    <dxf>
      <fill>
        <patternFill>
          <bgColor theme="1" tint="0.499984740745262"/>
        </patternFill>
      </fill>
    </dxf>
    <dxf>
      <fill>
        <patternFill>
          <bgColor theme="1" tint="0.499984740745262"/>
        </patternFill>
      </fill>
    </dxf>
    <dxf>
      <fill>
        <patternFill>
          <bgColor theme="1" tint="0.499984740745262"/>
        </patternFill>
      </fill>
    </dxf>
    <dxf>
      <font>
        <b/>
        <i val="0"/>
      </font>
      <fill>
        <patternFill>
          <bgColor rgb="FFFFFF99"/>
        </patternFill>
      </fill>
    </dxf>
    <dxf>
      <font>
        <b/>
        <i val="0"/>
      </font>
      <fill>
        <patternFill>
          <bgColor rgb="FFFFFF99"/>
        </patternFill>
      </fill>
    </dxf>
    <dxf>
      <font>
        <color theme="0"/>
      </font>
      <fill>
        <patternFill patternType="none">
          <bgColor indexed="65"/>
        </patternFill>
      </fill>
      <border>
        <left/>
        <right/>
        <top/>
        <bottom/>
      </border>
    </dxf>
    <dxf>
      <font>
        <b/>
        <i/>
      </font>
      <fill>
        <patternFill>
          <bgColor rgb="FFFF6600"/>
        </patternFill>
      </fill>
    </dxf>
    <dxf>
      <font>
        <color theme="0"/>
      </font>
      <fill>
        <patternFill patternType="none">
          <bgColor indexed="65"/>
        </patternFill>
      </fill>
      <border>
        <left style="thin">
          <color indexed="64"/>
        </left>
        <right/>
        <top/>
        <bottom/>
      </border>
    </dxf>
    <dxf>
      <font>
        <color theme="0"/>
      </font>
      <fill>
        <patternFill>
          <bgColor theme="0"/>
        </patternFill>
      </fill>
    </dxf>
    <dxf>
      <font>
        <color theme="0"/>
      </font>
      <fill>
        <patternFill patternType="none">
          <bgColor indexed="65"/>
        </patternFill>
      </fill>
      <border>
        <left/>
        <right/>
        <top/>
        <bottom/>
      </border>
    </dxf>
    <dxf>
      <font>
        <color theme="0"/>
      </font>
      <fill>
        <patternFill patternType="none">
          <bgColor indexed="65"/>
        </patternFill>
      </fill>
      <border>
        <left style="thin">
          <color indexed="64"/>
        </left>
        <right/>
        <top/>
        <bottom/>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Translations!$A$94</c:f>
          <c:strCache>
            <c:ptCount val="1"/>
            <c:pt idx="0">
              <c:v>Loan Balance and Pricing</c:v>
            </c:pt>
          </c:strCache>
        </c:strRef>
      </c:tx>
      <c:overlay val="0"/>
      <c:spPr>
        <a:noFill/>
        <a:ln w="25400">
          <a:noFill/>
        </a:ln>
      </c:spPr>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42591133677273"/>
          <c:y val="0.13299308790589701"/>
          <c:w val="0.79209533372855601"/>
          <c:h val="0.66993960491780702"/>
        </c:manualLayout>
      </c:layout>
      <c:barChart>
        <c:barDir val="col"/>
        <c:grouping val="clustered"/>
        <c:varyColors val="0"/>
        <c:ser>
          <c:idx val="1"/>
          <c:order val="1"/>
          <c:tx>
            <c:v>Net Loan Balance</c:v>
          </c:tx>
          <c:spPr>
            <a:solidFill>
              <a:srgbClr val="C0504D"/>
            </a:solidFill>
            <a:ln w="25400">
              <a:noFill/>
            </a:ln>
          </c:spPr>
          <c:invertIfNegative val="0"/>
          <c:val>
            <c:numRef>
              <c:f>'Rep Schedule - Basic'!$S$6:$S$126</c:f>
              <c:numCache>
                <c:formatCode>#,##0_);[Red]\(#,##0\)</c:formatCode>
                <c:ptCount val="13"/>
                <c:pt idx="0">
                  <c:v>350</c:v>
                </c:pt>
                <c:pt idx="1">
                  <c:v>266.66999999999996</c:v>
                </c:pt>
                <c:pt idx="2">
                  <c:v>179.50666666666669</c:v>
                </c:pt>
                <c:pt idx="3">
                  <c:v>92.269861111111084</c:v>
                </c:pt>
                <c:pt idx="4">
                  <c:v>4.9581751157406586</c:v>
                </c:pt>
                <c:pt idx="5">
                  <c:v>-82.429826527874241</c:v>
                </c:pt>
                <c:pt idx="6">
                  <c:v>-169.8956065363252</c:v>
                </c:pt>
                <c:pt idx="7">
                  <c:v>-257.44065566160475</c:v>
                </c:pt>
                <c:pt idx="8">
                  <c:v>-345.06649322845215</c:v>
                </c:pt>
                <c:pt idx="9">
                  <c:v>-432.77466768199747</c:v>
                </c:pt>
                <c:pt idx="10">
                  <c:v>-520.56675714590244</c:v>
                </c:pt>
                <c:pt idx="11">
                  <c:v>-608.44436999119898</c:v>
                </c:pt>
                <c:pt idx="12">
                  <c:v>0</c:v>
                </c:pt>
              </c:numCache>
            </c:numRef>
          </c:val>
          <c:extLst>
            <c:ext xmlns:c16="http://schemas.microsoft.com/office/drawing/2014/chart" uri="{C3380CC4-5D6E-409C-BE32-E72D297353CC}">
              <c16:uniqueId val="{00000000-6DE1-B648-B172-9F26AC1162E7}"/>
            </c:ext>
          </c:extLst>
        </c:ser>
        <c:dLbls>
          <c:showLegendKey val="0"/>
          <c:showVal val="0"/>
          <c:showCatName val="0"/>
          <c:showSerName val="0"/>
          <c:showPercent val="0"/>
          <c:showBubbleSize val="0"/>
        </c:dLbls>
        <c:gapWidth val="0"/>
        <c:overlap val="88"/>
        <c:axId val="2047080464"/>
        <c:axId val="2042113024"/>
      </c:barChart>
      <c:lineChart>
        <c:grouping val="standard"/>
        <c:varyColors val="0"/>
        <c:ser>
          <c:idx val="2"/>
          <c:order val="0"/>
          <c:tx>
            <c:v>Interest Rate Balance</c:v>
          </c:tx>
          <c:spPr>
            <a:ln w="38100">
              <a:solidFill>
                <a:srgbClr val="99CC00"/>
              </a:solidFill>
              <a:prstDash val="solid"/>
            </a:ln>
          </c:spPr>
          <c:marker>
            <c:symbol val="triangle"/>
            <c:size val="8"/>
            <c:spPr>
              <a:solidFill>
                <a:srgbClr val="9BBB59"/>
              </a:solidFill>
              <a:ln>
                <a:solidFill>
                  <a:srgbClr val="99CC00"/>
                </a:solidFill>
                <a:prstDash val="solid"/>
              </a:ln>
            </c:spPr>
          </c:marker>
          <c:cat>
            <c:numRef>
              <c:f>'Rep Schedule - Basic'!$B$6:$B$126</c:f>
              <c:numCache>
                <c:formatCode>#,##0_);[Red]\(#,##0\)</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cat>
          <c:val>
            <c:numRef>
              <c:f>'Rep Schedule - Basic'!$Q$6:$Q$126</c:f>
              <c:numCache>
                <c:formatCode>#,##0_);[Red]\(#,##0\)</c:formatCode>
                <c:ptCount val="13"/>
                <c:pt idx="0">
                  <c:v>1000</c:v>
                </c:pt>
                <c:pt idx="1">
                  <c:v>916.67</c:v>
                </c:pt>
                <c:pt idx="2">
                  <c:v>833.34</c:v>
                </c:pt>
                <c:pt idx="3">
                  <c:v>750.01</c:v>
                </c:pt>
                <c:pt idx="4">
                  <c:v>666.68</c:v>
                </c:pt>
                <c:pt idx="5">
                  <c:v>583.35</c:v>
                </c:pt>
                <c:pt idx="6">
                  <c:v>500.02</c:v>
                </c:pt>
                <c:pt idx="7">
                  <c:v>416.69</c:v>
                </c:pt>
                <c:pt idx="8">
                  <c:v>333.36</c:v>
                </c:pt>
                <c:pt idx="9">
                  <c:v>250.03</c:v>
                </c:pt>
                <c:pt idx="10">
                  <c:v>166.7</c:v>
                </c:pt>
                <c:pt idx="11">
                  <c:v>83.37</c:v>
                </c:pt>
                <c:pt idx="12">
                  <c:v>0</c:v>
                </c:pt>
              </c:numCache>
            </c:numRef>
          </c:val>
          <c:smooth val="0"/>
          <c:extLst>
            <c:ext xmlns:c16="http://schemas.microsoft.com/office/drawing/2014/chart" uri="{C3380CC4-5D6E-409C-BE32-E72D297353CC}">
              <c16:uniqueId val="{00000001-6DE1-B648-B172-9F26AC1162E7}"/>
            </c:ext>
          </c:extLst>
        </c:ser>
        <c:ser>
          <c:idx val="0"/>
          <c:order val="2"/>
          <c:tx>
            <c:v>Compulsory Savings</c:v>
          </c:tx>
          <c:spPr>
            <a:ln w="25400">
              <a:solidFill>
                <a:srgbClr val="666699"/>
              </a:solidFill>
              <a:prstDash val="solid"/>
            </a:ln>
          </c:spPr>
          <c:marker>
            <c:spPr>
              <a:solidFill>
                <a:srgbClr val="4F81BD"/>
              </a:solidFill>
              <a:ln>
                <a:solidFill>
                  <a:srgbClr val="666699"/>
                </a:solidFill>
                <a:prstDash val="solid"/>
              </a:ln>
            </c:spPr>
          </c:marker>
          <c:cat>
            <c:numRef>
              <c:f>'Rep Schedule - Basic'!$B$6:$B$126</c:f>
              <c:numCache>
                <c:formatCode>#,##0_);[Red]\(#,##0\)</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cat>
          <c:val>
            <c:numRef>
              <c:f>'Rep Schedule - Basic'!$R$6:$R$126</c:f>
              <c:numCache>
                <c:formatCode>#,##0_);[Red]\(#,##0\)</c:formatCode>
                <c:ptCount val="13"/>
                <c:pt idx="0">
                  <c:v>200</c:v>
                </c:pt>
                <c:pt idx="1">
                  <c:v>203.83333333333334</c:v>
                </c:pt>
                <c:pt idx="2">
                  <c:v>207.74013888888891</c:v>
                </c:pt>
                <c:pt idx="3">
                  <c:v>211.72182488425929</c:v>
                </c:pt>
                <c:pt idx="4">
                  <c:v>215.77982652787426</c:v>
                </c:pt>
                <c:pt idx="5">
                  <c:v>219.91560653632519</c:v>
                </c:pt>
                <c:pt idx="6">
                  <c:v>224.13065566160475</c:v>
                </c:pt>
                <c:pt idx="7">
                  <c:v>228.42649322845216</c:v>
                </c:pt>
                <c:pt idx="8">
                  <c:v>232.8046676819975</c:v>
                </c:pt>
                <c:pt idx="9">
                  <c:v>237.26675714590246</c:v>
                </c:pt>
                <c:pt idx="10">
                  <c:v>241.81436999119893</c:v>
                </c:pt>
                <c:pt idx="11">
                  <c:v>246.44914541603023</c:v>
                </c:pt>
                <c:pt idx="12">
                  <c:v>#N/A</c:v>
                </c:pt>
              </c:numCache>
            </c:numRef>
          </c:val>
          <c:smooth val="0"/>
          <c:extLst>
            <c:ext xmlns:c16="http://schemas.microsoft.com/office/drawing/2014/chart" uri="{C3380CC4-5D6E-409C-BE32-E72D297353CC}">
              <c16:uniqueId val="{00000002-6DE1-B648-B172-9F26AC1162E7}"/>
            </c:ext>
          </c:extLst>
        </c:ser>
        <c:dLbls>
          <c:showLegendKey val="0"/>
          <c:showVal val="0"/>
          <c:showCatName val="0"/>
          <c:showSerName val="0"/>
          <c:showPercent val="0"/>
          <c:showBubbleSize val="0"/>
        </c:dLbls>
        <c:marker val="1"/>
        <c:smooth val="0"/>
        <c:axId val="2047080464"/>
        <c:axId val="2042113024"/>
      </c:lineChart>
      <c:catAx>
        <c:axId val="2047080464"/>
        <c:scaling>
          <c:orientation val="minMax"/>
        </c:scaling>
        <c:delete val="0"/>
        <c:axPos val="b"/>
        <c:title>
          <c:tx>
            <c:strRef>
              <c:f>'Pricing - Basic'!$D$5</c:f>
              <c:strCache>
                <c:ptCount val="1"/>
                <c:pt idx="0">
                  <c:v>Months</c:v>
                </c:pt>
              </c:strCache>
            </c:strRef>
          </c:tx>
          <c:layout>
            <c:manualLayout>
              <c:xMode val="edge"/>
              <c:yMode val="edge"/>
              <c:x val="0.47477744807121702"/>
              <c:y val="0.863813994948745"/>
            </c:manualLayout>
          </c:layout>
          <c:overlay val="0"/>
          <c:spPr>
            <a:noFill/>
            <a:ln w="25400">
              <a:noFill/>
            </a:ln>
          </c:spPr>
          <c:txPr>
            <a:bodyPr/>
            <a:lstStyle/>
            <a:p>
              <a:pPr>
                <a:defRPr sz="1300" b="1" i="0" u="none" strike="noStrike" baseline="0">
                  <a:solidFill>
                    <a:srgbClr val="000000"/>
                  </a:solidFill>
                  <a:latin typeface="Calibri"/>
                  <a:ea typeface="Calibri"/>
                  <a:cs typeface="Calibri"/>
                </a:defRPr>
              </a:pPr>
              <a:endParaRPr lang="en-US"/>
            </a:p>
          </c:txPr>
        </c:title>
        <c:numFmt formatCode="General" sourceLinked="1"/>
        <c:majorTickMark val="out"/>
        <c:minorTickMark val="none"/>
        <c:tickLblPos val="nextTo"/>
        <c:spPr>
          <a:ln w="3175">
            <a:solidFill>
              <a:srgbClr val="808080"/>
            </a:solidFill>
            <a:prstDash val="solid"/>
          </a:ln>
        </c:spPr>
        <c:txPr>
          <a:bodyPr rot="0" vert="horz"/>
          <a:lstStyle/>
          <a:p>
            <a:pPr>
              <a:defRPr sz="1200" b="0" i="0" u="none" strike="noStrike" baseline="0">
                <a:solidFill>
                  <a:srgbClr val="000000"/>
                </a:solidFill>
                <a:latin typeface="Calibri"/>
                <a:ea typeface="Calibri"/>
                <a:cs typeface="Calibri"/>
              </a:defRPr>
            </a:pPr>
            <a:endParaRPr lang="en-US"/>
          </a:p>
        </c:txPr>
        <c:crossAx val="2042113024"/>
        <c:crosses val="autoZero"/>
        <c:auto val="0"/>
        <c:lblAlgn val="ctr"/>
        <c:lblOffset val="100"/>
        <c:noMultiLvlLbl val="0"/>
      </c:catAx>
      <c:valAx>
        <c:axId val="2042113024"/>
        <c:scaling>
          <c:orientation val="minMax"/>
        </c:scaling>
        <c:delete val="0"/>
        <c:axPos val="l"/>
        <c:majorGridlines>
          <c:spPr>
            <a:ln w="3175">
              <a:solidFill>
                <a:srgbClr val="808080"/>
              </a:solidFill>
              <a:prstDash val="solid"/>
            </a:ln>
          </c:spPr>
        </c:majorGridlines>
        <c:title>
          <c:tx>
            <c:strRef>
              <c:f>Translations!$A$103</c:f>
              <c:strCache>
                <c:ptCount val="1"/>
                <c:pt idx="0">
                  <c:v>Amount (US$)</c:v>
                </c:pt>
              </c:strCache>
            </c:strRef>
          </c:tx>
          <c:layout>
            <c:manualLayout>
              <c:xMode val="edge"/>
              <c:yMode val="edge"/>
              <c:x val="0"/>
              <c:y val="0.40489872728173099"/>
            </c:manualLayout>
          </c:layout>
          <c:overlay val="0"/>
          <c:spPr>
            <a:noFill/>
            <a:ln w="25400">
              <a:noFill/>
            </a:ln>
          </c:spPr>
          <c:txPr>
            <a:bodyPr/>
            <a:lstStyle/>
            <a:p>
              <a:pPr>
                <a:defRPr sz="1300" b="1" i="0" u="none" strike="noStrike" baseline="0">
                  <a:solidFill>
                    <a:srgbClr val="000000"/>
                  </a:solidFill>
                  <a:latin typeface="Calibri"/>
                  <a:ea typeface="Calibri"/>
                  <a:cs typeface="Calibri"/>
                </a:defRPr>
              </a:pPr>
              <a:endParaRPr lang="en-US"/>
            </a:p>
          </c:txPr>
        </c:title>
        <c:numFmt formatCode="\$#,##0" sourceLinked="0"/>
        <c:majorTickMark val="out"/>
        <c:minorTickMark val="none"/>
        <c:tickLblPos val="nextTo"/>
        <c:spPr>
          <a:ln w="3175">
            <a:solidFill>
              <a:srgbClr val="808080"/>
            </a:solidFill>
            <a:prstDash val="solid"/>
          </a:ln>
        </c:spPr>
        <c:txPr>
          <a:bodyPr rot="0" vert="horz"/>
          <a:lstStyle/>
          <a:p>
            <a:pPr>
              <a:defRPr sz="1200" b="0" i="0" u="none" strike="noStrike" baseline="0">
                <a:solidFill>
                  <a:srgbClr val="000000"/>
                </a:solidFill>
                <a:latin typeface="Calibri"/>
                <a:ea typeface="Calibri"/>
                <a:cs typeface="Calibri"/>
              </a:defRPr>
            </a:pPr>
            <a:endParaRPr lang="en-US"/>
          </a:p>
        </c:txPr>
        <c:crossAx val="2047080464"/>
        <c:crosses val="autoZero"/>
        <c:crossBetween val="between"/>
      </c:valAx>
      <c:spPr>
        <a:solidFill>
          <a:srgbClr val="DCE6F2"/>
        </a:solidFill>
        <a:ln w="25400">
          <a:noFill/>
        </a:ln>
      </c:spPr>
    </c:plotArea>
    <c:legend>
      <c:legendPos val="r"/>
      <c:legendEntry>
        <c:idx val="0"/>
        <c:txPr>
          <a:bodyPr/>
          <a:lstStyle/>
          <a:p>
            <a:pPr>
              <a:defRPr sz="690" b="0" i="0" u="none" strike="noStrike" baseline="0">
                <a:solidFill>
                  <a:srgbClr val="000000"/>
                </a:solidFill>
                <a:latin typeface="Calibri"/>
                <a:ea typeface="Calibri"/>
                <a:cs typeface="Calibri"/>
              </a:defRPr>
            </a:pPr>
            <a:endParaRPr lang="en-US"/>
          </a:p>
        </c:txPr>
      </c:legendEntry>
      <c:legendEntry>
        <c:idx val="1"/>
        <c:txPr>
          <a:bodyPr/>
          <a:lstStyle/>
          <a:p>
            <a:pPr>
              <a:defRPr sz="690" b="0" i="0" u="none" strike="noStrike" baseline="0">
                <a:solidFill>
                  <a:srgbClr val="000000"/>
                </a:solidFill>
                <a:latin typeface="Calibri"/>
                <a:ea typeface="Calibri"/>
                <a:cs typeface="Calibri"/>
              </a:defRPr>
            </a:pPr>
            <a:endParaRPr lang="en-US"/>
          </a:p>
        </c:txPr>
      </c:legendEntry>
      <c:legendEntry>
        <c:idx val="2"/>
        <c:txPr>
          <a:bodyPr/>
          <a:lstStyle/>
          <a:p>
            <a:pPr>
              <a:defRPr sz="690" b="0" i="0" u="none" strike="noStrike" baseline="0">
                <a:solidFill>
                  <a:srgbClr val="000000"/>
                </a:solidFill>
                <a:latin typeface="Calibri"/>
                <a:ea typeface="Calibri"/>
                <a:cs typeface="Calibri"/>
              </a:defRPr>
            </a:pPr>
            <a:endParaRPr lang="en-US"/>
          </a:p>
        </c:txPr>
      </c:legendEntry>
      <c:layout>
        <c:manualLayout>
          <c:xMode val="edge"/>
          <c:yMode val="edge"/>
          <c:x val="0.14507768962058901"/>
          <c:y val="0.93175823165349503"/>
          <c:w val="0.69257325640305001"/>
          <c:h val="4.9868750426525103E-2"/>
        </c:manualLayout>
      </c:layout>
      <c:overlay val="0"/>
      <c:spPr>
        <a:noFill/>
        <a:ln w="25400">
          <a:noFill/>
        </a:ln>
      </c:spPr>
      <c:txPr>
        <a:bodyPr/>
        <a:lstStyle/>
        <a:p>
          <a:pPr>
            <a:defRPr sz="69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EBF1DE"/>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2" l="0.70000000000000095" r="0.70000000000000095" t="0.750000000000002"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Translations!$A$94</c:f>
          <c:strCache>
            <c:ptCount val="1"/>
            <c:pt idx="0">
              <c:v>Loan Balance and Pricing</c:v>
            </c:pt>
          </c:strCache>
        </c:strRef>
      </c:tx>
      <c:layout>
        <c:manualLayout>
          <c:xMode val="edge"/>
          <c:yMode val="edge"/>
          <c:x val="0.28805534083613898"/>
          <c:y val="7.7839833974241599E-3"/>
        </c:manualLayout>
      </c:layout>
      <c:overlay val="1"/>
      <c:spPr>
        <a:noFill/>
        <a:ln w="25400">
          <a:noFill/>
        </a:ln>
      </c:spPr>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0.13998949420218501"/>
          <c:y val="0.116911079913984"/>
          <c:w val="0.82479741622271696"/>
          <c:h val="0.71764669468278997"/>
        </c:manualLayout>
      </c:layout>
      <c:barChart>
        <c:barDir val="col"/>
        <c:grouping val="clustered"/>
        <c:varyColors val="0"/>
        <c:ser>
          <c:idx val="1"/>
          <c:order val="1"/>
          <c:tx>
            <c:strRef>
              <c:f>Translations!$A$95</c:f>
              <c:strCache>
                <c:ptCount val="1"/>
                <c:pt idx="0">
                  <c:v>Net Loan Balance</c:v>
                </c:pt>
              </c:strCache>
            </c:strRef>
          </c:tx>
          <c:spPr>
            <a:solidFill>
              <a:srgbClr val="C0504D"/>
            </a:solidFill>
            <a:ln w="25400">
              <a:noFill/>
            </a:ln>
          </c:spPr>
          <c:invertIfNegative val="0"/>
          <c:val>
            <c:numRef>
              <c:f>'Rep Schedule - Advanced'!$AH$6:$AH$188</c:f>
              <c:numCache>
                <c:formatCode>#,##0_);[Red]\(#,##0\)</c:formatCode>
                <c:ptCount val="13"/>
                <c:pt idx="0">
                  <c:v>1E-4</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0E9D-EC48-9E6D-F4BDAF0FB18A}"/>
            </c:ext>
          </c:extLst>
        </c:ser>
        <c:dLbls>
          <c:showLegendKey val="0"/>
          <c:showVal val="0"/>
          <c:showCatName val="0"/>
          <c:showSerName val="0"/>
          <c:showPercent val="0"/>
          <c:showBubbleSize val="0"/>
        </c:dLbls>
        <c:gapWidth val="0"/>
        <c:overlap val="88"/>
        <c:axId val="2068429072"/>
        <c:axId val="2068432704"/>
      </c:barChart>
      <c:lineChart>
        <c:grouping val="standard"/>
        <c:varyColors val="0"/>
        <c:ser>
          <c:idx val="2"/>
          <c:order val="0"/>
          <c:tx>
            <c:strRef>
              <c:f>Translations!$A$96</c:f>
              <c:strCache>
                <c:ptCount val="1"/>
                <c:pt idx="0">
                  <c:v>Interest Rate Balance</c:v>
                </c:pt>
              </c:strCache>
            </c:strRef>
          </c:tx>
          <c:spPr>
            <a:ln w="38100">
              <a:solidFill>
                <a:srgbClr val="99CC00"/>
              </a:solidFill>
              <a:prstDash val="solid"/>
            </a:ln>
          </c:spPr>
          <c:marker>
            <c:symbol val="triangle"/>
            <c:size val="8"/>
            <c:spPr>
              <a:solidFill>
                <a:srgbClr val="9BBB59"/>
              </a:solidFill>
              <a:ln>
                <a:solidFill>
                  <a:srgbClr val="99CC00"/>
                </a:solidFill>
                <a:prstDash val="solid"/>
              </a:ln>
            </c:spPr>
          </c:marker>
          <c:cat>
            <c:numRef>
              <c:f>'Rep Schedule - Advanced'!$B$6:$B$188</c:f>
              <c:numCache>
                <c:formatCode>#,##0_);[Red]\(#,##0\)</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cat>
          <c:val>
            <c:numRef>
              <c:f>'Rep Schedule - Advanced'!$AF$6:$AF$188</c:f>
              <c:numCache>
                <c:formatCode>#,##0_);[Red]\(#,##0\)</c:formatCode>
                <c:ptCount val="13"/>
                <c:pt idx="0">
                  <c:v>1E-4</c:v>
                </c:pt>
                <c:pt idx="1">
                  <c:v>#N/A</c:v>
                </c:pt>
                <c:pt idx="2">
                  <c:v>#N/A</c:v>
                </c:pt>
                <c:pt idx="3">
                  <c:v>#N/A</c:v>
                </c:pt>
                <c:pt idx="4">
                  <c:v>#N/A</c:v>
                </c:pt>
                <c:pt idx="5">
                  <c:v>#N/A</c:v>
                </c:pt>
                <c:pt idx="6">
                  <c:v>#N/A</c:v>
                </c:pt>
                <c:pt idx="7">
                  <c:v>#N/A</c:v>
                </c:pt>
                <c:pt idx="8">
                  <c:v>#N/A</c:v>
                </c:pt>
                <c:pt idx="9">
                  <c:v>#N/A</c:v>
                </c:pt>
                <c:pt idx="10">
                  <c:v>#N/A</c:v>
                </c:pt>
                <c:pt idx="11">
                  <c:v>#N/A</c:v>
                </c:pt>
                <c:pt idx="12">
                  <c:v>#N/A</c:v>
                </c:pt>
              </c:numCache>
            </c:numRef>
          </c:val>
          <c:smooth val="0"/>
          <c:extLst>
            <c:ext xmlns:c16="http://schemas.microsoft.com/office/drawing/2014/chart" uri="{C3380CC4-5D6E-409C-BE32-E72D297353CC}">
              <c16:uniqueId val="{00000001-0E9D-EC48-9E6D-F4BDAF0FB18A}"/>
            </c:ext>
          </c:extLst>
        </c:ser>
        <c:ser>
          <c:idx val="0"/>
          <c:order val="2"/>
          <c:tx>
            <c:strRef>
              <c:f>Translations!$A$97</c:f>
              <c:strCache>
                <c:ptCount val="1"/>
                <c:pt idx="0">
                  <c:v>Security Deposit</c:v>
                </c:pt>
              </c:strCache>
            </c:strRef>
          </c:tx>
          <c:spPr>
            <a:ln w="25400">
              <a:solidFill>
                <a:srgbClr val="666699"/>
              </a:solidFill>
              <a:prstDash val="solid"/>
            </a:ln>
          </c:spPr>
          <c:marker>
            <c:spPr>
              <a:solidFill>
                <a:srgbClr val="4F81BD"/>
              </a:solidFill>
              <a:ln>
                <a:solidFill>
                  <a:srgbClr val="666699"/>
                </a:solidFill>
                <a:prstDash val="solid"/>
              </a:ln>
            </c:spPr>
          </c:marker>
          <c:cat>
            <c:numRef>
              <c:f>'Rep Schedule - Advanced'!$B$6:$B$188</c:f>
              <c:numCache>
                <c:formatCode>#,##0_);[Red]\(#,##0\)</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cat>
          <c:val>
            <c:numRef>
              <c:f>'Rep Schedule - Advanced'!$AG$6:$AG$188</c:f>
              <c:numCache>
                <c:formatCode>#,##0_);[Red]\(#,##0\)</c:formatCode>
                <c:ptCount val="13"/>
                <c:pt idx="0">
                  <c:v>#N/A</c:v>
                </c:pt>
                <c:pt idx="1">
                  <c:v>#N/A</c:v>
                </c:pt>
                <c:pt idx="2">
                  <c:v>#N/A</c:v>
                </c:pt>
                <c:pt idx="3">
                  <c:v>#N/A</c:v>
                </c:pt>
                <c:pt idx="4">
                  <c:v>#N/A</c:v>
                </c:pt>
                <c:pt idx="5">
                  <c:v>#N/A</c:v>
                </c:pt>
                <c:pt idx="6">
                  <c:v>#N/A</c:v>
                </c:pt>
                <c:pt idx="7">
                  <c:v>#N/A</c:v>
                </c:pt>
                <c:pt idx="8">
                  <c:v>#N/A</c:v>
                </c:pt>
                <c:pt idx="9">
                  <c:v>#N/A</c:v>
                </c:pt>
                <c:pt idx="10">
                  <c:v>#N/A</c:v>
                </c:pt>
                <c:pt idx="11">
                  <c:v>#N/A</c:v>
                </c:pt>
                <c:pt idx="12">
                  <c:v>#N/A</c:v>
                </c:pt>
              </c:numCache>
            </c:numRef>
          </c:val>
          <c:smooth val="0"/>
          <c:extLst>
            <c:ext xmlns:c16="http://schemas.microsoft.com/office/drawing/2014/chart" uri="{C3380CC4-5D6E-409C-BE32-E72D297353CC}">
              <c16:uniqueId val="{00000002-0E9D-EC48-9E6D-F4BDAF0FB18A}"/>
            </c:ext>
          </c:extLst>
        </c:ser>
        <c:dLbls>
          <c:showLegendKey val="0"/>
          <c:showVal val="0"/>
          <c:showCatName val="0"/>
          <c:showSerName val="0"/>
          <c:showPercent val="0"/>
          <c:showBubbleSize val="0"/>
        </c:dLbls>
        <c:marker val="1"/>
        <c:smooth val="0"/>
        <c:axId val="2068429072"/>
        <c:axId val="2068432704"/>
      </c:lineChart>
      <c:catAx>
        <c:axId val="2068429072"/>
        <c:scaling>
          <c:orientation val="minMax"/>
        </c:scaling>
        <c:delete val="0"/>
        <c:axPos val="b"/>
        <c:title>
          <c:tx>
            <c:strRef>
              <c:f>'Pricing - Advanced'!$F$5</c:f>
              <c:strCache>
                <c:ptCount val="1"/>
              </c:strCache>
            </c:strRef>
          </c:tx>
          <c:layout>
            <c:manualLayout>
              <c:xMode val="edge"/>
              <c:yMode val="edge"/>
              <c:x val="0.47477755796332399"/>
              <c:y val="0.86381462491607097"/>
            </c:manualLayout>
          </c:layout>
          <c:overlay val="0"/>
          <c:spPr>
            <a:noFill/>
            <a:ln w="25400">
              <a:noFill/>
            </a:ln>
          </c:spPr>
          <c:txPr>
            <a:bodyPr/>
            <a:lstStyle/>
            <a:p>
              <a:pPr>
                <a:defRPr sz="1300" b="1" i="0" u="none" strike="noStrike" baseline="0">
                  <a:solidFill>
                    <a:srgbClr val="000000"/>
                  </a:solidFill>
                  <a:latin typeface="Calibri"/>
                  <a:ea typeface="Calibri"/>
                  <a:cs typeface="Calibri"/>
                </a:defRPr>
              </a:pPr>
              <a:endParaRPr lang="en-US"/>
            </a:p>
          </c:txPr>
        </c:title>
        <c:numFmt formatCode="General" sourceLinked="1"/>
        <c:majorTickMark val="out"/>
        <c:minorTickMark val="none"/>
        <c:tickLblPos val="nextTo"/>
        <c:spPr>
          <a:ln w="3175">
            <a:solidFill>
              <a:srgbClr val="808080"/>
            </a:solidFill>
            <a:prstDash val="solid"/>
          </a:ln>
        </c:spPr>
        <c:txPr>
          <a:bodyPr rot="0" vert="horz"/>
          <a:lstStyle/>
          <a:p>
            <a:pPr>
              <a:defRPr sz="1200" b="0" i="0" u="none" strike="noStrike" baseline="0">
                <a:solidFill>
                  <a:srgbClr val="000000"/>
                </a:solidFill>
                <a:latin typeface="Calibri"/>
                <a:ea typeface="Calibri"/>
                <a:cs typeface="Calibri"/>
              </a:defRPr>
            </a:pPr>
            <a:endParaRPr lang="en-US"/>
          </a:p>
        </c:txPr>
        <c:crossAx val="2068432704"/>
        <c:crosses val="autoZero"/>
        <c:auto val="0"/>
        <c:lblAlgn val="ctr"/>
        <c:lblOffset val="100"/>
        <c:noMultiLvlLbl val="0"/>
      </c:catAx>
      <c:valAx>
        <c:axId val="2068432704"/>
        <c:scaling>
          <c:orientation val="minMax"/>
        </c:scaling>
        <c:delete val="0"/>
        <c:axPos val="l"/>
        <c:majorGridlines>
          <c:spPr>
            <a:ln w="3175">
              <a:solidFill>
                <a:srgbClr val="808080"/>
              </a:solidFill>
              <a:prstDash val="solid"/>
            </a:ln>
          </c:spPr>
        </c:majorGridlines>
        <c:title>
          <c:tx>
            <c:strRef>
              <c:f>Translations!$A$103</c:f>
              <c:strCache>
                <c:ptCount val="1"/>
                <c:pt idx="0">
                  <c:v>Amount (US$)</c:v>
                </c:pt>
              </c:strCache>
            </c:strRef>
          </c:tx>
          <c:layout>
            <c:manualLayout>
              <c:xMode val="edge"/>
              <c:yMode val="edge"/>
              <c:x val="0"/>
              <c:y val="0.40489898065067498"/>
            </c:manualLayout>
          </c:layout>
          <c:overlay val="0"/>
          <c:spPr>
            <a:noFill/>
            <a:ln w="25400">
              <a:noFill/>
            </a:ln>
          </c:spPr>
          <c:txPr>
            <a:bodyPr/>
            <a:lstStyle/>
            <a:p>
              <a:pPr>
                <a:defRPr sz="1300" b="1" i="0" u="none" strike="noStrike" baseline="0">
                  <a:solidFill>
                    <a:srgbClr val="000000"/>
                  </a:solidFill>
                  <a:latin typeface="Calibri"/>
                  <a:ea typeface="Calibri"/>
                  <a:cs typeface="Calibri"/>
                </a:defRPr>
              </a:pPr>
              <a:endParaRPr lang="en-US"/>
            </a:p>
          </c:txPr>
        </c:title>
        <c:numFmt formatCode="#,##0" sourceLinked="0"/>
        <c:majorTickMark val="out"/>
        <c:minorTickMark val="none"/>
        <c:tickLblPos val="nextTo"/>
        <c:spPr>
          <a:ln w="3175">
            <a:solidFill>
              <a:srgbClr val="808080"/>
            </a:solidFill>
            <a:prstDash val="solid"/>
          </a:ln>
        </c:spPr>
        <c:txPr>
          <a:bodyPr rot="0" vert="horz"/>
          <a:lstStyle/>
          <a:p>
            <a:pPr>
              <a:defRPr sz="1200" b="0" i="0" u="none" strike="noStrike" baseline="0">
                <a:solidFill>
                  <a:srgbClr val="000000"/>
                </a:solidFill>
                <a:latin typeface="Calibri"/>
                <a:ea typeface="Calibri"/>
                <a:cs typeface="Calibri"/>
              </a:defRPr>
            </a:pPr>
            <a:endParaRPr lang="en-US"/>
          </a:p>
        </c:txPr>
        <c:crossAx val="2068429072"/>
        <c:crosses val="autoZero"/>
        <c:crossBetween val="between"/>
      </c:valAx>
      <c:spPr>
        <a:solidFill>
          <a:srgbClr val="DCE6F2"/>
        </a:solidFill>
        <a:ln w="25400">
          <a:noFill/>
        </a:ln>
      </c:spPr>
    </c:plotArea>
    <c:legend>
      <c:legendPos val="r"/>
      <c:legendEntry>
        <c:idx val="0"/>
        <c:txPr>
          <a:bodyPr/>
          <a:lstStyle/>
          <a:p>
            <a:pPr>
              <a:defRPr sz="825" b="0" i="0" u="none" strike="noStrike" baseline="0">
                <a:solidFill>
                  <a:srgbClr val="000000"/>
                </a:solidFill>
                <a:latin typeface="Calibri"/>
                <a:ea typeface="Calibri"/>
                <a:cs typeface="Calibri"/>
              </a:defRPr>
            </a:pPr>
            <a:endParaRPr lang="en-US"/>
          </a:p>
        </c:txPr>
      </c:legendEntry>
      <c:legendEntry>
        <c:idx val="1"/>
        <c:txPr>
          <a:bodyPr/>
          <a:lstStyle/>
          <a:p>
            <a:pPr>
              <a:defRPr sz="825" b="0" i="0" u="none" strike="noStrike" baseline="0">
                <a:solidFill>
                  <a:srgbClr val="000000"/>
                </a:solidFill>
                <a:latin typeface="Calibri"/>
                <a:ea typeface="Calibri"/>
                <a:cs typeface="Calibri"/>
              </a:defRPr>
            </a:pPr>
            <a:endParaRPr lang="en-US"/>
          </a:p>
        </c:txPr>
      </c:legendEntry>
      <c:legendEntry>
        <c:idx val="2"/>
        <c:txPr>
          <a:bodyPr/>
          <a:lstStyle/>
          <a:p>
            <a:pPr>
              <a:defRPr sz="825" b="0" i="0" u="none" strike="noStrike" baseline="0">
                <a:solidFill>
                  <a:srgbClr val="000000"/>
                </a:solidFill>
                <a:latin typeface="Calibri"/>
                <a:ea typeface="Calibri"/>
                <a:cs typeface="Calibri"/>
              </a:defRPr>
            </a:pPr>
            <a:endParaRPr lang="en-US"/>
          </a:p>
        </c:txPr>
      </c:legendEntry>
      <c:layout>
        <c:manualLayout>
          <c:xMode val="edge"/>
          <c:yMode val="edge"/>
          <c:x val="0.132553669321122"/>
          <c:y val="0.89959662949330599"/>
          <c:w val="0.75438632393050398"/>
          <c:h val="8.4337184014997402E-2"/>
        </c:manualLayout>
      </c:layout>
      <c:overlay val="0"/>
      <c:spPr>
        <a:noFill/>
        <a:ln w="25400">
          <a:noFill/>
        </a:ln>
      </c:spPr>
      <c:txPr>
        <a:bodyPr/>
        <a:lstStyle/>
        <a:p>
          <a:pPr>
            <a:defRPr sz="825"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EBF1DE"/>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1" l="0.70000000000000095" r="0.70000000000000095" t="0.750000000000001"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Relation of Op Cost Ratio and Loan Amount</a:t>
            </a:r>
          </a:p>
        </c:rich>
      </c:tx>
      <c:overlay val="0"/>
      <c:spPr>
        <a:noFill/>
        <a:ln w="25400">
          <a:noFill/>
        </a:ln>
      </c:spPr>
    </c:title>
    <c:autoTitleDeleted val="0"/>
    <c:plotArea>
      <c:layout>
        <c:manualLayout>
          <c:layoutTarget val="inner"/>
          <c:xMode val="edge"/>
          <c:yMode val="edge"/>
          <c:x val="0.186408391659376"/>
          <c:y val="0.164829112577144"/>
          <c:w val="0.72844123651210302"/>
          <c:h val="0.59314634319358694"/>
        </c:manualLayout>
      </c:layout>
      <c:scatterChart>
        <c:scatterStyle val="lineMarker"/>
        <c:varyColors val="0"/>
        <c:ser>
          <c:idx val="0"/>
          <c:order val="0"/>
          <c:spPr>
            <a:ln w="25400">
              <a:solidFill>
                <a:srgbClr val="666699"/>
              </a:solidFill>
              <a:prstDash val="solid"/>
            </a:ln>
          </c:spPr>
          <c:marker>
            <c:spPr>
              <a:solidFill>
                <a:srgbClr val="4F81BD"/>
              </a:solidFill>
              <a:ln>
                <a:solidFill>
                  <a:srgbClr val="666699"/>
                </a:solidFill>
                <a:prstDash val="solid"/>
              </a:ln>
            </c:spPr>
          </c:marker>
          <c:xVal>
            <c:numRef>
              <c:f>'Quick Cost Curve Calculator'!$B$3:$K$3</c:f>
              <c:numCache>
                <c:formatCode>\$#,##0</c:formatCode>
                <c:ptCount val="10"/>
                <c:pt idx="0">
                  <c:v>100</c:v>
                </c:pt>
                <c:pt idx="1">
                  <c:v>200</c:v>
                </c:pt>
                <c:pt idx="2">
                  <c:v>300</c:v>
                </c:pt>
                <c:pt idx="3">
                  <c:v>400</c:v>
                </c:pt>
                <c:pt idx="4">
                  <c:v>500</c:v>
                </c:pt>
                <c:pt idx="5">
                  <c:v>600</c:v>
                </c:pt>
                <c:pt idx="6">
                  <c:v>700</c:v>
                </c:pt>
                <c:pt idx="7">
                  <c:v>800</c:v>
                </c:pt>
                <c:pt idx="8">
                  <c:v>900</c:v>
                </c:pt>
                <c:pt idx="9">
                  <c:v>1000</c:v>
                </c:pt>
              </c:numCache>
            </c:numRef>
          </c:xVal>
          <c:yVal>
            <c:numRef>
              <c:f>'Quick Cost Curve Calculator'!$B$6:$K$6</c:f>
              <c:numCache>
                <c:formatCode>0%</c:formatCode>
                <c:ptCount val="10"/>
                <c:pt idx="0">
                  <c:v>0.7</c:v>
                </c:pt>
                <c:pt idx="1">
                  <c:v>0.4</c:v>
                </c:pt>
                <c:pt idx="2">
                  <c:v>0.3</c:v>
                </c:pt>
                <c:pt idx="3">
                  <c:v>0.22500000000000001</c:v>
                </c:pt>
                <c:pt idx="4">
                  <c:v>0.18</c:v>
                </c:pt>
                <c:pt idx="5">
                  <c:v>0.16666666666666666</c:v>
                </c:pt>
                <c:pt idx="6">
                  <c:v>0.14285714285714285</c:v>
                </c:pt>
                <c:pt idx="7">
                  <c:v>0.125</c:v>
                </c:pt>
                <c:pt idx="8">
                  <c:v>0.1111111111111111</c:v>
                </c:pt>
                <c:pt idx="9">
                  <c:v>0.1</c:v>
                </c:pt>
              </c:numCache>
            </c:numRef>
          </c:yVal>
          <c:smooth val="0"/>
          <c:extLst>
            <c:ext xmlns:c16="http://schemas.microsoft.com/office/drawing/2014/chart" uri="{C3380CC4-5D6E-409C-BE32-E72D297353CC}">
              <c16:uniqueId val="{00000000-8837-EE4E-885B-F9424CAAAA2E}"/>
            </c:ext>
          </c:extLst>
        </c:ser>
        <c:dLbls>
          <c:showLegendKey val="0"/>
          <c:showVal val="0"/>
          <c:showCatName val="0"/>
          <c:showSerName val="0"/>
          <c:showPercent val="0"/>
          <c:showBubbleSize val="0"/>
        </c:dLbls>
        <c:axId val="2068534800"/>
        <c:axId val="2046964384"/>
      </c:scatterChart>
      <c:valAx>
        <c:axId val="2068534800"/>
        <c:scaling>
          <c:orientation val="minMax"/>
        </c:scaling>
        <c:delete val="0"/>
        <c:axPos val="b"/>
        <c:title>
          <c:tx>
            <c:rich>
              <a:bodyPr/>
              <a:lstStyle/>
              <a:p>
                <a:pPr>
                  <a:defRPr sz="1800" b="1" i="0" u="none" strike="noStrike" baseline="0">
                    <a:solidFill>
                      <a:srgbClr val="000000"/>
                    </a:solidFill>
                    <a:latin typeface="Calibri"/>
                    <a:ea typeface="Calibri"/>
                    <a:cs typeface="Calibri"/>
                  </a:defRPr>
                </a:pPr>
                <a:r>
                  <a:rPr lang="en-US"/>
                  <a:t>Loan Amount</a:t>
                </a:r>
              </a:p>
            </c:rich>
          </c:tx>
          <c:overlay val="0"/>
          <c:spPr>
            <a:noFill/>
            <a:ln w="25400">
              <a:noFill/>
            </a:ln>
          </c:spPr>
        </c:title>
        <c:numFmt formatCode="#,##0" sourceLinked="0"/>
        <c:majorTickMark val="none"/>
        <c:minorTickMark val="none"/>
        <c:tickLblPos val="nextTo"/>
        <c:spPr>
          <a:ln w="3175">
            <a:solidFill>
              <a:srgbClr val="808080"/>
            </a:solidFill>
            <a:prstDash val="solid"/>
          </a:ln>
        </c:spPr>
        <c:txPr>
          <a:bodyPr rot="0" vert="horz"/>
          <a:lstStyle/>
          <a:p>
            <a:pPr>
              <a:defRPr sz="1200" b="0" i="0" u="none" strike="noStrike" baseline="0">
                <a:solidFill>
                  <a:srgbClr val="000000"/>
                </a:solidFill>
                <a:latin typeface="Calibri"/>
                <a:ea typeface="Calibri"/>
                <a:cs typeface="Calibri"/>
              </a:defRPr>
            </a:pPr>
            <a:endParaRPr lang="en-US"/>
          </a:p>
        </c:txPr>
        <c:crossAx val="2046964384"/>
        <c:crosses val="autoZero"/>
        <c:crossBetween val="midCat"/>
      </c:valAx>
      <c:valAx>
        <c:axId val="2046964384"/>
        <c:scaling>
          <c:orientation val="minMax"/>
          <c:max val="1.2"/>
          <c:min val="0"/>
        </c:scaling>
        <c:delete val="0"/>
        <c:axPos val="l"/>
        <c:majorGridlines>
          <c:spPr>
            <a:ln w="3175">
              <a:solidFill>
                <a:srgbClr val="808080"/>
              </a:solidFill>
              <a:prstDash val="solid"/>
            </a:ln>
          </c:spPr>
        </c:majorGridlines>
        <c:title>
          <c:tx>
            <c:rich>
              <a:bodyPr/>
              <a:lstStyle/>
              <a:p>
                <a:pPr>
                  <a:defRPr sz="1600" b="1" i="0" u="none" strike="noStrike" baseline="0">
                    <a:solidFill>
                      <a:srgbClr val="000000"/>
                    </a:solidFill>
                    <a:latin typeface="Calibri"/>
                    <a:ea typeface="Calibri"/>
                    <a:cs typeface="Calibri"/>
                  </a:defRPr>
                </a:pPr>
                <a:r>
                  <a:rPr lang="en-US"/>
                  <a:t>Operating Cost Ratio</a:t>
                </a:r>
              </a:p>
            </c:rich>
          </c:tx>
          <c:overlay val="0"/>
          <c:spPr>
            <a:noFill/>
            <a:ln w="25400">
              <a:noFill/>
            </a:ln>
          </c:spPr>
        </c:title>
        <c:numFmt formatCode="0%" sourceLinked="1"/>
        <c:majorTickMark val="none"/>
        <c:minorTickMark val="none"/>
        <c:tickLblPos val="nextTo"/>
        <c:spPr>
          <a:ln w="3175">
            <a:solidFill>
              <a:srgbClr val="808080"/>
            </a:solidFill>
            <a:prstDash val="solid"/>
          </a:ln>
        </c:spPr>
        <c:txPr>
          <a:bodyPr rot="0" vert="horz"/>
          <a:lstStyle/>
          <a:p>
            <a:pPr>
              <a:defRPr sz="1600" b="0" i="0" u="none" strike="noStrike" baseline="0">
                <a:solidFill>
                  <a:srgbClr val="000000"/>
                </a:solidFill>
                <a:latin typeface="Calibri"/>
                <a:ea typeface="Calibri"/>
                <a:cs typeface="Calibri"/>
              </a:defRPr>
            </a:pPr>
            <a:endParaRPr lang="en-US"/>
          </a:p>
        </c:txPr>
        <c:crossAx val="2068534800"/>
        <c:crosses val="autoZero"/>
        <c:crossBetween val="midCat"/>
      </c:valAx>
      <c:spPr>
        <a:solidFill>
          <a:srgbClr val="DBEEF4"/>
        </a:solidFill>
        <a:ln w="25400">
          <a:noFill/>
        </a:ln>
      </c:spPr>
    </c:plotArea>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b="1" i="0" u="none" strike="noStrike" baseline="0">
                <a:solidFill>
                  <a:srgbClr val="000000"/>
                </a:solidFill>
                <a:latin typeface="Calibri"/>
                <a:ea typeface="Calibri"/>
                <a:cs typeface="Calibri"/>
              </a:defRPr>
            </a:pPr>
            <a:r>
              <a:rPr lang="en-US"/>
              <a:t>Relation of Cost per Borrower and Loan Amount</a:t>
            </a:r>
          </a:p>
        </c:rich>
      </c:tx>
      <c:overlay val="0"/>
      <c:spPr>
        <a:noFill/>
        <a:ln w="25400">
          <a:noFill/>
        </a:ln>
      </c:spPr>
    </c:title>
    <c:autoTitleDeleted val="0"/>
    <c:plotArea>
      <c:layout/>
      <c:scatterChart>
        <c:scatterStyle val="lineMarker"/>
        <c:varyColors val="0"/>
        <c:ser>
          <c:idx val="0"/>
          <c:order val="0"/>
          <c:spPr>
            <a:ln w="25400">
              <a:solidFill>
                <a:srgbClr val="666699"/>
              </a:solidFill>
              <a:prstDash val="solid"/>
            </a:ln>
          </c:spPr>
          <c:marker>
            <c:spPr>
              <a:solidFill>
                <a:srgbClr val="4F81BD"/>
              </a:solidFill>
              <a:ln>
                <a:solidFill>
                  <a:srgbClr val="666699"/>
                </a:solidFill>
                <a:prstDash val="solid"/>
              </a:ln>
            </c:spPr>
          </c:marker>
          <c:xVal>
            <c:numRef>
              <c:f>'Quick Cost Curve Calculator'!$B$3:$K$3</c:f>
              <c:numCache>
                <c:formatCode>\$#,##0</c:formatCode>
                <c:ptCount val="10"/>
                <c:pt idx="0">
                  <c:v>100</c:v>
                </c:pt>
                <c:pt idx="1">
                  <c:v>200</c:v>
                </c:pt>
                <c:pt idx="2">
                  <c:v>300</c:v>
                </c:pt>
                <c:pt idx="3">
                  <c:v>400</c:v>
                </c:pt>
                <c:pt idx="4">
                  <c:v>500</c:v>
                </c:pt>
                <c:pt idx="5">
                  <c:v>600</c:v>
                </c:pt>
                <c:pt idx="6">
                  <c:v>700</c:v>
                </c:pt>
                <c:pt idx="7">
                  <c:v>800</c:v>
                </c:pt>
                <c:pt idx="8">
                  <c:v>900</c:v>
                </c:pt>
                <c:pt idx="9">
                  <c:v>1000</c:v>
                </c:pt>
              </c:numCache>
            </c:numRef>
          </c:xVal>
          <c:yVal>
            <c:numRef>
              <c:f>'Quick Cost Curve Calculator'!$B$5:$K$5</c:f>
              <c:numCache>
                <c:formatCode>\$#,##0</c:formatCode>
                <c:ptCount val="10"/>
                <c:pt idx="0">
                  <c:v>35</c:v>
                </c:pt>
                <c:pt idx="1">
                  <c:v>40</c:v>
                </c:pt>
                <c:pt idx="2">
                  <c:v>45</c:v>
                </c:pt>
                <c:pt idx="3">
                  <c:v>45</c:v>
                </c:pt>
                <c:pt idx="4">
                  <c:v>45</c:v>
                </c:pt>
                <c:pt idx="5">
                  <c:v>50</c:v>
                </c:pt>
                <c:pt idx="6">
                  <c:v>50</c:v>
                </c:pt>
                <c:pt idx="7">
                  <c:v>50</c:v>
                </c:pt>
                <c:pt idx="8">
                  <c:v>50</c:v>
                </c:pt>
                <c:pt idx="9">
                  <c:v>50</c:v>
                </c:pt>
              </c:numCache>
            </c:numRef>
          </c:yVal>
          <c:smooth val="0"/>
          <c:extLst>
            <c:ext xmlns:c16="http://schemas.microsoft.com/office/drawing/2014/chart" uri="{C3380CC4-5D6E-409C-BE32-E72D297353CC}">
              <c16:uniqueId val="{00000000-B1BC-574A-9A93-1C7F12300EDB}"/>
            </c:ext>
          </c:extLst>
        </c:ser>
        <c:dLbls>
          <c:showLegendKey val="0"/>
          <c:showVal val="0"/>
          <c:showCatName val="0"/>
          <c:showSerName val="0"/>
          <c:showPercent val="0"/>
          <c:showBubbleSize val="0"/>
        </c:dLbls>
        <c:axId val="2030647664"/>
        <c:axId val="2031034032"/>
      </c:scatterChart>
      <c:valAx>
        <c:axId val="2030647664"/>
        <c:scaling>
          <c:orientation val="minMax"/>
        </c:scaling>
        <c:delete val="0"/>
        <c:axPos val="b"/>
        <c:title>
          <c:tx>
            <c:rich>
              <a:bodyPr/>
              <a:lstStyle/>
              <a:p>
                <a:pPr>
                  <a:defRPr sz="1800" b="1" i="0" u="none" strike="noStrike" baseline="0">
                    <a:solidFill>
                      <a:srgbClr val="000000"/>
                    </a:solidFill>
                    <a:latin typeface="Calibri"/>
                    <a:ea typeface="Calibri"/>
                    <a:cs typeface="Calibri"/>
                  </a:defRPr>
                </a:pPr>
                <a:r>
                  <a:rPr lang="en-US"/>
                  <a:t>Loan Amount</a:t>
                </a:r>
              </a:p>
            </c:rich>
          </c:tx>
          <c:overlay val="0"/>
          <c:spPr>
            <a:noFill/>
            <a:ln w="25400">
              <a:noFill/>
            </a:ln>
          </c:spPr>
        </c:title>
        <c:numFmt formatCode="#,##0" sourceLinked="0"/>
        <c:majorTickMark val="none"/>
        <c:minorTickMark val="none"/>
        <c:tickLblPos val="nextTo"/>
        <c:spPr>
          <a:ln w="3175">
            <a:solidFill>
              <a:srgbClr val="808080"/>
            </a:solidFill>
            <a:prstDash val="solid"/>
          </a:ln>
        </c:spPr>
        <c:txPr>
          <a:bodyPr rot="0" vert="horz"/>
          <a:lstStyle/>
          <a:p>
            <a:pPr>
              <a:defRPr sz="1200" b="0" i="0" u="none" strike="noStrike" baseline="0">
                <a:solidFill>
                  <a:srgbClr val="000000"/>
                </a:solidFill>
                <a:latin typeface="Calibri"/>
                <a:ea typeface="Calibri"/>
                <a:cs typeface="Calibri"/>
              </a:defRPr>
            </a:pPr>
            <a:endParaRPr lang="en-US"/>
          </a:p>
        </c:txPr>
        <c:crossAx val="2031034032"/>
        <c:crosses val="autoZero"/>
        <c:crossBetween val="midCat"/>
      </c:valAx>
      <c:valAx>
        <c:axId val="2031034032"/>
        <c:scaling>
          <c:orientation val="minMax"/>
        </c:scaling>
        <c:delete val="0"/>
        <c:axPos val="l"/>
        <c:majorGridlines>
          <c:spPr>
            <a:ln w="3175">
              <a:solidFill>
                <a:srgbClr val="808080"/>
              </a:solidFill>
              <a:prstDash val="solid"/>
            </a:ln>
          </c:spPr>
        </c:majorGridlines>
        <c:title>
          <c:tx>
            <c:rich>
              <a:bodyPr/>
              <a:lstStyle/>
              <a:p>
                <a:pPr>
                  <a:defRPr sz="1600" b="1" i="0" u="none" strike="noStrike" baseline="0">
                    <a:solidFill>
                      <a:srgbClr val="000000"/>
                    </a:solidFill>
                    <a:latin typeface="Calibri"/>
                    <a:ea typeface="Calibri"/>
                    <a:cs typeface="Calibri"/>
                  </a:defRPr>
                </a:pPr>
                <a:r>
                  <a:rPr lang="en-US"/>
                  <a:t>Cost Per Borrower</a:t>
                </a:r>
              </a:p>
            </c:rich>
          </c:tx>
          <c:overlay val="0"/>
          <c:spPr>
            <a:noFill/>
            <a:ln w="25400">
              <a:noFill/>
            </a:ln>
          </c:spPr>
        </c:title>
        <c:numFmt formatCode="#,##0" sourceLinked="0"/>
        <c:majorTickMark val="none"/>
        <c:minorTickMark val="none"/>
        <c:tickLblPos val="nextTo"/>
        <c:spPr>
          <a:ln w="3175">
            <a:solidFill>
              <a:srgbClr val="808080"/>
            </a:solidFill>
            <a:prstDash val="solid"/>
          </a:ln>
        </c:spPr>
        <c:txPr>
          <a:bodyPr rot="0" vert="horz"/>
          <a:lstStyle/>
          <a:p>
            <a:pPr>
              <a:defRPr sz="1200" b="0" i="0" u="none" strike="noStrike" baseline="0">
                <a:solidFill>
                  <a:srgbClr val="000000"/>
                </a:solidFill>
                <a:latin typeface="Calibri"/>
                <a:ea typeface="Calibri"/>
                <a:cs typeface="Calibri"/>
              </a:defRPr>
            </a:pPr>
            <a:endParaRPr lang="en-US"/>
          </a:p>
        </c:txPr>
        <c:crossAx val="2030647664"/>
        <c:crosses val="autoZero"/>
        <c:crossBetween val="midCat"/>
      </c:valAx>
      <c:spPr>
        <a:solidFill>
          <a:srgbClr val="DBEEF4"/>
        </a:solidFill>
        <a:ln w="25400">
          <a:noFill/>
        </a:ln>
      </c:spPr>
    </c:plotArea>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2000" b="1" i="0" u="none" strike="noStrike" baseline="0">
                <a:solidFill>
                  <a:srgbClr val="000000"/>
                </a:solidFill>
                <a:latin typeface="Calibri"/>
                <a:ea typeface="Calibri"/>
                <a:cs typeface="Calibri"/>
              </a:rPr>
              <a:t>Cost Structure Relative to Initial Loan Amount</a:t>
            </a:r>
          </a:p>
          <a:p>
            <a:pPr>
              <a:defRPr sz="1000" b="0" i="0" u="none" strike="noStrike" baseline="0">
                <a:solidFill>
                  <a:srgbClr val="000000"/>
                </a:solidFill>
                <a:latin typeface="Calibri"/>
                <a:ea typeface="Calibri"/>
                <a:cs typeface="Calibri"/>
              </a:defRPr>
            </a:pPr>
            <a:r>
              <a:rPr lang="en-US" sz="1200" b="1" i="0" u="none" strike="noStrike" baseline="0">
                <a:solidFill>
                  <a:srgbClr val="000000"/>
                </a:solidFill>
                <a:latin typeface="Calibri"/>
                <a:ea typeface="Calibri"/>
                <a:cs typeface="Calibri"/>
              </a:rPr>
              <a:t>(Broad range)</a:t>
            </a:r>
          </a:p>
        </c:rich>
      </c:tx>
      <c:overlay val="1"/>
      <c:spPr>
        <a:noFill/>
        <a:ln w="25400">
          <a:noFill/>
        </a:ln>
      </c:spPr>
    </c:title>
    <c:autoTitleDeleted val="0"/>
    <c:plotArea>
      <c:layout>
        <c:manualLayout>
          <c:layoutTarget val="inner"/>
          <c:xMode val="edge"/>
          <c:yMode val="edge"/>
          <c:x val="0.12597353188787"/>
          <c:y val="0.13214034489892801"/>
          <c:w val="0.79393266740658497"/>
          <c:h val="0.64937205429966405"/>
        </c:manualLayout>
      </c:layout>
      <c:scatterChart>
        <c:scatterStyle val="lineMarker"/>
        <c:varyColors val="0"/>
        <c:ser>
          <c:idx val="2"/>
          <c:order val="0"/>
          <c:tx>
            <c:v>Financial Cost</c:v>
          </c:tx>
          <c:spPr>
            <a:ln w="12700">
              <a:solidFill>
                <a:srgbClr val="666699"/>
              </a:solidFill>
              <a:prstDash val="solid"/>
            </a:ln>
          </c:spPr>
          <c:marker>
            <c:symbol val="triangle"/>
            <c:size val="5"/>
            <c:spPr>
              <a:solidFill>
                <a:srgbClr val="7030A0"/>
              </a:solidFill>
              <a:ln>
                <a:solidFill>
                  <a:srgbClr val="666699"/>
                </a:solidFill>
                <a:prstDash val="solid"/>
              </a:ln>
            </c:spPr>
          </c:marker>
          <c:xVal>
            <c:numRef>
              <c:f>'Cost Structure Data'!$E$36:$S$36</c:f>
              <c:numCache>
                <c:formatCode>\$#,##0</c:formatCode>
                <c:ptCount val="15"/>
                <c:pt idx="0">
                  <c:v>50</c:v>
                </c:pt>
                <c:pt idx="1">
                  <c:v>75</c:v>
                </c:pt>
                <c:pt idx="2">
                  <c:v>100</c:v>
                </c:pt>
                <c:pt idx="3">
                  <c:v>150</c:v>
                </c:pt>
                <c:pt idx="4">
                  <c:v>250</c:v>
                </c:pt>
                <c:pt idx="5">
                  <c:v>500</c:v>
                </c:pt>
                <c:pt idx="6">
                  <c:v>750</c:v>
                </c:pt>
                <c:pt idx="7">
                  <c:v>1000</c:v>
                </c:pt>
                <c:pt idx="8">
                  <c:v>1500</c:v>
                </c:pt>
                <c:pt idx="9">
                  <c:v>2000</c:v>
                </c:pt>
                <c:pt idx="10">
                  <c:v>3000</c:v>
                </c:pt>
                <c:pt idx="11">
                  <c:v>5000</c:v>
                </c:pt>
                <c:pt idx="12">
                  <c:v>10000</c:v>
                </c:pt>
                <c:pt idx="13">
                  <c:v>15000</c:v>
                </c:pt>
                <c:pt idx="14">
                  <c:v>20000</c:v>
                </c:pt>
              </c:numCache>
            </c:numRef>
          </c:xVal>
          <c:yVal>
            <c:numRef>
              <c:f>'Cost Structure Data'!$E$33:$S$33</c:f>
              <c:numCache>
                <c:formatCode>0%</c:formatCode>
                <c:ptCount val="15"/>
                <c:pt idx="0">
                  <c:v>0.08</c:v>
                </c:pt>
                <c:pt idx="1">
                  <c:v>0.08</c:v>
                </c:pt>
                <c:pt idx="2">
                  <c:v>0.08</c:v>
                </c:pt>
                <c:pt idx="3">
                  <c:v>0.08</c:v>
                </c:pt>
                <c:pt idx="4">
                  <c:v>0.08</c:v>
                </c:pt>
                <c:pt idx="5">
                  <c:v>0.08</c:v>
                </c:pt>
                <c:pt idx="6">
                  <c:v>0.08</c:v>
                </c:pt>
                <c:pt idx="7">
                  <c:v>0.08</c:v>
                </c:pt>
                <c:pt idx="8">
                  <c:v>0.08</c:v>
                </c:pt>
                <c:pt idx="9">
                  <c:v>0.08</c:v>
                </c:pt>
                <c:pt idx="10">
                  <c:v>0.06</c:v>
                </c:pt>
                <c:pt idx="11">
                  <c:v>0.06</c:v>
                </c:pt>
                <c:pt idx="12">
                  <c:v>0.06</c:v>
                </c:pt>
                <c:pt idx="13">
                  <c:v>0.06</c:v>
                </c:pt>
                <c:pt idx="14">
                  <c:v>0.06</c:v>
                </c:pt>
              </c:numCache>
            </c:numRef>
          </c:yVal>
          <c:smooth val="0"/>
          <c:extLst>
            <c:ext xmlns:c16="http://schemas.microsoft.com/office/drawing/2014/chart" uri="{C3380CC4-5D6E-409C-BE32-E72D297353CC}">
              <c16:uniqueId val="{00000000-E787-9E49-86E7-96409A3E0393}"/>
            </c:ext>
          </c:extLst>
        </c:ser>
        <c:ser>
          <c:idx val="1"/>
          <c:order val="1"/>
          <c:tx>
            <c:v>Provision</c:v>
          </c:tx>
          <c:spPr>
            <a:ln w="12700">
              <a:solidFill>
                <a:srgbClr val="F20884"/>
              </a:solidFill>
              <a:prstDash val="solid"/>
            </a:ln>
          </c:spPr>
          <c:marker>
            <c:symbol val="square"/>
            <c:size val="5"/>
            <c:spPr>
              <a:solidFill>
                <a:srgbClr val="FF00FF"/>
              </a:solidFill>
              <a:ln>
                <a:solidFill>
                  <a:srgbClr val="FF00FF"/>
                </a:solidFill>
                <a:prstDash val="solid"/>
              </a:ln>
            </c:spPr>
          </c:marker>
          <c:xVal>
            <c:numRef>
              <c:f>'Cost Structure Data'!$E$36:$S$36</c:f>
              <c:numCache>
                <c:formatCode>\$#,##0</c:formatCode>
                <c:ptCount val="15"/>
                <c:pt idx="0">
                  <c:v>50</c:v>
                </c:pt>
                <c:pt idx="1">
                  <c:v>75</c:v>
                </c:pt>
                <c:pt idx="2">
                  <c:v>100</c:v>
                </c:pt>
                <c:pt idx="3">
                  <c:v>150</c:v>
                </c:pt>
                <c:pt idx="4">
                  <c:v>250</c:v>
                </c:pt>
                <c:pt idx="5">
                  <c:v>500</c:v>
                </c:pt>
                <c:pt idx="6">
                  <c:v>750</c:v>
                </c:pt>
                <c:pt idx="7">
                  <c:v>1000</c:v>
                </c:pt>
                <c:pt idx="8">
                  <c:v>1500</c:v>
                </c:pt>
                <c:pt idx="9">
                  <c:v>2000</c:v>
                </c:pt>
                <c:pt idx="10">
                  <c:v>3000</c:v>
                </c:pt>
                <c:pt idx="11">
                  <c:v>5000</c:v>
                </c:pt>
                <c:pt idx="12">
                  <c:v>10000</c:v>
                </c:pt>
                <c:pt idx="13">
                  <c:v>15000</c:v>
                </c:pt>
                <c:pt idx="14">
                  <c:v>20000</c:v>
                </c:pt>
              </c:numCache>
            </c:numRef>
          </c:xVal>
          <c:yVal>
            <c:numRef>
              <c:f>'Cost Structure Data'!$E$32:$S$32</c:f>
              <c:numCache>
                <c:formatCode>0%</c:formatCode>
                <c:ptCount val="15"/>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numCache>
            </c:numRef>
          </c:yVal>
          <c:smooth val="0"/>
          <c:extLst>
            <c:ext xmlns:c16="http://schemas.microsoft.com/office/drawing/2014/chart" uri="{C3380CC4-5D6E-409C-BE32-E72D297353CC}">
              <c16:uniqueId val="{00000001-E787-9E49-86E7-96409A3E0393}"/>
            </c:ext>
          </c:extLst>
        </c:ser>
        <c:ser>
          <c:idx val="0"/>
          <c:order val="2"/>
          <c:tx>
            <c:v>Op Costs</c:v>
          </c:tx>
          <c:spPr>
            <a:ln w="12700">
              <a:solidFill>
                <a:srgbClr val="000090"/>
              </a:solidFill>
              <a:prstDash val="solid"/>
            </a:ln>
          </c:spPr>
          <c:marker>
            <c:symbol val="diamond"/>
            <c:size val="5"/>
            <c:spPr>
              <a:solidFill>
                <a:srgbClr val="000080"/>
              </a:solidFill>
              <a:ln>
                <a:solidFill>
                  <a:srgbClr val="000080"/>
                </a:solidFill>
                <a:prstDash val="solid"/>
              </a:ln>
            </c:spPr>
          </c:marker>
          <c:xVal>
            <c:numRef>
              <c:f>'Cost Structure Data'!$E$36:$S$36</c:f>
              <c:numCache>
                <c:formatCode>\$#,##0</c:formatCode>
                <c:ptCount val="15"/>
                <c:pt idx="0">
                  <c:v>50</c:v>
                </c:pt>
                <c:pt idx="1">
                  <c:v>75</c:v>
                </c:pt>
                <c:pt idx="2">
                  <c:v>100</c:v>
                </c:pt>
                <c:pt idx="3">
                  <c:v>150</c:v>
                </c:pt>
                <c:pt idx="4">
                  <c:v>250</c:v>
                </c:pt>
                <c:pt idx="5">
                  <c:v>500</c:v>
                </c:pt>
                <c:pt idx="6">
                  <c:v>750</c:v>
                </c:pt>
                <c:pt idx="7">
                  <c:v>1000</c:v>
                </c:pt>
                <c:pt idx="8">
                  <c:v>1500</c:v>
                </c:pt>
                <c:pt idx="9">
                  <c:v>2000</c:v>
                </c:pt>
                <c:pt idx="10">
                  <c:v>3000</c:v>
                </c:pt>
                <c:pt idx="11">
                  <c:v>5000</c:v>
                </c:pt>
                <c:pt idx="12">
                  <c:v>10000</c:v>
                </c:pt>
                <c:pt idx="13">
                  <c:v>15000</c:v>
                </c:pt>
                <c:pt idx="14">
                  <c:v>20000</c:v>
                </c:pt>
              </c:numCache>
            </c:numRef>
          </c:xVal>
          <c:yVal>
            <c:numRef>
              <c:f>'Cost Structure Data'!$E$34:$S$34</c:f>
              <c:numCache>
                <c:formatCode>0%</c:formatCode>
                <c:ptCount val="15"/>
                <c:pt idx="0">
                  <c:v>1.96</c:v>
                </c:pt>
                <c:pt idx="1">
                  <c:v>1.3066666666666666</c:v>
                </c:pt>
                <c:pt idx="2">
                  <c:v>1.32</c:v>
                </c:pt>
                <c:pt idx="3">
                  <c:v>0.94666666666666666</c:v>
                </c:pt>
                <c:pt idx="4">
                  <c:v>0.70399999999999996</c:v>
                </c:pt>
                <c:pt idx="5">
                  <c:v>0.39200000000000002</c:v>
                </c:pt>
                <c:pt idx="6">
                  <c:v>0.32</c:v>
                </c:pt>
                <c:pt idx="7">
                  <c:v>0.28399999999999997</c:v>
                </c:pt>
                <c:pt idx="8">
                  <c:v>0.21199999999999999</c:v>
                </c:pt>
                <c:pt idx="9">
                  <c:v>0.159</c:v>
                </c:pt>
                <c:pt idx="10">
                  <c:v>0.106</c:v>
                </c:pt>
                <c:pt idx="11">
                  <c:v>8.7999999999999995E-2</c:v>
                </c:pt>
                <c:pt idx="12">
                  <c:v>6.933333333333333E-2</c:v>
                </c:pt>
                <c:pt idx="13">
                  <c:v>7.3333333333333334E-2</c:v>
                </c:pt>
                <c:pt idx="14">
                  <c:v>0.11</c:v>
                </c:pt>
              </c:numCache>
            </c:numRef>
          </c:yVal>
          <c:smooth val="0"/>
          <c:extLst>
            <c:ext xmlns:c16="http://schemas.microsoft.com/office/drawing/2014/chart" uri="{C3380CC4-5D6E-409C-BE32-E72D297353CC}">
              <c16:uniqueId val="{00000002-E787-9E49-86E7-96409A3E0393}"/>
            </c:ext>
          </c:extLst>
        </c:ser>
        <c:dLbls>
          <c:showLegendKey val="0"/>
          <c:showVal val="0"/>
          <c:showCatName val="0"/>
          <c:showSerName val="0"/>
          <c:showPercent val="0"/>
          <c:showBubbleSize val="0"/>
        </c:dLbls>
        <c:axId val="2068535952"/>
        <c:axId val="2063828096"/>
      </c:scatterChart>
      <c:valAx>
        <c:axId val="2068535952"/>
        <c:scaling>
          <c:orientation val="minMax"/>
        </c:scaling>
        <c:delete val="0"/>
        <c:axPos val="b"/>
        <c:title>
          <c:tx>
            <c:rich>
              <a:bodyPr/>
              <a:lstStyle/>
              <a:p>
                <a:pPr>
                  <a:defRPr sz="1600" b="1" i="0" u="none" strike="noStrike" baseline="0">
                    <a:solidFill>
                      <a:srgbClr val="000000"/>
                    </a:solidFill>
                    <a:latin typeface="Calibri"/>
                    <a:ea typeface="Calibri"/>
                    <a:cs typeface="Calibri"/>
                  </a:defRPr>
                </a:pPr>
                <a:r>
                  <a:rPr lang="en-US"/>
                  <a:t>Initial Loan Amount</a:t>
                </a:r>
              </a:p>
            </c:rich>
          </c:tx>
          <c:overlay val="0"/>
          <c:spPr>
            <a:noFill/>
            <a:ln w="25400">
              <a:noFill/>
            </a:ln>
          </c:spPr>
        </c:title>
        <c:numFmt formatCode="\$#,##0" sourceLinked="1"/>
        <c:majorTickMark val="out"/>
        <c:minorTickMark val="none"/>
        <c:tickLblPos val="nextTo"/>
        <c:spPr>
          <a:ln w="3175">
            <a:solidFill>
              <a:srgbClr val="808080"/>
            </a:solidFill>
            <a:prstDash val="solid"/>
          </a:ln>
        </c:spPr>
        <c:txPr>
          <a:bodyPr rot="0" vert="horz"/>
          <a:lstStyle/>
          <a:p>
            <a:pPr>
              <a:defRPr sz="1300" b="0" i="0" u="none" strike="noStrike" baseline="0">
                <a:solidFill>
                  <a:srgbClr val="000000"/>
                </a:solidFill>
                <a:latin typeface="Calibri"/>
                <a:ea typeface="Calibri"/>
                <a:cs typeface="Calibri"/>
              </a:defRPr>
            </a:pPr>
            <a:endParaRPr lang="en-US"/>
          </a:p>
        </c:txPr>
        <c:crossAx val="2063828096"/>
        <c:crosses val="autoZero"/>
        <c:crossBetween val="midCat"/>
      </c:valAx>
      <c:valAx>
        <c:axId val="2063828096"/>
        <c:scaling>
          <c:orientation val="minMax"/>
        </c:scaling>
        <c:delete val="0"/>
        <c:axPos val="l"/>
        <c:majorGridlines>
          <c:spPr>
            <a:ln w="3175">
              <a:solidFill>
                <a:srgbClr val="808080"/>
              </a:solidFill>
              <a:prstDash val="solid"/>
            </a:ln>
          </c:spPr>
        </c:majorGridlines>
        <c:title>
          <c:tx>
            <c:rich>
              <a:bodyPr/>
              <a:lstStyle/>
              <a:p>
                <a:pPr>
                  <a:defRPr sz="1600" b="1" i="0" u="none" strike="noStrike" baseline="0">
                    <a:solidFill>
                      <a:srgbClr val="000000"/>
                    </a:solidFill>
                    <a:latin typeface="Calibri"/>
                    <a:ea typeface="Calibri"/>
                    <a:cs typeface="Calibri"/>
                  </a:defRPr>
                </a:pPr>
                <a:r>
                  <a:rPr lang="en-US"/>
                  <a:t>Annual % per Cost Component</a:t>
                </a:r>
              </a:p>
            </c:rich>
          </c:tx>
          <c:overlay val="0"/>
          <c:spPr>
            <a:noFill/>
            <a:ln w="25400">
              <a:noFill/>
            </a:ln>
          </c:spPr>
        </c:title>
        <c:numFmt formatCode="0%" sourceLinked="1"/>
        <c:majorTickMark val="out"/>
        <c:minorTickMark val="none"/>
        <c:tickLblPos val="nextTo"/>
        <c:spPr>
          <a:ln w="3175">
            <a:solidFill>
              <a:srgbClr val="808080"/>
            </a:solidFill>
            <a:prstDash val="solid"/>
          </a:ln>
        </c:spPr>
        <c:txPr>
          <a:bodyPr rot="0" vert="horz"/>
          <a:lstStyle/>
          <a:p>
            <a:pPr>
              <a:defRPr sz="1300" b="0" i="0" u="none" strike="noStrike" baseline="0">
                <a:solidFill>
                  <a:srgbClr val="000000"/>
                </a:solidFill>
                <a:latin typeface="Calibri"/>
                <a:ea typeface="Calibri"/>
                <a:cs typeface="Calibri"/>
              </a:defRPr>
            </a:pPr>
            <a:endParaRPr lang="en-US"/>
          </a:p>
        </c:txPr>
        <c:crossAx val="2068535952"/>
        <c:crosses val="autoZero"/>
        <c:crossBetween val="midCat"/>
      </c:valAx>
      <c:spPr>
        <a:solidFill>
          <a:srgbClr val="FFFFFF"/>
        </a:solidFill>
        <a:ln w="25400">
          <a:noFill/>
        </a:ln>
      </c:spPr>
    </c:plotArea>
    <c:legend>
      <c:legendPos val="r"/>
      <c:layout>
        <c:manualLayout>
          <c:xMode val="edge"/>
          <c:yMode val="edge"/>
          <c:x val="0.240069034015022"/>
          <c:y val="0.92263545772837396"/>
          <c:w val="0.50086345226155804"/>
          <c:h val="6.0171877677937503E-2"/>
        </c:manualLayout>
      </c:layout>
      <c:overlay val="0"/>
      <c:spPr>
        <a:noFill/>
        <a:ln w="25400">
          <a:noFill/>
        </a:ln>
      </c:spPr>
      <c:txPr>
        <a:bodyPr/>
        <a:lstStyle/>
        <a:p>
          <a:pPr>
            <a:defRPr sz="71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2000" b="1" i="0" u="none" strike="noStrike" baseline="0">
                <a:solidFill>
                  <a:srgbClr val="000000"/>
                </a:solidFill>
                <a:latin typeface="Calibri"/>
                <a:ea typeface="Calibri"/>
                <a:cs typeface="Calibri"/>
              </a:rPr>
              <a:t>Cost Structure Relative to Initial Loan Amount</a:t>
            </a:r>
          </a:p>
          <a:p>
            <a:pPr>
              <a:defRPr sz="1000" b="0" i="0" u="none" strike="noStrike" baseline="0">
                <a:solidFill>
                  <a:srgbClr val="000000"/>
                </a:solidFill>
                <a:latin typeface="Calibri"/>
                <a:ea typeface="Calibri"/>
                <a:cs typeface="Calibri"/>
              </a:defRPr>
            </a:pPr>
            <a:r>
              <a:rPr lang="en-US" sz="1200" b="1" i="0" u="none" strike="noStrike" baseline="0">
                <a:solidFill>
                  <a:srgbClr val="000000"/>
                </a:solidFill>
                <a:latin typeface="Calibri"/>
                <a:ea typeface="Calibri"/>
                <a:cs typeface="Calibri"/>
              </a:rPr>
              <a:t>(smaller loans)</a:t>
            </a:r>
          </a:p>
        </c:rich>
      </c:tx>
      <c:overlay val="1"/>
      <c:spPr>
        <a:noFill/>
        <a:ln w="25400">
          <a:noFill/>
        </a:ln>
      </c:spPr>
    </c:title>
    <c:autoTitleDeleted val="0"/>
    <c:plotArea>
      <c:layout>
        <c:manualLayout>
          <c:layoutTarget val="inner"/>
          <c:xMode val="edge"/>
          <c:yMode val="edge"/>
          <c:x val="0.113798008534851"/>
          <c:y val="0.140594059405941"/>
          <c:w val="0.80369843527738305"/>
          <c:h val="0.65148514851485095"/>
        </c:manualLayout>
      </c:layout>
      <c:scatterChart>
        <c:scatterStyle val="lineMarker"/>
        <c:varyColors val="0"/>
        <c:ser>
          <c:idx val="2"/>
          <c:order val="0"/>
          <c:tx>
            <c:v>Financial Cost</c:v>
          </c:tx>
          <c:spPr>
            <a:ln w="12700">
              <a:solidFill>
                <a:srgbClr val="666699"/>
              </a:solidFill>
              <a:prstDash val="solid"/>
            </a:ln>
          </c:spPr>
          <c:marker>
            <c:symbol val="triangle"/>
            <c:size val="5"/>
            <c:spPr>
              <a:solidFill>
                <a:srgbClr val="7030A0"/>
              </a:solidFill>
              <a:ln>
                <a:solidFill>
                  <a:srgbClr val="666699"/>
                </a:solidFill>
                <a:prstDash val="solid"/>
              </a:ln>
            </c:spPr>
          </c:marker>
          <c:xVal>
            <c:numRef>
              <c:f>'Cost Structure Data'!$E$36:$N$36</c:f>
              <c:numCache>
                <c:formatCode>\$#,##0</c:formatCode>
                <c:ptCount val="10"/>
                <c:pt idx="0">
                  <c:v>50</c:v>
                </c:pt>
                <c:pt idx="1">
                  <c:v>75</c:v>
                </c:pt>
                <c:pt idx="2">
                  <c:v>100</c:v>
                </c:pt>
                <c:pt idx="3">
                  <c:v>150</c:v>
                </c:pt>
                <c:pt idx="4">
                  <c:v>250</c:v>
                </c:pt>
                <c:pt idx="5">
                  <c:v>500</c:v>
                </c:pt>
                <c:pt idx="6">
                  <c:v>750</c:v>
                </c:pt>
                <c:pt idx="7">
                  <c:v>1000</c:v>
                </c:pt>
                <c:pt idx="8">
                  <c:v>1500</c:v>
                </c:pt>
                <c:pt idx="9">
                  <c:v>2000</c:v>
                </c:pt>
              </c:numCache>
            </c:numRef>
          </c:xVal>
          <c:yVal>
            <c:numRef>
              <c:f>'Cost Structure Data'!$E$33:$N$33</c:f>
              <c:numCache>
                <c:formatCode>0%</c:formatCode>
                <c:ptCount val="10"/>
                <c:pt idx="0">
                  <c:v>0.08</c:v>
                </c:pt>
                <c:pt idx="1">
                  <c:v>0.08</c:v>
                </c:pt>
                <c:pt idx="2">
                  <c:v>0.08</c:v>
                </c:pt>
                <c:pt idx="3">
                  <c:v>0.08</c:v>
                </c:pt>
                <c:pt idx="4">
                  <c:v>0.08</c:v>
                </c:pt>
                <c:pt idx="5">
                  <c:v>0.08</c:v>
                </c:pt>
                <c:pt idx="6">
                  <c:v>0.08</c:v>
                </c:pt>
                <c:pt idx="7">
                  <c:v>0.08</c:v>
                </c:pt>
                <c:pt idx="8">
                  <c:v>0.08</c:v>
                </c:pt>
                <c:pt idx="9">
                  <c:v>0.08</c:v>
                </c:pt>
              </c:numCache>
            </c:numRef>
          </c:yVal>
          <c:smooth val="0"/>
          <c:extLst>
            <c:ext xmlns:c16="http://schemas.microsoft.com/office/drawing/2014/chart" uri="{C3380CC4-5D6E-409C-BE32-E72D297353CC}">
              <c16:uniqueId val="{00000000-02B6-1F49-9D02-100BB0A44EDD}"/>
            </c:ext>
          </c:extLst>
        </c:ser>
        <c:ser>
          <c:idx val="1"/>
          <c:order val="1"/>
          <c:tx>
            <c:v>Provision</c:v>
          </c:tx>
          <c:spPr>
            <a:ln w="12700">
              <a:solidFill>
                <a:srgbClr val="F20884"/>
              </a:solidFill>
              <a:prstDash val="solid"/>
            </a:ln>
          </c:spPr>
          <c:marker>
            <c:symbol val="square"/>
            <c:size val="5"/>
            <c:spPr>
              <a:solidFill>
                <a:srgbClr val="FF00FF"/>
              </a:solidFill>
              <a:ln>
                <a:solidFill>
                  <a:srgbClr val="FF00FF"/>
                </a:solidFill>
                <a:prstDash val="solid"/>
              </a:ln>
            </c:spPr>
          </c:marker>
          <c:xVal>
            <c:numRef>
              <c:f>'Cost Structure Data'!$E$36:$N$36</c:f>
              <c:numCache>
                <c:formatCode>\$#,##0</c:formatCode>
                <c:ptCount val="10"/>
                <c:pt idx="0">
                  <c:v>50</c:v>
                </c:pt>
                <c:pt idx="1">
                  <c:v>75</c:v>
                </c:pt>
                <c:pt idx="2">
                  <c:v>100</c:v>
                </c:pt>
                <c:pt idx="3">
                  <c:v>150</c:v>
                </c:pt>
                <c:pt idx="4">
                  <c:v>250</c:v>
                </c:pt>
                <c:pt idx="5">
                  <c:v>500</c:v>
                </c:pt>
                <c:pt idx="6">
                  <c:v>750</c:v>
                </c:pt>
                <c:pt idx="7">
                  <c:v>1000</c:v>
                </c:pt>
                <c:pt idx="8">
                  <c:v>1500</c:v>
                </c:pt>
                <c:pt idx="9">
                  <c:v>2000</c:v>
                </c:pt>
              </c:numCache>
            </c:numRef>
          </c:xVal>
          <c:yVal>
            <c:numRef>
              <c:f>'Cost Structure Data'!$E$32:$N$32</c:f>
              <c:numCache>
                <c:formatCode>0%</c:formatCode>
                <c:ptCount val="10"/>
                <c:pt idx="0">
                  <c:v>0.02</c:v>
                </c:pt>
                <c:pt idx="1">
                  <c:v>0.02</c:v>
                </c:pt>
                <c:pt idx="2">
                  <c:v>0.02</c:v>
                </c:pt>
                <c:pt idx="3">
                  <c:v>0.02</c:v>
                </c:pt>
                <c:pt idx="4">
                  <c:v>0.02</c:v>
                </c:pt>
                <c:pt idx="5">
                  <c:v>0.02</c:v>
                </c:pt>
                <c:pt idx="6">
                  <c:v>0.02</c:v>
                </c:pt>
                <c:pt idx="7">
                  <c:v>0.02</c:v>
                </c:pt>
                <c:pt idx="8">
                  <c:v>0.02</c:v>
                </c:pt>
                <c:pt idx="9">
                  <c:v>0.02</c:v>
                </c:pt>
              </c:numCache>
            </c:numRef>
          </c:yVal>
          <c:smooth val="0"/>
          <c:extLst>
            <c:ext xmlns:c16="http://schemas.microsoft.com/office/drawing/2014/chart" uri="{C3380CC4-5D6E-409C-BE32-E72D297353CC}">
              <c16:uniqueId val="{00000001-02B6-1F49-9D02-100BB0A44EDD}"/>
            </c:ext>
          </c:extLst>
        </c:ser>
        <c:ser>
          <c:idx val="0"/>
          <c:order val="2"/>
          <c:tx>
            <c:v>Op Costs</c:v>
          </c:tx>
          <c:spPr>
            <a:ln w="12700">
              <a:solidFill>
                <a:srgbClr val="000090"/>
              </a:solidFill>
              <a:prstDash val="solid"/>
            </a:ln>
          </c:spPr>
          <c:marker>
            <c:symbol val="diamond"/>
            <c:size val="5"/>
            <c:spPr>
              <a:solidFill>
                <a:srgbClr val="000080"/>
              </a:solidFill>
              <a:ln>
                <a:solidFill>
                  <a:srgbClr val="000080"/>
                </a:solidFill>
                <a:prstDash val="solid"/>
              </a:ln>
            </c:spPr>
          </c:marker>
          <c:xVal>
            <c:numRef>
              <c:f>'Cost Structure Data'!$E$36:$N$36</c:f>
              <c:numCache>
                <c:formatCode>\$#,##0</c:formatCode>
                <c:ptCount val="10"/>
                <c:pt idx="0">
                  <c:v>50</c:v>
                </c:pt>
                <c:pt idx="1">
                  <c:v>75</c:v>
                </c:pt>
                <c:pt idx="2">
                  <c:v>100</c:v>
                </c:pt>
                <c:pt idx="3">
                  <c:v>150</c:v>
                </c:pt>
                <c:pt idx="4">
                  <c:v>250</c:v>
                </c:pt>
                <c:pt idx="5">
                  <c:v>500</c:v>
                </c:pt>
                <c:pt idx="6">
                  <c:v>750</c:v>
                </c:pt>
                <c:pt idx="7">
                  <c:v>1000</c:v>
                </c:pt>
                <c:pt idx="8">
                  <c:v>1500</c:v>
                </c:pt>
                <c:pt idx="9">
                  <c:v>2000</c:v>
                </c:pt>
              </c:numCache>
            </c:numRef>
          </c:xVal>
          <c:yVal>
            <c:numRef>
              <c:f>'Cost Structure Data'!$E$34:$N$34</c:f>
              <c:numCache>
                <c:formatCode>0%</c:formatCode>
                <c:ptCount val="10"/>
                <c:pt idx="0">
                  <c:v>1.96</c:v>
                </c:pt>
                <c:pt idx="1">
                  <c:v>1.3066666666666666</c:v>
                </c:pt>
                <c:pt idx="2">
                  <c:v>1.32</c:v>
                </c:pt>
                <c:pt idx="3">
                  <c:v>0.94666666666666666</c:v>
                </c:pt>
                <c:pt idx="4">
                  <c:v>0.70399999999999996</c:v>
                </c:pt>
                <c:pt idx="5">
                  <c:v>0.39200000000000002</c:v>
                </c:pt>
                <c:pt idx="6">
                  <c:v>0.32</c:v>
                </c:pt>
                <c:pt idx="7">
                  <c:v>0.28399999999999997</c:v>
                </c:pt>
                <c:pt idx="8">
                  <c:v>0.21199999999999999</c:v>
                </c:pt>
                <c:pt idx="9">
                  <c:v>0.159</c:v>
                </c:pt>
              </c:numCache>
            </c:numRef>
          </c:yVal>
          <c:smooth val="0"/>
          <c:extLst>
            <c:ext xmlns:c16="http://schemas.microsoft.com/office/drawing/2014/chart" uri="{C3380CC4-5D6E-409C-BE32-E72D297353CC}">
              <c16:uniqueId val="{00000002-02B6-1F49-9D02-100BB0A44EDD}"/>
            </c:ext>
          </c:extLst>
        </c:ser>
        <c:dLbls>
          <c:showLegendKey val="0"/>
          <c:showVal val="0"/>
          <c:showCatName val="0"/>
          <c:showSerName val="0"/>
          <c:showPercent val="0"/>
          <c:showBubbleSize val="0"/>
        </c:dLbls>
        <c:axId val="2068435552"/>
        <c:axId val="2068437984"/>
      </c:scatterChart>
      <c:valAx>
        <c:axId val="2068435552"/>
        <c:scaling>
          <c:orientation val="minMax"/>
        </c:scaling>
        <c:delete val="0"/>
        <c:axPos val="b"/>
        <c:title>
          <c:tx>
            <c:rich>
              <a:bodyPr/>
              <a:lstStyle/>
              <a:p>
                <a:pPr>
                  <a:defRPr sz="1600" b="1" i="0" u="none" strike="noStrike" baseline="0">
                    <a:solidFill>
                      <a:srgbClr val="000000"/>
                    </a:solidFill>
                    <a:latin typeface="Calibri"/>
                    <a:ea typeface="Calibri"/>
                    <a:cs typeface="Calibri"/>
                  </a:defRPr>
                </a:pPr>
                <a:r>
                  <a:rPr lang="en-US"/>
                  <a:t>Initial Loan Amount</a:t>
                </a:r>
              </a:p>
            </c:rich>
          </c:tx>
          <c:overlay val="0"/>
          <c:spPr>
            <a:noFill/>
            <a:ln w="25400">
              <a:noFill/>
            </a:ln>
          </c:spPr>
        </c:title>
        <c:numFmt formatCode="\$#,##0" sourceLinked="1"/>
        <c:majorTickMark val="out"/>
        <c:minorTickMark val="none"/>
        <c:tickLblPos val="nextTo"/>
        <c:spPr>
          <a:ln w="3175">
            <a:solidFill>
              <a:srgbClr val="808080"/>
            </a:solidFill>
            <a:prstDash val="solid"/>
          </a:ln>
        </c:spPr>
        <c:txPr>
          <a:bodyPr rot="0" vert="horz"/>
          <a:lstStyle/>
          <a:p>
            <a:pPr>
              <a:defRPr sz="1300" b="0" i="0" u="none" strike="noStrike" baseline="0">
                <a:solidFill>
                  <a:srgbClr val="000000"/>
                </a:solidFill>
                <a:latin typeface="Calibri"/>
                <a:ea typeface="Calibri"/>
                <a:cs typeface="Calibri"/>
              </a:defRPr>
            </a:pPr>
            <a:endParaRPr lang="en-US"/>
          </a:p>
        </c:txPr>
        <c:crossAx val="2068437984"/>
        <c:crosses val="autoZero"/>
        <c:crossBetween val="midCat"/>
      </c:valAx>
      <c:valAx>
        <c:axId val="2068437984"/>
        <c:scaling>
          <c:orientation val="minMax"/>
        </c:scaling>
        <c:delete val="0"/>
        <c:axPos val="l"/>
        <c:majorGridlines>
          <c:spPr>
            <a:ln w="3175">
              <a:solidFill>
                <a:srgbClr val="808080"/>
              </a:solidFill>
              <a:prstDash val="solid"/>
            </a:ln>
          </c:spPr>
        </c:majorGridlines>
        <c:title>
          <c:tx>
            <c:rich>
              <a:bodyPr/>
              <a:lstStyle/>
              <a:p>
                <a:pPr>
                  <a:defRPr sz="1600" b="1" i="0" u="none" strike="noStrike" baseline="0">
                    <a:solidFill>
                      <a:srgbClr val="000000"/>
                    </a:solidFill>
                    <a:latin typeface="Calibri"/>
                    <a:ea typeface="Calibri"/>
                    <a:cs typeface="Calibri"/>
                  </a:defRPr>
                </a:pPr>
                <a:r>
                  <a:rPr lang="en-US"/>
                  <a:t>Annual % per Cost Component</a:t>
                </a:r>
              </a:p>
            </c:rich>
          </c:tx>
          <c:overlay val="0"/>
          <c:spPr>
            <a:noFill/>
            <a:ln w="25400">
              <a:noFill/>
            </a:ln>
          </c:spPr>
        </c:title>
        <c:numFmt formatCode="0%" sourceLinked="1"/>
        <c:majorTickMark val="out"/>
        <c:minorTickMark val="none"/>
        <c:tickLblPos val="nextTo"/>
        <c:spPr>
          <a:ln w="3175">
            <a:solidFill>
              <a:srgbClr val="808080"/>
            </a:solidFill>
            <a:prstDash val="solid"/>
          </a:ln>
        </c:spPr>
        <c:txPr>
          <a:bodyPr rot="0" vert="horz"/>
          <a:lstStyle/>
          <a:p>
            <a:pPr>
              <a:defRPr sz="1300" b="0" i="0" u="none" strike="noStrike" baseline="0">
                <a:solidFill>
                  <a:srgbClr val="000000"/>
                </a:solidFill>
                <a:latin typeface="Calibri"/>
                <a:ea typeface="Calibri"/>
                <a:cs typeface="Calibri"/>
              </a:defRPr>
            </a:pPr>
            <a:endParaRPr lang="en-US"/>
          </a:p>
        </c:txPr>
        <c:crossAx val="2068435552"/>
        <c:crosses val="autoZero"/>
        <c:crossBetween val="midCat"/>
      </c:valAx>
      <c:spPr>
        <a:solidFill>
          <a:srgbClr val="FFFFFF"/>
        </a:solidFill>
        <a:ln w="25400">
          <a:noFill/>
        </a:ln>
      </c:spPr>
    </c:plotArea>
    <c:legend>
      <c:legendPos val="r"/>
      <c:layout>
        <c:manualLayout>
          <c:xMode val="edge"/>
          <c:yMode val="edge"/>
          <c:x val="0.23275866967745401"/>
          <c:y val="0.922412498859977"/>
          <c:w val="0.50000010523305005"/>
          <c:h val="6.03447429160733E-2"/>
        </c:manualLayout>
      </c:layout>
      <c:overlay val="0"/>
      <c:spPr>
        <a:noFill/>
        <a:ln w="25400">
          <a:noFill/>
        </a:ln>
      </c:spPr>
      <c:txPr>
        <a:bodyPr/>
        <a:lstStyle/>
        <a:p>
          <a:pPr>
            <a:defRPr sz="71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800" b="1" i="0" u="none" strike="noStrike" baseline="0">
                <a:solidFill>
                  <a:srgbClr val="000000"/>
                </a:solidFill>
                <a:latin typeface="Calibri"/>
                <a:ea typeface="Calibri"/>
                <a:cs typeface="Calibri"/>
              </a:rPr>
              <a:t>Cost Structure by Loan Amount</a:t>
            </a:r>
          </a:p>
          <a:p>
            <a:pPr>
              <a:defRPr sz="1000" b="0" i="0" u="none" strike="noStrike" baseline="0">
                <a:solidFill>
                  <a:srgbClr val="000000"/>
                </a:solidFill>
                <a:latin typeface="Calibri"/>
                <a:ea typeface="Calibri"/>
                <a:cs typeface="Calibri"/>
              </a:defRPr>
            </a:pPr>
            <a:r>
              <a:rPr lang="en-US" sz="1200" b="1" i="0" u="none" strike="noStrike" baseline="0">
                <a:solidFill>
                  <a:srgbClr val="000000"/>
                </a:solidFill>
                <a:latin typeface="Calibri"/>
                <a:ea typeface="Calibri"/>
                <a:cs typeface="Calibri"/>
              </a:rPr>
              <a:t>(Smaller Loans)</a:t>
            </a:r>
          </a:p>
        </c:rich>
      </c:tx>
      <c:overlay val="1"/>
      <c:spPr>
        <a:noFill/>
        <a:ln w="25400">
          <a:noFill/>
        </a:ln>
      </c:spPr>
    </c:title>
    <c:autoTitleDeleted val="0"/>
    <c:plotArea>
      <c:layout>
        <c:manualLayout>
          <c:layoutTarget val="inner"/>
          <c:xMode val="edge"/>
          <c:yMode val="edge"/>
          <c:x val="0.114122681883024"/>
          <c:y val="0.121031980546217"/>
          <c:w val="0.81169757489300998"/>
          <c:h val="0.73214427576318297"/>
        </c:manualLayout>
      </c:layout>
      <c:scatterChart>
        <c:scatterStyle val="lineMarker"/>
        <c:varyColors val="0"/>
        <c:ser>
          <c:idx val="2"/>
          <c:order val="0"/>
          <c:tx>
            <c:v>Total Costs</c:v>
          </c:tx>
          <c:spPr>
            <a:ln w="38100">
              <a:solidFill>
                <a:srgbClr val="00CCFF"/>
              </a:solidFill>
              <a:prstDash val="solid"/>
            </a:ln>
          </c:spPr>
          <c:marker>
            <c:symbol val="triangle"/>
            <c:size val="5"/>
            <c:spPr>
              <a:solidFill>
                <a:srgbClr val="0070C0"/>
              </a:solidFill>
              <a:ln>
                <a:solidFill>
                  <a:srgbClr val="00CCFF"/>
                </a:solidFill>
                <a:prstDash val="solid"/>
              </a:ln>
            </c:spPr>
          </c:marker>
          <c:xVal>
            <c:numRef>
              <c:f>'Cost Structure Data'!$E$36:$N$36</c:f>
              <c:numCache>
                <c:formatCode>\$#,##0</c:formatCode>
                <c:ptCount val="10"/>
                <c:pt idx="0">
                  <c:v>50</c:v>
                </c:pt>
                <c:pt idx="1">
                  <c:v>75</c:v>
                </c:pt>
                <c:pt idx="2">
                  <c:v>100</c:v>
                </c:pt>
                <c:pt idx="3">
                  <c:v>150</c:v>
                </c:pt>
                <c:pt idx="4">
                  <c:v>250</c:v>
                </c:pt>
                <c:pt idx="5">
                  <c:v>500</c:v>
                </c:pt>
                <c:pt idx="6">
                  <c:v>750</c:v>
                </c:pt>
                <c:pt idx="7">
                  <c:v>1000</c:v>
                </c:pt>
                <c:pt idx="8">
                  <c:v>1500</c:v>
                </c:pt>
                <c:pt idx="9">
                  <c:v>2000</c:v>
                </c:pt>
              </c:numCache>
            </c:numRef>
          </c:xVal>
          <c:yVal>
            <c:numRef>
              <c:f>'Cost Structure Data'!$E$35:$N$35</c:f>
              <c:numCache>
                <c:formatCode>0%</c:formatCode>
                <c:ptCount val="10"/>
                <c:pt idx="0">
                  <c:v>2.06</c:v>
                </c:pt>
                <c:pt idx="1">
                  <c:v>1.4066666666666667</c:v>
                </c:pt>
                <c:pt idx="2">
                  <c:v>1.42</c:v>
                </c:pt>
                <c:pt idx="3">
                  <c:v>1.0466666666666666</c:v>
                </c:pt>
                <c:pt idx="4">
                  <c:v>0.80400000000000005</c:v>
                </c:pt>
                <c:pt idx="5">
                  <c:v>0.49199999999999999</c:v>
                </c:pt>
                <c:pt idx="6">
                  <c:v>0.42</c:v>
                </c:pt>
                <c:pt idx="7">
                  <c:v>0.38400000000000001</c:v>
                </c:pt>
                <c:pt idx="8">
                  <c:v>0.312</c:v>
                </c:pt>
                <c:pt idx="9">
                  <c:v>0.25900000000000001</c:v>
                </c:pt>
              </c:numCache>
            </c:numRef>
          </c:yVal>
          <c:smooth val="0"/>
          <c:extLst>
            <c:ext xmlns:c16="http://schemas.microsoft.com/office/drawing/2014/chart" uri="{C3380CC4-5D6E-409C-BE32-E72D297353CC}">
              <c16:uniqueId val="{00000000-FACF-FF4C-9E5D-1C5B4F9F6E83}"/>
            </c:ext>
          </c:extLst>
        </c:ser>
        <c:dLbls>
          <c:showLegendKey val="0"/>
          <c:showVal val="0"/>
          <c:showCatName val="0"/>
          <c:showSerName val="0"/>
          <c:showPercent val="0"/>
          <c:showBubbleSize val="0"/>
        </c:dLbls>
        <c:axId val="2032736432"/>
        <c:axId val="2064012352"/>
      </c:scatterChart>
      <c:valAx>
        <c:axId val="2032736432"/>
        <c:scaling>
          <c:orientation val="minMax"/>
        </c:scaling>
        <c:delete val="0"/>
        <c:axPos val="b"/>
        <c:title>
          <c:tx>
            <c:rich>
              <a:bodyPr/>
              <a:lstStyle/>
              <a:p>
                <a:pPr>
                  <a:defRPr sz="1600" b="1" i="0" u="none" strike="noStrike" baseline="0">
                    <a:solidFill>
                      <a:srgbClr val="000000"/>
                    </a:solidFill>
                    <a:latin typeface="Calibri"/>
                    <a:ea typeface="Calibri"/>
                    <a:cs typeface="Calibri"/>
                  </a:defRPr>
                </a:pPr>
                <a:r>
                  <a:rPr lang="en-US"/>
                  <a:t>Loan Amount</a:t>
                </a:r>
              </a:p>
            </c:rich>
          </c:tx>
          <c:overlay val="0"/>
          <c:spPr>
            <a:noFill/>
            <a:ln w="25400">
              <a:noFill/>
            </a:ln>
          </c:spPr>
        </c:title>
        <c:numFmt formatCode="\$#,##0" sourceLinked="1"/>
        <c:majorTickMark val="out"/>
        <c:minorTickMark val="none"/>
        <c:tickLblPos val="nextTo"/>
        <c:spPr>
          <a:ln w="3175">
            <a:solidFill>
              <a:srgbClr val="808080"/>
            </a:solidFill>
            <a:prstDash val="solid"/>
          </a:ln>
        </c:spPr>
        <c:txPr>
          <a:bodyPr rot="0" vert="horz"/>
          <a:lstStyle/>
          <a:p>
            <a:pPr>
              <a:defRPr sz="1400" b="0" i="0" u="none" strike="noStrike" baseline="0">
                <a:solidFill>
                  <a:srgbClr val="000000"/>
                </a:solidFill>
                <a:latin typeface="Calibri"/>
                <a:ea typeface="Calibri"/>
                <a:cs typeface="Calibri"/>
              </a:defRPr>
            </a:pPr>
            <a:endParaRPr lang="en-US"/>
          </a:p>
        </c:txPr>
        <c:crossAx val="2064012352"/>
        <c:crosses val="autoZero"/>
        <c:crossBetween val="midCat"/>
      </c:valAx>
      <c:valAx>
        <c:axId val="2064012352"/>
        <c:scaling>
          <c:orientation val="minMax"/>
        </c:scaling>
        <c:delete val="0"/>
        <c:axPos val="l"/>
        <c:majorGridlines>
          <c:spPr>
            <a:ln w="3175">
              <a:solidFill>
                <a:srgbClr val="808080"/>
              </a:solidFill>
              <a:prstDash val="solid"/>
            </a:ln>
          </c:spPr>
        </c:majorGridlines>
        <c:title>
          <c:tx>
            <c:rich>
              <a:bodyPr/>
              <a:lstStyle/>
              <a:p>
                <a:pPr>
                  <a:defRPr sz="1800" b="1" i="0" u="none" strike="noStrike" baseline="0">
                    <a:solidFill>
                      <a:srgbClr val="000000"/>
                    </a:solidFill>
                    <a:latin typeface="Calibri"/>
                    <a:ea typeface="Calibri"/>
                    <a:cs typeface="Calibri"/>
                  </a:defRPr>
                </a:pPr>
                <a:r>
                  <a:rPr lang="en-US"/>
                  <a:t>Annual total Cost Percentage</a:t>
                </a:r>
              </a:p>
            </c:rich>
          </c:tx>
          <c:overlay val="0"/>
          <c:spPr>
            <a:noFill/>
            <a:ln w="25400">
              <a:noFill/>
            </a:ln>
          </c:spPr>
        </c:title>
        <c:numFmt formatCode="0%" sourceLinked="1"/>
        <c:majorTickMark val="out"/>
        <c:minorTickMark val="none"/>
        <c:tickLblPos val="nextTo"/>
        <c:spPr>
          <a:ln w="3175">
            <a:solidFill>
              <a:srgbClr val="808080"/>
            </a:solidFill>
            <a:prstDash val="solid"/>
          </a:ln>
        </c:spPr>
        <c:txPr>
          <a:bodyPr rot="0" vert="horz"/>
          <a:lstStyle/>
          <a:p>
            <a:pPr>
              <a:defRPr sz="1200" b="0" i="0" u="none" strike="noStrike" baseline="0">
                <a:solidFill>
                  <a:srgbClr val="000000"/>
                </a:solidFill>
                <a:latin typeface="Calibri"/>
                <a:ea typeface="Calibri"/>
                <a:cs typeface="Calibri"/>
              </a:defRPr>
            </a:pPr>
            <a:endParaRPr lang="en-US"/>
          </a:p>
        </c:txPr>
        <c:crossAx val="2032736432"/>
        <c:crosses val="autoZero"/>
        <c:crossBetween val="midCat"/>
      </c:valAx>
      <c:spPr>
        <a:solidFill>
          <a:srgbClr val="FFFFFF"/>
        </a:solidFill>
        <a:ln w="25400">
          <a:noFill/>
        </a:ln>
      </c:spPr>
    </c:plotArea>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800" b="1" i="0" u="none" strike="noStrike" baseline="0">
                <a:solidFill>
                  <a:srgbClr val="000000"/>
                </a:solidFill>
                <a:latin typeface="Calibri"/>
                <a:ea typeface="Calibri"/>
                <a:cs typeface="Calibri"/>
              </a:rPr>
              <a:t>Annual Costs by Loan Amount</a:t>
            </a:r>
          </a:p>
          <a:p>
            <a:pPr>
              <a:defRPr sz="1000" b="0" i="0" u="none" strike="noStrike" baseline="0">
                <a:solidFill>
                  <a:srgbClr val="000000"/>
                </a:solidFill>
                <a:latin typeface="Calibri"/>
                <a:ea typeface="Calibri"/>
                <a:cs typeface="Calibri"/>
              </a:defRPr>
            </a:pPr>
            <a:r>
              <a:rPr lang="en-US" sz="1200" b="1" i="0" u="none" strike="noStrike" baseline="0">
                <a:solidFill>
                  <a:srgbClr val="000000"/>
                </a:solidFill>
                <a:latin typeface="Calibri"/>
                <a:ea typeface="Calibri"/>
                <a:cs typeface="Calibri"/>
              </a:rPr>
              <a:t>(Broad range)</a:t>
            </a:r>
          </a:p>
        </c:rich>
      </c:tx>
      <c:overlay val="1"/>
      <c:spPr>
        <a:noFill/>
        <a:ln w="25400">
          <a:noFill/>
        </a:ln>
      </c:spPr>
    </c:title>
    <c:autoTitleDeleted val="0"/>
    <c:plotArea>
      <c:layout>
        <c:manualLayout>
          <c:layoutTarget val="inner"/>
          <c:xMode val="edge"/>
          <c:yMode val="edge"/>
          <c:x val="0.14265335235377999"/>
          <c:y val="0.13492089634660301"/>
          <c:w val="0.79315263908701805"/>
          <c:h val="0.66269969676125495"/>
        </c:manualLayout>
      </c:layout>
      <c:scatterChart>
        <c:scatterStyle val="lineMarker"/>
        <c:varyColors val="0"/>
        <c:ser>
          <c:idx val="2"/>
          <c:order val="0"/>
          <c:tx>
            <c:v>Total Costs</c:v>
          </c:tx>
          <c:spPr>
            <a:ln w="38100">
              <a:solidFill>
                <a:srgbClr val="00CCFF"/>
              </a:solidFill>
              <a:prstDash val="solid"/>
            </a:ln>
          </c:spPr>
          <c:marker>
            <c:symbol val="triangle"/>
            <c:size val="5"/>
            <c:spPr>
              <a:solidFill>
                <a:srgbClr val="0070C0"/>
              </a:solidFill>
              <a:ln>
                <a:solidFill>
                  <a:srgbClr val="00CCFF"/>
                </a:solidFill>
                <a:prstDash val="solid"/>
              </a:ln>
            </c:spPr>
          </c:marker>
          <c:xVal>
            <c:numRef>
              <c:f>'Cost Structure Data'!$E$36:$S$36</c:f>
              <c:numCache>
                <c:formatCode>\$#,##0</c:formatCode>
                <c:ptCount val="15"/>
                <c:pt idx="0">
                  <c:v>50</c:v>
                </c:pt>
                <c:pt idx="1">
                  <c:v>75</c:v>
                </c:pt>
                <c:pt idx="2">
                  <c:v>100</c:v>
                </c:pt>
                <c:pt idx="3">
                  <c:v>150</c:v>
                </c:pt>
                <c:pt idx="4">
                  <c:v>250</c:v>
                </c:pt>
                <c:pt idx="5">
                  <c:v>500</c:v>
                </c:pt>
                <c:pt idx="6">
                  <c:v>750</c:v>
                </c:pt>
                <c:pt idx="7">
                  <c:v>1000</c:v>
                </c:pt>
                <c:pt idx="8">
                  <c:v>1500</c:v>
                </c:pt>
                <c:pt idx="9">
                  <c:v>2000</c:v>
                </c:pt>
                <c:pt idx="10">
                  <c:v>3000</c:v>
                </c:pt>
                <c:pt idx="11">
                  <c:v>5000</c:v>
                </c:pt>
                <c:pt idx="12">
                  <c:v>10000</c:v>
                </c:pt>
                <c:pt idx="13">
                  <c:v>15000</c:v>
                </c:pt>
                <c:pt idx="14">
                  <c:v>20000</c:v>
                </c:pt>
              </c:numCache>
            </c:numRef>
          </c:xVal>
          <c:yVal>
            <c:numRef>
              <c:f>'Cost Structure Data'!$E$42:$S$42</c:f>
              <c:numCache>
                <c:formatCode>\$#,##0</c:formatCode>
                <c:ptCount val="15"/>
                <c:pt idx="0">
                  <c:v>51.5</c:v>
                </c:pt>
                <c:pt idx="1">
                  <c:v>52.75</c:v>
                </c:pt>
                <c:pt idx="2">
                  <c:v>71</c:v>
                </c:pt>
                <c:pt idx="3">
                  <c:v>78.5</c:v>
                </c:pt>
                <c:pt idx="4">
                  <c:v>100.5</c:v>
                </c:pt>
                <c:pt idx="5">
                  <c:v>123</c:v>
                </c:pt>
                <c:pt idx="6">
                  <c:v>157.5</c:v>
                </c:pt>
                <c:pt idx="7">
                  <c:v>192</c:v>
                </c:pt>
                <c:pt idx="8">
                  <c:v>234</c:v>
                </c:pt>
                <c:pt idx="9">
                  <c:v>259</c:v>
                </c:pt>
                <c:pt idx="10">
                  <c:v>279</c:v>
                </c:pt>
                <c:pt idx="11">
                  <c:v>420</c:v>
                </c:pt>
                <c:pt idx="12">
                  <c:v>746.66666666666663</c:v>
                </c:pt>
                <c:pt idx="13">
                  <c:v>1150</c:v>
                </c:pt>
                <c:pt idx="14">
                  <c:v>1900</c:v>
                </c:pt>
              </c:numCache>
            </c:numRef>
          </c:yVal>
          <c:smooth val="0"/>
          <c:extLst>
            <c:ext xmlns:c16="http://schemas.microsoft.com/office/drawing/2014/chart" uri="{C3380CC4-5D6E-409C-BE32-E72D297353CC}">
              <c16:uniqueId val="{00000000-A82E-A740-8DC3-50F9F5B7BE49}"/>
            </c:ext>
          </c:extLst>
        </c:ser>
        <c:ser>
          <c:idx val="0"/>
          <c:order val="1"/>
          <c:tx>
            <c:v>Operating Costs</c:v>
          </c:tx>
          <c:spPr>
            <a:ln w="25400">
              <a:solidFill>
                <a:srgbClr val="666699"/>
              </a:solidFill>
              <a:prstDash val="solid"/>
            </a:ln>
          </c:spPr>
          <c:marker>
            <c:spPr>
              <a:solidFill>
                <a:srgbClr val="4F81BD"/>
              </a:solidFill>
              <a:ln>
                <a:solidFill>
                  <a:srgbClr val="666699"/>
                </a:solidFill>
                <a:prstDash val="solid"/>
              </a:ln>
            </c:spPr>
          </c:marker>
          <c:xVal>
            <c:numRef>
              <c:f>'Cost Structure Data'!$E$36:$S$36</c:f>
              <c:numCache>
                <c:formatCode>\$#,##0</c:formatCode>
                <c:ptCount val="15"/>
                <c:pt idx="0">
                  <c:v>50</c:v>
                </c:pt>
                <c:pt idx="1">
                  <c:v>75</c:v>
                </c:pt>
                <c:pt idx="2">
                  <c:v>100</c:v>
                </c:pt>
                <c:pt idx="3">
                  <c:v>150</c:v>
                </c:pt>
                <c:pt idx="4">
                  <c:v>250</c:v>
                </c:pt>
                <c:pt idx="5">
                  <c:v>500</c:v>
                </c:pt>
                <c:pt idx="6">
                  <c:v>750</c:v>
                </c:pt>
                <c:pt idx="7">
                  <c:v>1000</c:v>
                </c:pt>
                <c:pt idx="8">
                  <c:v>1500</c:v>
                </c:pt>
                <c:pt idx="9">
                  <c:v>2000</c:v>
                </c:pt>
                <c:pt idx="10">
                  <c:v>3000</c:v>
                </c:pt>
                <c:pt idx="11">
                  <c:v>5000</c:v>
                </c:pt>
                <c:pt idx="12">
                  <c:v>10000</c:v>
                </c:pt>
                <c:pt idx="13">
                  <c:v>15000</c:v>
                </c:pt>
                <c:pt idx="14">
                  <c:v>20000</c:v>
                </c:pt>
              </c:numCache>
            </c:numRef>
          </c:xVal>
          <c:yVal>
            <c:numRef>
              <c:f>'Cost Structure Data'!$E$27:$S$27</c:f>
              <c:numCache>
                <c:formatCode>\$#,##0</c:formatCode>
                <c:ptCount val="15"/>
                <c:pt idx="0">
                  <c:v>49</c:v>
                </c:pt>
                <c:pt idx="1">
                  <c:v>49</c:v>
                </c:pt>
                <c:pt idx="2">
                  <c:v>66</c:v>
                </c:pt>
                <c:pt idx="3">
                  <c:v>71</c:v>
                </c:pt>
                <c:pt idx="4">
                  <c:v>88</c:v>
                </c:pt>
                <c:pt idx="5">
                  <c:v>98</c:v>
                </c:pt>
                <c:pt idx="6">
                  <c:v>120</c:v>
                </c:pt>
                <c:pt idx="7">
                  <c:v>142</c:v>
                </c:pt>
                <c:pt idx="8">
                  <c:v>159</c:v>
                </c:pt>
                <c:pt idx="9">
                  <c:v>159</c:v>
                </c:pt>
                <c:pt idx="10">
                  <c:v>159</c:v>
                </c:pt>
                <c:pt idx="11">
                  <c:v>220</c:v>
                </c:pt>
                <c:pt idx="12">
                  <c:v>346.66666666666663</c:v>
                </c:pt>
                <c:pt idx="13">
                  <c:v>550</c:v>
                </c:pt>
                <c:pt idx="14">
                  <c:v>1100</c:v>
                </c:pt>
              </c:numCache>
            </c:numRef>
          </c:yVal>
          <c:smooth val="0"/>
          <c:extLst>
            <c:ext xmlns:c16="http://schemas.microsoft.com/office/drawing/2014/chart" uri="{C3380CC4-5D6E-409C-BE32-E72D297353CC}">
              <c16:uniqueId val="{00000001-A82E-A740-8DC3-50F9F5B7BE49}"/>
            </c:ext>
          </c:extLst>
        </c:ser>
        <c:dLbls>
          <c:showLegendKey val="0"/>
          <c:showVal val="0"/>
          <c:showCatName val="0"/>
          <c:showSerName val="0"/>
          <c:showPercent val="0"/>
          <c:showBubbleSize val="0"/>
        </c:dLbls>
        <c:axId val="2065847328"/>
        <c:axId val="2005616912"/>
      </c:scatterChart>
      <c:valAx>
        <c:axId val="2065847328"/>
        <c:scaling>
          <c:orientation val="minMax"/>
        </c:scaling>
        <c:delete val="0"/>
        <c:axPos val="b"/>
        <c:title>
          <c:tx>
            <c:rich>
              <a:bodyPr/>
              <a:lstStyle/>
              <a:p>
                <a:pPr>
                  <a:defRPr sz="1600" b="1" i="0" u="none" strike="noStrike" baseline="0">
                    <a:solidFill>
                      <a:srgbClr val="000000"/>
                    </a:solidFill>
                    <a:latin typeface="Calibri"/>
                    <a:ea typeface="Calibri"/>
                    <a:cs typeface="Calibri"/>
                  </a:defRPr>
                </a:pPr>
                <a:r>
                  <a:rPr lang="en-US"/>
                  <a:t>Loan Amount</a:t>
                </a:r>
              </a:p>
            </c:rich>
          </c:tx>
          <c:overlay val="0"/>
          <c:spPr>
            <a:noFill/>
            <a:ln w="25400">
              <a:noFill/>
            </a:ln>
          </c:spPr>
        </c:title>
        <c:numFmt formatCode="\$#,##0" sourceLinked="1"/>
        <c:majorTickMark val="out"/>
        <c:minorTickMark val="none"/>
        <c:tickLblPos val="nextTo"/>
        <c:spPr>
          <a:ln w="3175">
            <a:solidFill>
              <a:srgbClr val="808080"/>
            </a:solidFill>
            <a:prstDash val="solid"/>
          </a:ln>
        </c:spPr>
        <c:txPr>
          <a:bodyPr rot="0" vert="horz"/>
          <a:lstStyle/>
          <a:p>
            <a:pPr>
              <a:defRPr sz="1200" b="0" i="0" u="none" strike="noStrike" baseline="0">
                <a:solidFill>
                  <a:srgbClr val="000000"/>
                </a:solidFill>
                <a:latin typeface="Calibri"/>
                <a:ea typeface="Calibri"/>
                <a:cs typeface="Calibri"/>
              </a:defRPr>
            </a:pPr>
            <a:endParaRPr lang="en-US"/>
          </a:p>
        </c:txPr>
        <c:crossAx val="2005616912"/>
        <c:crosses val="autoZero"/>
        <c:crossBetween val="midCat"/>
      </c:valAx>
      <c:valAx>
        <c:axId val="2005616912"/>
        <c:scaling>
          <c:orientation val="minMax"/>
        </c:scaling>
        <c:delete val="0"/>
        <c:axPos val="l"/>
        <c:majorGridlines>
          <c:spPr>
            <a:ln w="3175">
              <a:solidFill>
                <a:srgbClr val="808080"/>
              </a:solidFill>
              <a:prstDash val="solid"/>
            </a:ln>
          </c:spPr>
        </c:majorGridlines>
        <c:title>
          <c:tx>
            <c:rich>
              <a:bodyPr/>
              <a:lstStyle/>
              <a:p>
                <a:pPr>
                  <a:defRPr sz="1600" b="1" i="0" u="none" strike="noStrike" baseline="0">
                    <a:solidFill>
                      <a:srgbClr val="000000"/>
                    </a:solidFill>
                    <a:latin typeface="Calibri"/>
                    <a:ea typeface="Calibri"/>
                    <a:cs typeface="Calibri"/>
                  </a:defRPr>
                </a:pPr>
                <a:r>
                  <a:rPr lang="en-US"/>
                  <a:t>Annual Cost</a:t>
                </a:r>
              </a:p>
            </c:rich>
          </c:tx>
          <c:overlay val="0"/>
          <c:spPr>
            <a:noFill/>
            <a:ln w="25400">
              <a:noFill/>
            </a:ln>
          </c:spPr>
        </c:title>
        <c:numFmt formatCode="\$#,##0" sourceLinked="1"/>
        <c:majorTickMark val="out"/>
        <c:minorTickMark val="none"/>
        <c:tickLblPos val="nextTo"/>
        <c:spPr>
          <a:ln w="3175">
            <a:solidFill>
              <a:srgbClr val="808080"/>
            </a:solidFill>
            <a:prstDash val="solid"/>
          </a:ln>
        </c:spPr>
        <c:txPr>
          <a:bodyPr rot="0" vert="horz"/>
          <a:lstStyle/>
          <a:p>
            <a:pPr>
              <a:defRPr sz="1200" b="0" i="0" u="none" strike="noStrike" baseline="0">
                <a:solidFill>
                  <a:srgbClr val="000000"/>
                </a:solidFill>
                <a:latin typeface="Calibri"/>
                <a:ea typeface="Calibri"/>
                <a:cs typeface="Calibri"/>
              </a:defRPr>
            </a:pPr>
            <a:endParaRPr lang="en-US"/>
          </a:p>
        </c:txPr>
        <c:crossAx val="2065847328"/>
        <c:crosses val="autoZero"/>
        <c:crossBetween val="midCat"/>
      </c:valAx>
      <c:spPr>
        <a:solidFill>
          <a:srgbClr val="FFFFFF"/>
        </a:solidFill>
        <a:ln w="25400">
          <a:noFill/>
        </a:ln>
      </c:spPr>
    </c:plotArea>
    <c:legend>
      <c:legendPos val="r"/>
      <c:layout>
        <c:manualLayout>
          <c:xMode val="edge"/>
          <c:yMode val="edge"/>
          <c:x val="0.31724144607890098"/>
          <c:y val="0.93714285714285706"/>
          <c:w val="0.37413800977783401"/>
          <c:h val="5.4285714285714298E-2"/>
        </c:manualLayout>
      </c:layout>
      <c:overlay val="0"/>
      <c:spPr>
        <a:noFill/>
        <a:ln w="25400">
          <a:noFill/>
        </a:ln>
      </c:spPr>
      <c:txPr>
        <a:bodyPr/>
        <a:lstStyle/>
        <a:p>
          <a:pPr>
            <a:defRPr sz="630" b="0" i="0" u="none" strike="noStrike" baseline="0">
              <a:solidFill>
                <a:srgbClr val="000000"/>
              </a:solidFill>
              <a:latin typeface="Calibri"/>
              <a:ea typeface="Calibri"/>
              <a:cs typeface="Calibri"/>
            </a:defRPr>
          </a:pPr>
          <a:endParaRPr lang="en-US"/>
        </a:p>
      </c:txPr>
    </c:legend>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Calibri"/>
                <a:ea typeface="Calibri"/>
                <a:cs typeface="Calibri"/>
              </a:defRPr>
            </a:pPr>
            <a:r>
              <a:rPr lang="en-US" sz="1800" b="1" i="0" u="none" strike="noStrike" baseline="0">
                <a:solidFill>
                  <a:srgbClr val="000000"/>
                </a:solidFill>
                <a:latin typeface="Calibri"/>
                <a:ea typeface="Calibri"/>
                <a:cs typeface="Calibri"/>
              </a:rPr>
              <a:t>Cost Structure by Loan Amount</a:t>
            </a:r>
          </a:p>
          <a:p>
            <a:pPr>
              <a:defRPr sz="1000" b="0" i="0" u="none" strike="noStrike" baseline="0">
                <a:solidFill>
                  <a:srgbClr val="000000"/>
                </a:solidFill>
                <a:latin typeface="Calibri"/>
                <a:ea typeface="Calibri"/>
                <a:cs typeface="Calibri"/>
              </a:defRPr>
            </a:pPr>
            <a:r>
              <a:rPr lang="en-US" sz="1200" b="1" i="0" u="none" strike="noStrike" baseline="0">
                <a:solidFill>
                  <a:srgbClr val="000000"/>
                </a:solidFill>
                <a:latin typeface="Calibri"/>
                <a:ea typeface="Calibri"/>
                <a:cs typeface="Calibri"/>
              </a:rPr>
              <a:t>(Broad range)</a:t>
            </a:r>
          </a:p>
        </c:rich>
      </c:tx>
      <c:overlay val="1"/>
      <c:spPr>
        <a:noFill/>
        <a:ln w="25400">
          <a:noFill/>
        </a:ln>
      </c:spPr>
    </c:title>
    <c:autoTitleDeleted val="0"/>
    <c:plotArea>
      <c:layout>
        <c:manualLayout>
          <c:layoutTarget val="inner"/>
          <c:xMode val="edge"/>
          <c:yMode val="edge"/>
          <c:x val="0.119252873563218"/>
          <c:y val="0.121031746031746"/>
          <c:w val="0.806034482758621"/>
          <c:h val="0.67658730158730196"/>
        </c:manualLayout>
      </c:layout>
      <c:scatterChart>
        <c:scatterStyle val="lineMarker"/>
        <c:varyColors val="0"/>
        <c:ser>
          <c:idx val="2"/>
          <c:order val="0"/>
          <c:tx>
            <c:v>Total Costs</c:v>
          </c:tx>
          <c:spPr>
            <a:ln w="38100">
              <a:solidFill>
                <a:srgbClr val="00CCFF"/>
              </a:solidFill>
              <a:prstDash val="solid"/>
            </a:ln>
          </c:spPr>
          <c:marker>
            <c:symbol val="triangle"/>
            <c:size val="5"/>
            <c:spPr>
              <a:solidFill>
                <a:srgbClr val="0070C0"/>
              </a:solidFill>
              <a:ln>
                <a:solidFill>
                  <a:srgbClr val="00CCFF"/>
                </a:solidFill>
                <a:prstDash val="solid"/>
              </a:ln>
            </c:spPr>
          </c:marker>
          <c:xVal>
            <c:numRef>
              <c:f>'Cost Structure Data'!$E$36:$S$36</c:f>
              <c:numCache>
                <c:formatCode>\$#,##0</c:formatCode>
                <c:ptCount val="15"/>
                <c:pt idx="0">
                  <c:v>50</c:v>
                </c:pt>
                <c:pt idx="1">
                  <c:v>75</c:v>
                </c:pt>
                <c:pt idx="2">
                  <c:v>100</c:v>
                </c:pt>
                <c:pt idx="3">
                  <c:v>150</c:v>
                </c:pt>
                <c:pt idx="4">
                  <c:v>250</c:v>
                </c:pt>
                <c:pt idx="5">
                  <c:v>500</c:v>
                </c:pt>
                <c:pt idx="6">
                  <c:v>750</c:v>
                </c:pt>
                <c:pt idx="7">
                  <c:v>1000</c:v>
                </c:pt>
                <c:pt idx="8">
                  <c:v>1500</c:v>
                </c:pt>
                <c:pt idx="9">
                  <c:v>2000</c:v>
                </c:pt>
                <c:pt idx="10">
                  <c:v>3000</c:v>
                </c:pt>
                <c:pt idx="11">
                  <c:v>5000</c:v>
                </c:pt>
                <c:pt idx="12">
                  <c:v>10000</c:v>
                </c:pt>
                <c:pt idx="13">
                  <c:v>15000</c:v>
                </c:pt>
                <c:pt idx="14">
                  <c:v>20000</c:v>
                </c:pt>
              </c:numCache>
            </c:numRef>
          </c:xVal>
          <c:yVal>
            <c:numRef>
              <c:f>'Cost Structure Data'!$E$35:$S$35</c:f>
              <c:numCache>
                <c:formatCode>0%</c:formatCode>
                <c:ptCount val="15"/>
                <c:pt idx="0">
                  <c:v>2.06</c:v>
                </c:pt>
                <c:pt idx="1">
                  <c:v>1.4066666666666667</c:v>
                </c:pt>
                <c:pt idx="2">
                  <c:v>1.42</c:v>
                </c:pt>
                <c:pt idx="3">
                  <c:v>1.0466666666666666</c:v>
                </c:pt>
                <c:pt idx="4">
                  <c:v>0.80400000000000005</c:v>
                </c:pt>
                <c:pt idx="5">
                  <c:v>0.49199999999999999</c:v>
                </c:pt>
                <c:pt idx="6">
                  <c:v>0.42</c:v>
                </c:pt>
                <c:pt idx="7">
                  <c:v>0.38400000000000001</c:v>
                </c:pt>
                <c:pt idx="8">
                  <c:v>0.312</c:v>
                </c:pt>
                <c:pt idx="9">
                  <c:v>0.25900000000000001</c:v>
                </c:pt>
                <c:pt idx="10">
                  <c:v>0.186</c:v>
                </c:pt>
                <c:pt idx="11">
                  <c:v>0.16800000000000001</c:v>
                </c:pt>
                <c:pt idx="12">
                  <c:v>0.14933333333333332</c:v>
                </c:pt>
                <c:pt idx="13">
                  <c:v>0.15333333333333332</c:v>
                </c:pt>
                <c:pt idx="14">
                  <c:v>0.19</c:v>
                </c:pt>
              </c:numCache>
            </c:numRef>
          </c:yVal>
          <c:smooth val="0"/>
          <c:extLst>
            <c:ext xmlns:c16="http://schemas.microsoft.com/office/drawing/2014/chart" uri="{C3380CC4-5D6E-409C-BE32-E72D297353CC}">
              <c16:uniqueId val="{00000000-D648-D140-82F6-06E5C191E41D}"/>
            </c:ext>
          </c:extLst>
        </c:ser>
        <c:dLbls>
          <c:showLegendKey val="0"/>
          <c:showVal val="0"/>
          <c:showCatName val="0"/>
          <c:showSerName val="0"/>
          <c:showPercent val="0"/>
          <c:showBubbleSize val="0"/>
        </c:dLbls>
        <c:axId val="2040873968"/>
        <c:axId val="2041514208"/>
      </c:scatterChart>
      <c:valAx>
        <c:axId val="2040873968"/>
        <c:scaling>
          <c:orientation val="minMax"/>
        </c:scaling>
        <c:delete val="0"/>
        <c:axPos val="b"/>
        <c:title>
          <c:tx>
            <c:rich>
              <a:bodyPr/>
              <a:lstStyle/>
              <a:p>
                <a:pPr>
                  <a:defRPr sz="1600" b="1" i="0" u="none" strike="noStrike" baseline="0">
                    <a:solidFill>
                      <a:srgbClr val="000000"/>
                    </a:solidFill>
                    <a:latin typeface="Calibri"/>
                    <a:ea typeface="Calibri"/>
                    <a:cs typeface="Calibri"/>
                  </a:defRPr>
                </a:pPr>
                <a:r>
                  <a:rPr lang="en-US"/>
                  <a:t>Loan Amount</a:t>
                </a:r>
              </a:p>
            </c:rich>
          </c:tx>
          <c:overlay val="0"/>
          <c:spPr>
            <a:noFill/>
            <a:ln w="25400">
              <a:noFill/>
            </a:ln>
          </c:spPr>
        </c:title>
        <c:numFmt formatCode="\$#,##0" sourceLinked="1"/>
        <c:majorTickMark val="out"/>
        <c:minorTickMark val="none"/>
        <c:tickLblPos val="nextTo"/>
        <c:spPr>
          <a:ln w="3175">
            <a:solidFill>
              <a:srgbClr val="808080"/>
            </a:solidFill>
            <a:prstDash val="solid"/>
          </a:ln>
        </c:spPr>
        <c:txPr>
          <a:bodyPr rot="0" vert="horz"/>
          <a:lstStyle/>
          <a:p>
            <a:pPr>
              <a:defRPr sz="1400" b="0" i="0" u="none" strike="noStrike" baseline="0">
                <a:solidFill>
                  <a:srgbClr val="000000"/>
                </a:solidFill>
                <a:latin typeface="Calibri"/>
                <a:ea typeface="Calibri"/>
                <a:cs typeface="Calibri"/>
              </a:defRPr>
            </a:pPr>
            <a:endParaRPr lang="en-US"/>
          </a:p>
        </c:txPr>
        <c:crossAx val="2041514208"/>
        <c:crosses val="autoZero"/>
        <c:crossBetween val="midCat"/>
      </c:valAx>
      <c:valAx>
        <c:axId val="2041514208"/>
        <c:scaling>
          <c:orientation val="minMax"/>
        </c:scaling>
        <c:delete val="0"/>
        <c:axPos val="l"/>
        <c:majorGridlines>
          <c:spPr>
            <a:ln w="3175">
              <a:solidFill>
                <a:srgbClr val="808080"/>
              </a:solidFill>
              <a:prstDash val="solid"/>
            </a:ln>
          </c:spPr>
        </c:majorGridlines>
        <c:title>
          <c:tx>
            <c:rich>
              <a:bodyPr/>
              <a:lstStyle/>
              <a:p>
                <a:pPr>
                  <a:defRPr sz="1800" b="1" i="0" u="none" strike="noStrike" baseline="0">
                    <a:solidFill>
                      <a:srgbClr val="000000"/>
                    </a:solidFill>
                    <a:latin typeface="Calibri"/>
                    <a:ea typeface="Calibri"/>
                    <a:cs typeface="Calibri"/>
                  </a:defRPr>
                </a:pPr>
                <a:r>
                  <a:rPr lang="en-US"/>
                  <a:t>Annual total Cost Percentage</a:t>
                </a:r>
              </a:p>
            </c:rich>
          </c:tx>
          <c:overlay val="0"/>
          <c:spPr>
            <a:noFill/>
            <a:ln w="25400">
              <a:noFill/>
            </a:ln>
          </c:spPr>
        </c:title>
        <c:numFmt formatCode="0%" sourceLinked="1"/>
        <c:majorTickMark val="out"/>
        <c:minorTickMark val="none"/>
        <c:tickLblPos val="nextTo"/>
        <c:spPr>
          <a:ln w="3175">
            <a:solidFill>
              <a:srgbClr val="808080"/>
            </a:solidFill>
            <a:prstDash val="solid"/>
          </a:ln>
        </c:spPr>
        <c:txPr>
          <a:bodyPr rot="0" vert="horz"/>
          <a:lstStyle/>
          <a:p>
            <a:pPr>
              <a:defRPr sz="1200" b="0" i="0" u="none" strike="noStrike" baseline="0">
                <a:solidFill>
                  <a:srgbClr val="000000"/>
                </a:solidFill>
                <a:latin typeface="Calibri"/>
                <a:ea typeface="Calibri"/>
                <a:cs typeface="Calibri"/>
              </a:defRPr>
            </a:pPr>
            <a:endParaRPr lang="en-US"/>
          </a:p>
        </c:txPr>
        <c:crossAx val="2040873968"/>
        <c:crosses val="autoZero"/>
        <c:crossBetween val="midCat"/>
      </c:valAx>
      <c:spPr>
        <a:solidFill>
          <a:srgbClr val="FFFFFF"/>
        </a:solidFill>
        <a:ln w="25400">
          <a:noFill/>
        </a:ln>
      </c:spPr>
    </c:plotArea>
    <c:plotVisOnly val="1"/>
    <c:dispBlanksAs val="gap"/>
    <c:showDLblsOverMax val="0"/>
  </c:chart>
  <c:spPr>
    <a:solidFill>
      <a:srgbClr val="FFFFFF"/>
    </a:solidFill>
    <a:ln w="3175">
      <a:solidFill>
        <a:srgbClr val="808080"/>
      </a:solidFill>
      <a:prstDash val="solid"/>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i="0" u="none" strike="noStrike" baseline="0">
                <a:solidFill>
                  <a:srgbClr val="000000"/>
                </a:solidFill>
                <a:latin typeface="Arial"/>
                <a:ea typeface="Arial"/>
                <a:cs typeface="Arial"/>
              </a:defRPr>
            </a:pPr>
            <a:r>
              <a:rPr lang="en-US"/>
              <a:t>Total Expenses and Total Income</a:t>
            </a:r>
          </a:p>
          <a:p>
            <a:pPr>
              <a:defRPr sz="1200" b="0" i="0" u="none" strike="noStrike" baseline="0">
                <a:solidFill>
                  <a:srgbClr val="000000"/>
                </a:solidFill>
                <a:latin typeface="Arial"/>
                <a:ea typeface="Arial"/>
                <a:cs typeface="Arial"/>
              </a:defRPr>
            </a:pPr>
            <a:r>
              <a:rPr lang="en-US"/>
              <a:t>Related to Loan Size (Smaller-sized Loans)</a:t>
            </a:r>
          </a:p>
        </c:rich>
      </c:tx>
      <c:overlay val="1"/>
      <c:spPr>
        <a:noFill/>
        <a:ln w="25400">
          <a:noFill/>
        </a:ln>
      </c:spPr>
    </c:title>
    <c:autoTitleDeleted val="0"/>
    <c:plotArea>
      <c:layout>
        <c:manualLayout>
          <c:layoutTarget val="inner"/>
          <c:xMode val="edge"/>
          <c:yMode val="edge"/>
          <c:x val="0.12394944053046"/>
          <c:y val="0.156956990805597"/>
          <c:w val="0.79238055769344595"/>
          <c:h val="0.60753973238007797"/>
        </c:manualLayout>
      </c:layout>
      <c:scatterChart>
        <c:scatterStyle val="smoothMarker"/>
        <c:varyColors val="0"/>
        <c:ser>
          <c:idx val="0"/>
          <c:order val="0"/>
          <c:tx>
            <c:v>Total Expenses</c:v>
          </c:tx>
          <c:spPr>
            <a:ln w="12700">
              <a:solidFill>
                <a:srgbClr val="000090"/>
              </a:solidFill>
              <a:prstDash val="solid"/>
            </a:ln>
          </c:spPr>
          <c:marker>
            <c:symbol val="diamond"/>
            <c:size val="5"/>
            <c:spPr>
              <a:solidFill>
                <a:srgbClr val="000080"/>
              </a:solidFill>
              <a:ln>
                <a:solidFill>
                  <a:srgbClr val="000080"/>
                </a:solidFill>
                <a:prstDash val="solid"/>
              </a:ln>
            </c:spPr>
          </c:marker>
          <c:xVal>
            <c:numRef>
              <c:f>'Cost Structure Data'!$E$7:$N$7</c:f>
              <c:numCache>
                <c:formatCode>\$#,##0</c:formatCode>
                <c:ptCount val="10"/>
                <c:pt idx="0">
                  <c:v>50</c:v>
                </c:pt>
                <c:pt idx="1">
                  <c:v>75</c:v>
                </c:pt>
                <c:pt idx="2">
                  <c:v>100</c:v>
                </c:pt>
                <c:pt idx="3">
                  <c:v>150</c:v>
                </c:pt>
                <c:pt idx="4">
                  <c:v>250</c:v>
                </c:pt>
                <c:pt idx="5">
                  <c:v>500</c:v>
                </c:pt>
                <c:pt idx="6">
                  <c:v>750</c:v>
                </c:pt>
                <c:pt idx="7">
                  <c:v>1000</c:v>
                </c:pt>
                <c:pt idx="8">
                  <c:v>1500</c:v>
                </c:pt>
                <c:pt idx="9">
                  <c:v>2000</c:v>
                </c:pt>
              </c:numCache>
            </c:numRef>
          </c:xVal>
          <c:yVal>
            <c:numRef>
              <c:f>'Cost Structure Data'!$E$42:$N$42</c:f>
              <c:numCache>
                <c:formatCode>\$#,##0</c:formatCode>
                <c:ptCount val="10"/>
                <c:pt idx="0">
                  <c:v>51.5</c:v>
                </c:pt>
                <c:pt idx="1">
                  <c:v>52.75</c:v>
                </c:pt>
                <c:pt idx="2">
                  <c:v>71</c:v>
                </c:pt>
                <c:pt idx="3">
                  <c:v>78.5</c:v>
                </c:pt>
                <c:pt idx="4">
                  <c:v>100.5</c:v>
                </c:pt>
                <c:pt idx="5">
                  <c:v>123</c:v>
                </c:pt>
                <c:pt idx="6">
                  <c:v>157.5</c:v>
                </c:pt>
                <c:pt idx="7">
                  <c:v>192</c:v>
                </c:pt>
                <c:pt idx="8">
                  <c:v>234</c:v>
                </c:pt>
                <c:pt idx="9">
                  <c:v>259</c:v>
                </c:pt>
              </c:numCache>
            </c:numRef>
          </c:yVal>
          <c:smooth val="1"/>
          <c:extLst>
            <c:ext xmlns:c16="http://schemas.microsoft.com/office/drawing/2014/chart" uri="{C3380CC4-5D6E-409C-BE32-E72D297353CC}">
              <c16:uniqueId val="{00000000-2648-F744-80BB-AA04C95E16D4}"/>
            </c:ext>
          </c:extLst>
        </c:ser>
        <c:ser>
          <c:idx val="1"/>
          <c:order val="1"/>
          <c:tx>
            <c:v>Total Income</c:v>
          </c:tx>
          <c:spPr>
            <a:ln w="12700">
              <a:solidFill>
                <a:srgbClr val="F20884"/>
              </a:solidFill>
              <a:prstDash val="solid"/>
            </a:ln>
          </c:spPr>
          <c:marker>
            <c:symbol val="square"/>
            <c:size val="5"/>
            <c:spPr>
              <a:solidFill>
                <a:srgbClr val="FF00FF"/>
              </a:solidFill>
              <a:ln>
                <a:solidFill>
                  <a:srgbClr val="FF00FF"/>
                </a:solidFill>
                <a:prstDash val="solid"/>
              </a:ln>
            </c:spPr>
          </c:marker>
          <c:xVal>
            <c:numRef>
              <c:f>'Cost Structure Data'!$E$7:$N$7</c:f>
              <c:numCache>
                <c:formatCode>\$#,##0</c:formatCode>
                <c:ptCount val="10"/>
                <c:pt idx="0">
                  <c:v>50</c:v>
                </c:pt>
                <c:pt idx="1">
                  <c:v>75</c:v>
                </c:pt>
                <c:pt idx="2">
                  <c:v>100</c:v>
                </c:pt>
                <c:pt idx="3">
                  <c:v>150</c:v>
                </c:pt>
                <c:pt idx="4">
                  <c:v>250</c:v>
                </c:pt>
                <c:pt idx="5">
                  <c:v>500</c:v>
                </c:pt>
                <c:pt idx="6">
                  <c:v>750</c:v>
                </c:pt>
                <c:pt idx="7">
                  <c:v>1000</c:v>
                </c:pt>
                <c:pt idx="8">
                  <c:v>1500</c:v>
                </c:pt>
                <c:pt idx="9">
                  <c:v>2000</c:v>
                </c:pt>
              </c:numCache>
            </c:numRef>
          </c:xVal>
          <c:yVal>
            <c:numRef>
              <c:f>'MFI Breakeven Point'!$C$7:$L$7</c:f>
              <c:numCache>
                <c:formatCode>"$"#,##0</c:formatCode>
                <c:ptCount val="10"/>
                <c:pt idx="0">
                  <c:v>3.75</c:v>
                </c:pt>
                <c:pt idx="1">
                  <c:v>5.625</c:v>
                </c:pt>
                <c:pt idx="2">
                  <c:v>7.5</c:v>
                </c:pt>
                <c:pt idx="3">
                  <c:v>11.25</c:v>
                </c:pt>
                <c:pt idx="4">
                  <c:v>18.75</c:v>
                </c:pt>
                <c:pt idx="5">
                  <c:v>37.5</c:v>
                </c:pt>
                <c:pt idx="6">
                  <c:v>56.25</c:v>
                </c:pt>
                <c:pt idx="7">
                  <c:v>75</c:v>
                </c:pt>
                <c:pt idx="8">
                  <c:v>112.5</c:v>
                </c:pt>
                <c:pt idx="9">
                  <c:v>150</c:v>
                </c:pt>
              </c:numCache>
            </c:numRef>
          </c:yVal>
          <c:smooth val="1"/>
          <c:extLst>
            <c:ext xmlns:c16="http://schemas.microsoft.com/office/drawing/2014/chart" uri="{C3380CC4-5D6E-409C-BE32-E72D297353CC}">
              <c16:uniqueId val="{00000001-2648-F744-80BB-AA04C95E16D4}"/>
            </c:ext>
          </c:extLst>
        </c:ser>
        <c:dLbls>
          <c:showLegendKey val="0"/>
          <c:showVal val="0"/>
          <c:showCatName val="0"/>
          <c:showSerName val="0"/>
          <c:showPercent val="0"/>
          <c:showBubbleSize val="0"/>
        </c:dLbls>
        <c:axId val="2065802160"/>
        <c:axId val="2065769312"/>
      </c:scatterChart>
      <c:valAx>
        <c:axId val="2065802160"/>
        <c:scaling>
          <c:orientation val="minMax"/>
        </c:scaling>
        <c:delete val="0"/>
        <c:axPos val="b"/>
        <c:title>
          <c:tx>
            <c:rich>
              <a:bodyPr/>
              <a:lstStyle/>
              <a:p>
                <a:pPr>
                  <a:defRPr sz="1000" b="0" i="0" u="none" strike="noStrike" baseline="0">
                    <a:solidFill>
                      <a:srgbClr val="000000"/>
                    </a:solidFill>
                    <a:latin typeface="Arial"/>
                    <a:ea typeface="Arial"/>
                    <a:cs typeface="Arial"/>
                  </a:defRPr>
                </a:pPr>
                <a:r>
                  <a:rPr lang="en-US"/>
                  <a:t>Loan Amount</a:t>
                </a:r>
              </a:p>
            </c:rich>
          </c:tx>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5769312"/>
        <c:crosses val="autoZero"/>
        <c:crossBetween val="midCat"/>
      </c:valAx>
      <c:valAx>
        <c:axId val="2065769312"/>
        <c:scaling>
          <c:orientation val="minMax"/>
        </c:scaling>
        <c:delete val="0"/>
        <c:axPos val="l"/>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Income</a:t>
                </a:r>
              </a:p>
            </c:rich>
          </c:tx>
          <c:overlay val="0"/>
          <c:spPr>
            <a:noFill/>
            <a:ln w="25400">
              <a:noFill/>
            </a:ln>
          </c:spPr>
        </c:title>
        <c:numFmt formatCode="\$#,##0" sourceLinked="1"/>
        <c:majorTickMark val="out"/>
        <c:minorTickMark val="none"/>
        <c:tickLblPos val="nextTo"/>
        <c:spPr>
          <a:ln w="3175">
            <a:solidFill>
              <a:srgbClr val="666699"/>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5802160"/>
        <c:crosses val="autoZero"/>
        <c:crossBetween val="midCat"/>
      </c:valAx>
      <c:spPr>
        <a:solidFill>
          <a:srgbClr val="C0C0C0"/>
        </a:solidFill>
        <a:ln w="12700">
          <a:solidFill>
            <a:srgbClr val="808080"/>
          </a:solidFill>
          <a:prstDash val="solid"/>
        </a:ln>
      </c:spPr>
    </c:plotArea>
    <c:legend>
      <c:legendPos val="r"/>
      <c:layout>
        <c:manualLayout>
          <c:xMode val="edge"/>
          <c:yMode val="edge"/>
          <c:x val="0.28131890774079299"/>
          <c:y val="0.90262007216308204"/>
          <c:w val="0.432967381444815"/>
          <c:h val="6.7415607049524803E-2"/>
        </c:manualLayout>
      </c:layout>
      <c:overlay val="0"/>
      <c:spPr>
        <a:solidFill>
          <a:srgbClr val="FFFFFF"/>
        </a:solidFill>
        <a:ln w="3175">
          <a:solidFill>
            <a:srgbClr val="000000"/>
          </a:solidFill>
          <a:prstDash val="solid"/>
        </a:ln>
      </c:spPr>
      <c:txPr>
        <a:bodyPr/>
        <a:lstStyle/>
        <a:p>
          <a:pPr>
            <a:defRPr sz="63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EEECE1"/>
    </a:solidFill>
    <a:ln w="3175">
      <a:solidFill>
        <a:srgbClr val="666699"/>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c:pageMargins b="0.750000000000001" l="0.70000000000000095" r="0.70000000000000095" t="0.750000000000001"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sz="1200" b="0" i="0" u="none" strike="noStrike" baseline="0">
                <a:solidFill>
                  <a:srgbClr val="000000"/>
                </a:solidFill>
                <a:latin typeface="Arial"/>
                <a:ea typeface="Arial"/>
                <a:cs typeface="Arial"/>
              </a:rPr>
              <a:t>Total Expenses and Total Income</a:t>
            </a:r>
          </a:p>
          <a:p>
            <a:pPr>
              <a:defRPr sz="1000" b="0" i="0" u="none" strike="noStrike" baseline="0">
                <a:solidFill>
                  <a:srgbClr val="000000"/>
                </a:solidFill>
                <a:latin typeface="Arial"/>
                <a:ea typeface="Arial"/>
                <a:cs typeface="Arial"/>
              </a:defRPr>
            </a:pPr>
            <a:r>
              <a:rPr lang="en-US" sz="1200" b="0" i="0" u="none" strike="noStrike" baseline="0">
                <a:solidFill>
                  <a:srgbClr val="000000"/>
                </a:solidFill>
                <a:latin typeface="Arial"/>
                <a:ea typeface="Arial"/>
                <a:cs typeface="Arial"/>
              </a:rPr>
              <a:t>Related to Loan Size (Broad Range)</a:t>
            </a:r>
          </a:p>
        </c:rich>
      </c:tx>
      <c:overlay val="1"/>
      <c:spPr>
        <a:noFill/>
        <a:ln w="25400">
          <a:noFill/>
        </a:ln>
      </c:spPr>
    </c:title>
    <c:autoTitleDeleted val="0"/>
    <c:plotArea>
      <c:layout>
        <c:manualLayout>
          <c:layoutTarget val="inner"/>
          <c:xMode val="edge"/>
          <c:yMode val="edge"/>
          <c:x val="0.13987902827936"/>
          <c:y val="0.18654434250764501"/>
          <c:w val="0.79345430505397296"/>
          <c:h val="0.59094679571303599"/>
        </c:manualLayout>
      </c:layout>
      <c:scatterChart>
        <c:scatterStyle val="smoothMarker"/>
        <c:varyColors val="0"/>
        <c:ser>
          <c:idx val="0"/>
          <c:order val="0"/>
          <c:tx>
            <c:v>Total Expenses</c:v>
          </c:tx>
          <c:spPr>
            <a:ln w="12700">
              <a:solidFill>
                <a:srgbClr val="000090"/>
              </a:solidFill>
              <a:prstDash val="solid"/>
            </a:ln>
          </c:spPr>
          <c:marker>
            <c:symbol val="diamond"/>
            <c:size val="5"/>
            <c:spPr>
              <a:solidFill>
                <a:srgbClr val="000080"/>
              </a:solidFill>
              <a:ln>
                <a:solidFill>
                  <a:srgbClr val="000080"/>
                </a:solidFill>
                <a:prstDash val="solid"/>
              </a:ln>
            </c:spPr>
          </c:marker>
          <c:xVal>
            <c:numRef>
              <c:f>'Cost Structure Data'!$E$7:$S$7</c:f>
              <c:numCache>
                <c:formatCode>\$#,##0</c:formatCode>
                <c:ptCount val="15"/>
                <c:pt idx="0">
                  <c:v>50</c:v>
                </c:pt>
                <c:pt idx="1">
                  <c:v>75</c:v>
                </c:pt>
                <c:pt idx="2">
                  <c:v>100</c:v>
                </c:pt>
                <c:pt idx="3">
                  <c:v>150</c:v>
                </c:pt>
                <c:pt idx="4">
                  <c:v>250</c:v>
                </c:pt>
                <c:pt idx="5">
                  <c:v>500</c:v>
                </c:pt>
                <c:pt idx="6">
                  <c:v>750</c:v>
                </c:pt>
                <c:pt idx="7">
                  <c:v>1000</c:v>
                </c:pt>
                <c:pt idx="8">
                  <c:v>1500</c:v>
                </c:pt>
                <c:pt idx="9">
                  <c:v>2000</c:v>
                </c:pt>
                <c:pt idx="10">
                  <c:v>3000</c:v>
                </c:pt>
                <c:pt idx="11">
                  <c:v>5000</c:v>
                </c:pt>
                <c:pt idx="12">
                  <c:v>10000</c:v>
                </c:pt>
                <c:pt idx="13">
                  <c:v>15000</c:v>
                </c:pt>
                <c:pt idx="14">
                  <c:v>20000</c:v>
                </c:pt>
              </c:numCache>
            </c:numRef>
          </c:xVal>
          <c:yVal>
            <c:numRef>
              <c:f>'Cost Structure Data'!$E$42:$S$42</c:f>
              <c:numCache>
                <c:formatCode>\$#,##0</c:formatCode>
                <c:ptCount val="15"/>
                <c:pt idx="0">
                  <c:v>51.5</c:v>
                </c:pt>
                <c:pt idx="1">
                  <c:v>52.75</c:v>
                </c:pt>
                <c:pt idx="2">
                  <c:v>71</c:v>
                </c:pt>
                <c:pt idx="3">
                  <c:v>78.5</c:v>
                </c:pt>
                <c:pt idx="4">
                  <c:v>100.5</c:v>
                </c:pt>
                <c:pt idx="5">
                  <c:v>123</c:v>
                </c:pt>
                <c:pt idx="6">
                  <c:v>157.5</c:v>
                </c:pt>
                <c:pt idx="7">
                  <c:v>192</c:v>
                </c:pt>
                <c:pt idx="8">
                  <c:v>234</c:v>
                </c:pt>
                <c:pt idx="9">
                  <c:v>259</c:v>
                </c:pt>
                <c:pt idx="10">
                  <c:v>279</c:v>
                </c:pt>
                <c:pt idx="11">
                  <c:v>420</c:v>
                </c:pt>
                <c:pt idx="12">
                  <c:v>746.66666666666663</c:v>
                </c:pt>
                <c:pt idx="13">
                  <c:v>1150</c:v>
                </c:pt>
                <c:pt idx="14">
                  <c:v>1900</c:v>
                </c:pt>
              </c:numCache>
            </c:numRef>
          </c:yVal>
          <c:smooth val="1"/>
          <c:extLst>
            <c:ext xmlns:c16="http://schemas.microsoft.com/office/drawing/2014/chart" uri="{C3380CC4-5D6E-409C-BE32-E72D297353CC}">
              <c16:uniqueId val="{00000000-C847-494D-B4CC-D7E1C06C3CA2}"/>
            </c:ext>
          </c:extLst>
        </c:ser>
        <c:ser>
          <c:idx val="1"/>
          <c:order val="1"/>
          <c:tx>
            <c:v>Total Income</c:v>
          </c:tx>
          <c:spPr>
            <a:ln w="12700">
              <a:solidFill>
                <a:srgbClr val="F20884"/>
              </a:solidFill>
              <a:prstDash val="solid"/>
            </a:ln>
          </c:spPr>
          <c:marker>
            <c:symbol val="square"/>
            <c:size val="5"/>
            <c:spPr>
              <a:solidFill>
                <a:srgbClr val="FF00FF"/>
              </a:solidFill>
              <a:ln>
                <a:solidFill>
                  <a:srgbClr val="FF00FF"/>
                </a:solidFill>
                <a:prstDash val="solid"/>
              </a:ln>
            </c:spPr>
          </c:marker>
          <c:xVal>
            <c:numRef>
              <c:f>'Cost Structure Data'!$E$7:$S$7</c:f>
              <c:numCache>
                <c:formatCode>\$#,##0</c:formatCode>
                <c:ptCount val="15"/>
                <c:pt idx="0">
                  <c:v>50</c:v>
                </c:pt>
                <c:pt idx="1">
                  <c:v>75</c:v>
                </c:pt>
                <c:pt idx="2">
                  <c:v>100</c:v>
                </c:pt>
                <c:pt idx="3">
                  <c:v>150</c:v>
                </c:pt>
                <c:pt idx="4">
                  <c:v>250</c:v>
                </c:pt>
                <c:pt idx="5">
                  <c:v>500</c:v>
                </c:pt>
                <c:pt idx="6">
                  <c:v>750</c:v>
                </c:pt>
                <c:pt idx="7">
                  <c:v>1000</c:v>
                </c:pt>
                <c:pt idx="8">
                  <c:v>1500</c:v>
                </c:pt>
                <c:pt idx="9">
                  <c:v>2000</c:v>
                </c:pt>
                <c:pt idx="10">
                  <c:v>3000</c:v>
                </c:pt>
                <c:pt idx="11">
                  <c:v>5000</c:v>
                </c:pt>
                <c:pt idx="12">
                  <c:v>10000</c:v>
                </c:pt>
                <c:pt idx="13">
                  <c:v>15000</c:v>
                </c:pt>
                <c:pt idx="14">
                  <c:v>20000</c:v>
                </c:pt>
              </c:numCache>
            </c:numRef>
          </c:xVal>
          <c:yVal>
            <c:numRef>
              <c:f>'MFI Breakeven Point'!$C$7:$Q$7</c:f>
              <c:numCache>
                <c:formatCode>"$"#,##0</c:formatCode>
                <c:ptCount val="15"/>
                <c:pt idx="0">
                  <c:v>3.75</c:v>
                </c:pt>
                <c:pt idx="1">
                  <c:v>5.625</c:v>
                </c:pt>
                <c:pt idx="2">
                  <c:v>7.5</c:v>
                </c:pt>
                <c:pt idx="3">
                  <c:v>11.25</c:v>
                </c:pt>
                <c:pt idx="4">
                  <c:v>18.75</c:v>
                </c:pt>
                <c:pt idx="5">
                  <c:v>37.5</c:v>
                </c:pt>
                <c:pt idx="6">
                  <c:v>56.25</c:v>
                </c:pt>
                <c:pt idx="7">
                  <c:v>75</c:v>
                </c:pt>
                <c:pt idx="8">
                  <c:v>112.5</c:v>
                </c:pt>
                <c:pt idx="9">
                  <c:v>150</c:v>
                </c:pt>
                <c:pt idx="10">
                  <c:v>225</c:v>
                </c:pt>
                <c:pt idx="11">
                  <c:v>375</c:v>
                </c:pt>
                <c:pt idx="12">
                  <c:v>750</c:v>
                </c:pt>
                <c:pt idx="13">
                  <c:v>1125</c:v>
                </c:pt>
                <c:pt idx="14">
                  <c:v>1500</c:v>
                </c:pt>
              </c:numCache>
            </c:numRef>
          </c:yVal>
          <c:smooth val="1"/>
          <c:extLst>
            <c:ext xmlns:c16="http://schemas.microsoft.com/office/drawing/2014/chart" uri="{C3380CC4-5D6E-409C-BE32-E72D297353CC}">
              <c16:uniqueId val="{00000001-C847-494D-B4CC-D7E1C06C3CA2}"/>
            </c:ext>
          </c:extLst>
        </c:ser>
        <c:dLbls>
          <c:showLegendKey val="0"/>
          <c:showVal val="0"/>
          <c:showCatName val="0"/>
          <c:showSerName val="0"/>
          <c:showPercent val="0"/>
          <c:showBubbleSize val="0"/>
        </c:dLbls>
        <c:axId val="2046332000"/>
        <c:axId val="2067658128"/>
      </c:scatterChart>
      <c:valAx>
        <c:axId val="2046332000"/>
        <c:scaling>
          <c:orientation val="minMax"/>
        </c:scaling>
        <c:delete val="0"/>
        <c:axPos val="b"/>
        <c:title>
          <c:tx>
            <c:rich>
              <a:bodyPr/>
              <a:lstStyle/>
              <a:p>
                <a:pPr>
                  <a:defRPr sz="1000" b="0" i="0" u="none" strike="noStrike" baseline="0">
                    <a:solidFill>
                      <a:srgbClr val="000000"/>
                    </a:solidFill>
                    <a:latin typeface="Arial"/>
                    <a:ea typeface="Arial"/>
                    <a:cs typeface="Arial"/>
                  </a:defRPr>
                </a:pPr>
                <a:r>
                  <a:rPr lang="en-US"/>
                  <a:t>Loan Amount</a:t>
                </a:r>
              </a:p>
            </c:rich>
          </c:tx>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67658128"/>
        <c:crosses val="autoZero"/>
        <c:crossBetween val="midCat"/>
      </c:valAx>
      <c:valAx>
        <c:axId val="2067658128"/>
        <c:scaling>
          <c:orientation val="minMax"/>
        </c:scaling>
        <c:delete val="0"/>
        <c:axPos val="l"/>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Income</a:t>
                </a:r>
              </a:p>
            </c:rich>
          </c:tx>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2046332000"/>
        <c:crosses val="autoZero"/>
        <c:crossBetween val="midCat"/>
      </c:valAx>
      <c:spPr>
        <a:solidFill>
          <a:srgbClr val="C0C0C0"/>
        </a:solidFill>
        <a:ln w="12700">
          <a:solidFill>
            <a:srgbClr val="808080"/>
          </a:solidFill>
          <a:prstDash val="solid"/>
        </a:ln>
      </c:spPr>
    </c:plotArea>
    <c:legend>
      <c:legendPos val="r"/>
      <c:layout>
        <c:manualLayout>
          <c:xMode val="edge"/>
          <c:yMode val="edge"/>
          <c:x val="0.27593811548818498"/>
          <c:y val="0.903345724907063"/>
          <c:w val="0.45474601432452999"/>
          <c:h val="6.6914498141263906E-2"/>
        </c:manualLayout>
      </c:layout>
      <c:overlay val="0"/>
      <c:spPr>
        <a:solidFill>
          <a:srgbClr val="FFFFFF"/>
        </a:solidFill>
        <a:ln w="3175">
          <a:solidFill>
            <a:srgbClr val="000000"/>
          </a:solidFill>
          <a:prstDash val="solid"/>
        </a:ln>
      </c:spPr>
      <c:txPr>
        <a:bodyPr/>
        <a:lstStyle/>
        <a:p>
          <a:pPr>
            <a:defRPr sz="63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EEECE1"/>
    </a:solidFill>
    <a:ln w="3175">
      <a:solidFill>
        <a:srgbClr val="666699"/>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c:pageMargins b="0.750000000000001" l="0.70000000000000095" r="0.70000000000000095" t="0.750000000000001" header="0.3" footer="0.3"/>
    <c:pageSetup/>
  </c:printSettings>
</c:chartSpace>
</file>

<file path=xl/ctrlProps/ctrlProp1.xml><?xml version="1.0" encoding="utf-8"?>
<formControlPr xmlns="http://schemas.microsoft.com/office/spreadsheetml/2009/9/main" objectType="Drop" dropLines="45" dropStyle="combo" dx="16" fmlaLink="References!$D$7" fmlaRange="References!$C$28:$C$32" noThreeD="1" sel="1"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Lines="45" dropStyle="combo" dx="16" fmlaLink="References!$E$36" fmlaRange="References!$C$37:$C$49" noThreeD="1" sel="2" val="0"/>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Style="combo" dx="16" fmlaLink="$E$107" fmlaRange="$F$107:$F$109" noThreeD="1" sel="1" val="0"/>
</file>

<file path=xl/ctrlProps/ctrlProp7.xml><?xml version="1.0" encoding="utf-8"?>
<formControlPr xmlns="http://schemas.microsoft.com/office/spreadsheetml/2009/9/main" objectType="Drop" dropStyle="combo" dx="16" fmlaLink="$E$104" fmlaRange="$F$104:$G$105" noThreeD="1" sel="1" val="0"/>
</file>

<file path=xl/ctrlProps/ctrlProp8.xml><?xml version="1.0" encoding="utf-8"?>
<formControlPr xmlns="http://schemas.microsoft.com/office/spreadsheetml/2009/9/main" objectType="Drop" dropLines="41" dropStyle="combo" dx="16" fmlaLink="$E$112" fmlaRange="$G$112:$G$120" noThreeD="1" sel="6" val="0"/>
</file>

<file path=xl/ctrlProps/ctrlProp9.xml><?xml version="1.0" encoding="utf-8"?>
<formControlPr xmlns="http://schemas.microsoft.com/office/spreadsheetml/2009/9/main" objectType="Drop" dropLines="41" dropStyle="combo" dx="16" fmlaLink="$E$130" fmlaRange="$D$130:$D$131" noThreeD="1" sel="2" val="0"/>
</file>

<file path=xl/ctrlProps/ctrlProp10.xml><?xml version="1.0" encoding="utf-8"?>
<formControlPr xmlns="http://schemas.microsoft.com/office/spreadsheetml/2009/9/main" objectType="Drop" dropLines="41" dropStyle="combo" dx="16" fmlaLink="$E$123" fmlaRange="$L$112:$L$120" noThreeD="1" sel="4" val="0"/>
</file>

<file path=xl/ctrlProps/ctrlProp11.xml><?xml version="1.0" encoding="utf-8"?>
<formControlPr xmlns="http://schemas.microsoft.com/office/spreadsheetml/2009/9/main" objectType="CheckBox" checked="Checked" fmlaLink="$AA$1" lockText="1" noThreeD="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fmlaLink="References!$D$8" lockText="1" noThreeD="1"/>
</file>

<file path=xl/ctrlProps/ctrlProp14.xml><?xml version="1.0" encoding="utf-8"?>
<formControlPr xmlns="http://schemas.microsoft.com/office/spreadsheetml/2009/9/main" objectType="CheckBox" checked="Checked" fmlaLink="$AB$8" lockText="1" noThreeD="1"/>
</file>

<file path=xl/ctrlProps/ctrlProp15.xml><?xml version="1.0" encoding="utf-8"?>
<formControlPr xmlns="http://schemas.microsoft.com/office/spreadsheetml/2009/9/main" objectType="Drop" dropStyle="combo" dx="16" fmlaLink="$A$157" fmlaRange="$B$157:$B$158" noThreeD="1" sel="2" val="0"/>
</file>

<file path=xl/ctrlProps/ctrlProp16.xml><?xml version="1.0" encoding="utf-8"?>
<formControlPr xmlns="http://schemas.microsoft.com/office/spreadsheetml/2009/9/main" objectType="Drop" dropStyle="combo" dx="16" fmlaLink="$A$164" fmlaRange="$B$164:$B$166" noThreeD="1" sel="3" val="0"/>
</file>

<file path=xl/ctrlProps/ctrlProp17.xml><?xml version="1.0" encoding="utf-8"?>
<formControlPr xmlns="http://schemas.microsoft.com/office/spreadsheetml/2009/9/main" objectType="Drop" dropStyle="combo" dx="16" fmlaLink="$A$154" fmlaRange="$B$154:$B$155" noThreeD="1" sel="1" val="0"/>
</file>

<file path=xl/ctrlProps/ctrlProp18.xml><?xml version="1.0" encoding="utf-8"?>
<formControlPr xmlns="http://schemas.microsoft.com/office/spreadsheetml/2009/9/main" objectType="Drop" dropStyle="combo" dx="16" fmlaLink="$A$160" fmlaRange="$B$160:$B$161" noThreeD="1" sel="1" val="0"/>
</file>

<file path=xl/ctrlProps/ctrlProp19.xml><?xml version="1.0" encoding="utf-8"?>
<formControlPr xmlns="http://schemas.microsoft.com/office/spreadsheetml/2009/9/main" objectType="Drop" dropStyle="combo" dx="16" fmlaLink="$A$168" fmlaRange="$B$168:$B$170" noThreeD="1" sel="3" val="0"/>
</file>

<file path=xl/ctrlProps/ctrlProp20.xml><?xml version="1.0" encoding="utf-8"?>
<formControlPr xmlns="http://schemas.microsoft.com/office/spreadsheetml/2009/9/main" objectType="Drop" dropStyle="combo" dx="16" fmlaLink="$A$145" fmlaRange="$B$154:$B$155" noThreeD="1" sel="1" val="0"/>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9.xml"/><Relationship Id="rId4" Type="http://schemas.openxmlformats.org/officeDocument/2006/relationships/chart" Target="../charts/chart8.xml"/></Relationships>
</file>

<file path=xl/drawings/_rels/drawing7.xml.rels><?xml version="1.0" encoding="UTF-8" standalone="yes"?>
<Relationships xmlns="http://schemas.openxmlformats.org/package/2006/relationships"><Relationship Id="rId2" Type="http://schemas.openxmlformats.org/officeDocument/2006/relationships/chart" Target="../charts/chart11.xml"/><Relationship Id="rId1"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3</xdr:col>
      <xdr:colOff>4013200</xdr:colOff>
      <xdr:row>2</xdr:row>
      <xdr:rowOff>50800</xdr:rowOff>
    </xdr:from>
    <xdr:to>
      <xdr:col>7</xdr:col>
      <xdr:colOff>207434</xdr:colOff>
      <xdr:row>3</xdr:row>
      <xdr:rowOff>165100</xdr:rowOff>
    </xdr:to>
    <xdr:pic>
      <xdr:nvPicPr>
        <xdr:cNvPr id="481821" name="Picture 1" descr="MFT_Logo final version.png">
          <a:extLst>
            <a:ext uri="{FF2B5EF4-FFF2-40B4-BE49-F238E27FC236}">
              <a16:creationId xmlns:a16="http://schemas.microsoft.com/office/drawing/2014/main" id="{00000000-0008-0000-0000-00001D5A07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08700" y="317500"/>
          <a:ext cx="3060700" cy="444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4279900</xdr:colOff>
          <xdr:row>1</xdr:row>
          <xdr:rowOff>12700</xdr:rowOff>
        </xdr:from>
        <xdr:to>
          <xdr:col>5</xdr:col>
          <xdr:colOff>520700</xdr:colOff>
          <xdr:row>2</xdr:row>
          <xdr:rowOff>12700</xdr:rowOff>
        </xdr:to>
        <xdr:sp macro="" textlink="">
          <xdr:nvSpPr>
            <xdr:cNvPr id="481393" name="Drop Down 113" hidden="1">
              <a:extLst>
                <a:ext uri="{63B3BB69-23CF-44E3-9099-C40C66FF867C}">
                  <a14:compatExt spid="_x0000_s481393"/>
                </a:ext>
                <a:ext uri="{FF2B5EF4-FFF2-40B4-BE49-F238E27FC236}">
                  <a16:creationId xmlns:a16="http://schemas.microsoft.com/office/drawing/2014/main" id="{00000000-0008-0000-0000-00007158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114300</xdr:colOff>
          <xdr:row>3</xdr:row>
          <xdr:rowOff>63500</xdr:rowOff>
        </xdr:from>
        <xdr:to>
          <xdr:col>21</xdr:col>
          <xdr:colOff>25400</xdr:colOff>
          <xdr:row>5</xdr:row>
          <xdr:rowOff>63500</xdr:rowOff>
        </xdr:to>
        <xdr:sp macro="" textlink="">
          <xdr:nvSpPr>
            <xdr:cNvPr id="481442" name="Button 162" hidden="1">
              <a:extLst>
                <a:ext uri="{63B3BB69-23CF-44E3-9099-C40C66FF867C}">
                  <a14:compatExt spid="_x0000_s481442"/>
                </a:ext>
                <a:ext uri="{FF2B5EF4-FFF2-40B4-BE49-F238E27FC236}">
                  <a16:creationId xmlns:a16="http://schemas.microsoft.com/office/drawing/2014/main" id="{00000000-0008-0000-0000-0000A258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MFT Staff Use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114300</xdr:colOff>
          <xdr:row>6</xdr:row>
          <xdr:rowOff>0</xdr:rowOff>
        </xdr:from>
        <xdr:to>
          <xdr:col>21</xdr:col>
          <xdr:colOff>25400</xdr:colOff>
          <xdr:row>8</xdr:row>
          <xdr:rowOff>88900</xdr:rowOff>
        </xdr:to>
        <xdr:sp macro="" textlink="">
          <xdr:nvSpPr>
            <xdr:cNvPr id="481443" name="Button 163" hidden="1">
              <a:extLst>
                <a:ext uri="{63B3BB69-23CF-44E3-9099-C40C66FF867C}">
                  <a14:compatExt spid="_x0000_s481443"/>
                </a:ext>
                <a:ext uri="{FF2B5EF4-FFF2-40B4-BE49-F238E27FC236}">
                  <a16:creationId xmlns:a16="http://schemas.microsoft.com/office/drawing/2014/main" id="{00000000-0008-0000-0000-0000A35807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Prepare for Distribution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1</xdr:row>
          <xdr:rowOff>0</xdr:rowOff>
        </xdr:from>
        <xdr:to>
          <xdr:col>8</xdr:col>
          <xdr:colOff>50800</xdr:colOff>
          <xdr:row>2</xdr:row>
          <xdr:rowOff>12700</xdr:rowOff>
        </xdr:to>
        <xdr:sp macro="" textlink="">
          <xdr:nvSpPr>
            <xdr:cNvPr id="481571" name="Drop Down 291" hidden="1">
              <a:extLst>
                <a:ext uri="{63B3BB69-23CF-44E3-9099-C40C66FF867C}">
                  <a14:compatExt spid="_x0000_s481571"/>
                </a:ext>
                <a:ext uri="{FF2B5EF4-FFF2-40B4-BE49-F238E27FC236}">
                  <a16:creationId xmlns:a16="http://schemas.microsoft.com/office/drawing/2014/main" id="{00000000-0008-0000-0000-00002359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584200</xdr:colOff>
          <xdr:row>25</xdr:row>
          <xdr:rowOff>101600</xdr:rowOff>
        </xdr:from>
        <xdr:to>
          <xdr:col>8</xdr:col>
          <xdr:colOff>152400</xdr:colOff>
          <xdr:row>27</xdr:row>
          <xdr:rowOff>38100</xdr:rowOff>
        </xdr:to>
        <xdr:sp macro="" textlink="">
          <xdr:nvSpPr>
            <xdr:cNvPr id="481716" name="Button 436" hidden="1">
              <a:extLst>
                <a:ext uri="{63B3BB69-23CF-44E3-9099-C40C66FF867C}">
                  <a14:compatExt spid="_x0000_s481716"/>
                </a:ext>
                <a:ext uri="{FF2B5EF4-FFF2-40B4-BE49-F238E27FC236}">
                  <a16:creationId xmlns:a16="http://schemas.microsoft.com/office/drawing/2014/main" id="{00000000-0008-0000-0000-0000B45907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pitchFamily="2" charset="0"/>
                  <a:cs typeface="Lucida Grande" pitchFamily="2" charset="0"/>
                </a:rPr>
                <a:t>TRANSLATE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0</xdr:colOff>
      <xdr:row>1</xdr:row>
      <xdr:rowOff>50800</xdr:rowOff>
    </xdr:from>
    <xdr:to>
      <xdr:col>18</xdr:col>
      <xdr:colOff>368300</xdr:colOff>
      <xdr:row>27</xdr:row>
      <xdr:rowOff>76200</xdr:rowOff>
    </xdr:to>
    <xdr:graphicFrame macro="">
      <xdr:nvGraphicFramePr>
        <xdr:cNvPr id="2859374" name="Chart 1">
          <a:extLst>
            <a:ext uri="{FF2B5EF4-FFF2-40B4-BE49-F238E27FC236}">
              <a16:creationId xmlns:a16="http://schemas.microsoft.com/office/drawing/2014/main" id="{00000000-0008-0000-0100-00006EA12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12700</xdr:colOff>
      <xdr:row>0</xdr:row>
      <xdr:rowOff>12700</xdr:rowOff>
    </xdr:from>
    <xdr:to>
      <xdr:col>18</xdr:col>
      <xdr:colOff>711200</xdr:colOff>
      <xdr:row>16</xdr:row>
      <xdr:rowOff>190500</xdr:rowOff>
    </xdr:to>
    <xdr:graphicFrame macro="">
      <xdr:nvGraphicFramePr>
        <xdr:cNvPr id="41774" name="Chart 1">
          <a:extLst>
            <a:ext uri="{FF2B5EF4-FFF2-40B4-BE49-F238E27FC236}">
              <a16:creationId xmlns:a16="http://schemas.microsoft.com/office/drawing/2014/main" id="{00000000-0008-0000-0300-00002EA3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50800</xdr:colOff>
          <xdr:row>1</xdr:row>
          <xdr:rowOff>76200</xdr:rowOff>
        </xdr:from>
        <xdr:to>
          <xdr:col>9</xdr:col>
          <xdr:colOff>393700</xdr:colOff>
          <xdr:row>2</xdr:row>
          <xdr:rowOff>228600</xdr:rowOff>
        </xdr:to>
        <xdr:sp macro="" textlink="">
          <xdr:nvSpPr>
            <xdr:cNvPr id="41134" name="DropDnAmort" hidden="1">
              <a:extLst>
                <a:ext uri="{63B3BB69-23CF-44E3-9099-C40C66FF867C}">
                  <a14:compatExt spid="_x0000_s41134"/>
                </a:ext>
                <a:ext uri="{FF2B5EF4-FFF2-40B4-BE49-F238E27FC236}">
                  <a16:creationId xmlns:a16="http://schemas.microsoft.com/office/drawing/2014/main" id="{00000000-0008-0000-0300-0000AEA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50800</xdr:colOff>
          <xdr:row>3</xdr:row>
          <xdr:rowOff>0</xdr:rowOff>
        </xdr:from>
        <xdr:to>
          <xdr:col>9</xdr:col>
          <xdr:colOff>393700</xdr:colOff>
          <xdr:row>4</xdr:row>
          <xdr:rowOff>0</xdr:rowOff>
        </xdr:to>
        <xdr:sp macro="" textlink="">
          <xdr:nvSpPr>
            <xdr:cNvPr id="41135" name="DropDnInt" hidden="1">
              <a:extLst>
                <a:ext uri="{63B3BB69-23CF-44E3-9099-C40C66FF867C}">
                  <a14:compatExt spid="_x0000_s41135"/>
                </a:ext>
                <a:ext uri="{FF2B5EF4-FFF2-40B4-BE49-F238E27FC236}">
                  <a16:creationId xmlns:a16="http://schemas.microsoft.com/office/drawing/2014/main" id="{00000000-0008-0000-0300-0000AFA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12700</xdr:colOff>
          <xdr:row>4</xdr:row>
          <xdr:rowOff>12700</xdr:rowOff>
        </xdr:from>
        <xdr:to>
          <xdr:col>7</xdr:col>
          <xdr:colOff>12700</xdr:colOff>
          <xdr:row>4</xdr:row>
          <xdr:rowOff>203200</xdr:rowOff>
        </xdr:to>
        <xdr:sp macro="" textlink="">
          <xdr:nvSpPr>
            <xdr:cNvPr id="41149" name="DropDnInt" hidden="1">
              <a:extLst>
                <a:ext uri="{63B3BB69-23CF-44E3-9099-C40C66FF867C}">
                  <a14:compatExt spid="_x0000_s41149"/>
                </a:ext>
                <a:ext uri="{FF2B5EF4-FFF2-40B4-BE49-F238E27FC236}">
                  <a16:creationId xmlns:a16="http://schemas.microsoft.com/office/drawing/2014/main" id="{00000000-0008-0000-0300-0000BDA0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10</xdr:row>
          <xdr:rowOff>12700</xdr:rowOff>
        </xdr:from>
        <xdr:to>
          <xdr:col>7</xdr:col>
          <xdr:colOff>3601</xdr:colOff>
          <xdr:row>10</xdr:row>
          <xdr:rowOff>228600</xdr:rowOff>
        </xdr:to>
        <xdr:sp macro="" textlink="">
          <xdr:nvSpPr>
            <xdr:cNvPr id="41320" name="DropDnInt" hidden="1">
              <a:extLst>
                <a:ext uri="{63B3BB69-23CF-44E3-9099-C40C66FF867C}">
                  <a14:compatExt spid="_x0000_s41320"/>
                </a:ext>
                <a:ext uri="{FF2B5EF4-FFF2-40B4-BE49-F238E27FC236}">
                  <a16:creationId xmlns:a16="http://schemas.microsoft.com/office/drawing/2014/main" id="{00000000-0008-0000-0300-000068A1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12700</xdr:colOff>
          <xdr:row>9</xdr:row>
          <xdr:rowOff>12700</xdr:rowOff>
        </xdr:from>
        <xdr:to>
          <xdr:col>7</xdr:col>
          <xdr:colOff>3601</xdr:colOff>
          <xdr:row>9</xdr:row>
          <xdr:rowOff>203200</xdr:rowOff>
        </xdr:to>
        <xdr:sp macro="" textlink="">
          <xdr:nvSpPr>
            <xdr:cNvPr id="41321" name="DropDnInt" hidden="1">
              <a:extLst>
                <a:ext uri="{63B3BB69-23CF-44E3-9099-C40C66FF867C}">
                  <a14:compatExt spid="_x0000_s41321"/>
                </a:ext>
                <a:ext uri="{FF2B5EF4-FFF2-40B4-BE49-F238E27FC236}">
                  <a16:creationId xmlns:a16="http://schemas.microsoft.com/office/drawing/2014/main" id="{00000000-0008-0000-0300-000069A1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63500</xdr:colOff>
          <xdr:row>0</xdr:row>
          <xdr:rowOff>63500</xdr:rowOff>
        </xdr:from>
        <xdr:to>
          <xdr:col>10</xdr:col>
          <xdr:colOff>711200</xdr:colOff>
          <xdr:row>0</xdr:row>
          <xdr:rowOff>266700</xdr:rowOff>
        </xdr:to>
        <xdr:sp macro="" textlink="">
          <xdr:nvSpPr>
            <xdr:cNvPr id="41607" name="Check Box 647" hidden="1">
              <a:extLst>
                <a:ext uri="{63B3BB69-23CF-44E3-9099-C40C66FF867C}">
                  <a14:compatExt spid="_x0000_s41607"/>
                </a:ext>
                <a:ext uri="{FF2B5EF4-FFF2-40B4-BE49-F238E27FC236}">
                  <a16:creationId xmlns:a16="http://schemas.microsoft.com/office/drawing/2014/main" id="{00000000-0008-0000-0300-000087A20000}"/>
                </a:ext>
              </a:extLst>
            </xdr:cNvPr>
            <xdr:cNvSpPr/>
          </xdr:nvSpPr>
          <xdr:spPr bwMode="auto">
            <a:xfrm>
              <a:off x="0" y="0"/>
              <a:ext cx="0" cy="0"/>
            </a:xfrm>
            <a:prstGeom prst="rect">
              <a:avLst/>
            </a:prstGeom>
            <a:noFill/>
            <a:ln w="12700">
              <a:solidFill>
                <a:srgbClr val="000000"/>
              </a:solidFill>
              <a:miter lim="800000"/>
              <a:headEnd/>
              <a:tailEnd/>
            </a:ln>
            <a:extLst>
              <a:ext uri="{909E8E84-426E-40DD-AFC4-6F175D3DCCD1}">
                <a14:hiddenFill>
                  <a:solidFill>
                    <a:srgbClr val="FFFFFF"/>
                  </a:solidFill>
                </a14:hiddenFill>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101</xdr:col>
          <xdr:colOff>50800</xdr:colOff>
          <xdr:row>1</xdr:row>
          <xdr:rowOff>0</xdr:rowOff>
        </xdr:from>
        <xdr:to>
          <xdr:col>103</xdr:col>
          <xdr:colOff>431800</xdr:colOff>
          <xdr:row>1</xdr:row>
          <xdr:rowOff>139700</xdr:rowOff>
        </xdr:to>
        <xdr:sp macro="" textlink="">
          <xdr:nvSpPr>
            <xdr:cNvPr id="3109294" name="Button 1454" hidden="1">
              <a:extLst>
                <a:ext uri="{63B3BB69-23CF-44E3-9099-C40C66FF867C}">
                  <a14:compatExt spid="_x0000_s3109294"/>
                </a:ext>
                <a:ext uri="{FF2B5EF4-FFF2-40B4-BE49-F238E27FC236}">
                  <a16:creationId xmlns:a16="http://schemas.microsoft.com/office/drawing/2014/main" id="{00000000-0008-0000-0400-0000AE712F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pitchFamily="2" charset="0"/>
                  <a:cs typeface="Lucida Grande" pitchFamily="2" charset="0"/>
                </a:rPr>
                <a:t>Recalc APR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0</xdr:row>
          <xdr:rowOff>203200</xdr:rowOff>
        </xdr:from>
        <xdr:to>
          <xdr:col>7</xdr:col>
          <xdr:colOff>558799</xdr:colOff>
          <xdr:row>1</xdr:row>
          <xdr:rowOff>190500</xdr:rowOff>
        </xdr:to>
        <xdr:sp macro="" textlink="">
          <xdr:nvSpPr>
            <xdr:cNvPr id="4208703" name="Check Box 3135" hidden="1">
              <a:extLst>
                <a:ext uri="{63B3BB69-23CF-44E3-9099-C40C66FF867C}">
                  <a14:compatExt spid="_x0000_s4208703"/>
                </a:ext>
                <a:ext uri="{FF2B5EF4-FFF2-40B4-BE49-F238E27FC236}">
                  <a16:creationId xmlns:a16="http://schemas.microsoft.com/office/drawing/2014/main" id="{00000000-0008-0000-0400-00003F384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5</xdr:col>
      <xdr:colOff>165100</xdr:colOff>
      <xdr:row>6</xdr:row>
      <xdr:rowOff>127000</xdr:rowOff>
    </xdr:from>
    <xdr:to>
      <xdr:col>13</xdr:col>
      <xdr:colOff>203200</xdr:colOff>
      <xdr:row>30</xdr:row>
      <xdr:rowOff>0</xdr:rowOff>
    </xdr:to>
    <xdr:graphicFrame macro="">
      <xdr:nvGraphicFramePr>
        <xdr:cNvPr id="4821259" name="Chart 1">
          <a:extLst>
            <a:ext uri="{FF2B5EF4-FFF2-40B4-BE49-F238E27FC236}">
              <a16:creationId xmlns:a16="http://schemas.microsoft.com/office/drawing/2014/main" id="{00000000-0008-0000-0700-00000B914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7</xdr:row>
      <xdr:rowOff>0</xdr:rowOff>
    </xdr:from>
    <xdr:to>
      <xdr:col>5</xdr:col>
      <xdr:colOff>63500</xdr:colOff>
      <xdr:row>30</xdr:row>
      <xdr:rowOff>12700</xdr:rowOff>
    </xdr:to>
    <xdr:graphicFrame macro="">
      <xdr:nvGraphicFramePr>
        <xdr:cNvPr id="4821260" name="Chart 2">
          <a:extLst>
            <a:ext uri="{FF2B5EF4-FFF2-40B4-BE49-F238E27FC236}">
              <a16:creationId xmlns:a16="http://schemas.microsoft.com/office/drawing/2014/main" id="{00000000-0008-0000-0700-00000C914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3</xdr:col>
      <xdr:colOff>127000</xdr:colOff>
      <xdr:row>3</xdr:row>
      <xdr:rowOff>190500</xdr:rowOff>
    </xdr:from>
    <xdr:to>
      <xdr:col>14</xdr:col>
      <xdr:colOff>330200</xdr:colOff>
      <xdr:row>4</xdr:row>
      <xdr:rowOff>4419600</xdr:rowOff>
    </xdr:to>
    <xdr:graphicFrame macro="">
      <xdr:nvGraphicFramePr>
        <xdr:cNvPr id="4389763" name="Chart 1">
          <a:extLst>
            <a:ext uri="{FF2B5EF4-FFF2-40B4-BE49-F238E27FC236}">
              <a16:creationId xmlns:a16="http://schemas.microsoft.com/office/drawing/2014/main" id="{00000000-0008-0000-0900-000083FB42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4</xdr:col>
      <xdr:colOff>0</xdr:colOff>
      <xdr:row>6</xdr:row>
      <xdr:rowOff>12700</xdr:rowOff>
    </xdr:from>
    <xdr:to>
      <xdr:col>14</xdr:col>
      <xdr:colOff>355600</xdr:colOff>
      <xdr:row>7</xdr:row>
      <xdr:rowOff>25400</xdr:rowOff>
    </xdr:to>
    <xdr:graphicFrame macro="">
      <xdr:nvGraphicFramePr>
        <xdr:cNvPr id="4389764" name="Chart 2">
          <a:extLst>
            <a:ext uri="{FF2B5EF4-FFF2-40B4-BE49-F238E27FC236}">
              <a16:creationId xmlns:a16="http://schemas.microsoft.com/office/drawing/2014/main" id="{00000000-0008-0000-0900-000084FB42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4</xdr:col>
      <xdr:colOff>0</xdr:colOff>
      <xdr:row>10</xdr:row>
      <xdr:rowOff>12700</xdr:rowOff>
    </xdr:from>
    <xdr:to>
      <xdr:col>14</xdr:col>
      <xdr:colOff>355600</xdr:colOff>
      <xdr:row>10</xdr:row>
      <xdr:rowOff>4419600</xdr:rowOff>
    </xdr:to>
    <xdr:graphicFrame macro="">
      <xdr:nvGraphicFramePr>
        <xdr:cNvPr id="4389765" name="Chart 4">
          <a:extLst>
            <a:ext uri="{FF2B5EF4-FFF2-40B4-BE49-F238E27FC236}">
              <a16:creationId xmlns:a16="http://schemas.microsoft.com/office/drawing/2014/main" id="{00000000-0008-0000-0900-000085FB42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4</xdr:col>
      <xdr:colOff>0</xdr:colOff>
      <xdr:row>12</xdr:row>
      <xdr:rowOff>12700</xdr:rowOff>
    </xdr:from>
    <xdr:to>
      <xdr:col>14</xdr:col>
      <xdr:colOff>355600</xdr:colOff>
      <xdr:row>12</xdr:row>
      <xdr:rowOff>4457700</xdr:rowOff>
    </xdr:to>
    <xdr:graphicFrame macro="">
      <xdr:nvGraphicFramePr>
        <xdr:cNvPr id="4389766" name="Chart 5">
          <a:extLst>
            <a:ext uri="{FF2B5EF4-FFF2-40B4-BE49-F238E27FC236}">
              <a16:creationId xmlns:a16="http://schemas.microsoft.com/office/drawing/2014/main" id="{00000000-0008-0000-0900-000086FB42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4</xdr:col>
      <xdr:colOff>12700</xdr:colOff>
      <xdr:row>8</xdr:row>
      <xdr:rowOff>12700</xdr:rowOff>
    </xdr:from>
    <xdr:to>
      <xdr:col>14</xdr:col>
      <xdr:colOff>355600</xdr:colOff>
      <xdr:row>9</xdr:row>
      <xdr:rowOff>12700</xdr:rowOff>
    </xdr:to>
    <xdr:graphicFrame macro="">
      <xdr:nvGraphicFramePr>
        <xdr:cNvPr id="4389767" name="Chart 3">
          <a:extLst>
            <a:ext uri="{FF2B5EF4-FFF2-40B4-BE49-F238E27FC236}">
              <a16:creationId xmlns:a16="http://schemas.microsoft.com/office/drawing/2014/main" id="{00000000-0008-0000-0900-000087FB42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xdr:col>
      <xdr:colOff>38100</xdr:colOff>
      <xdr:row>9</xdr:row>
      <xdr:rowOff>101600</xdr:rowOff>
    </xdr:from>
    <xdr:to>
      <xdr:col>7</xdr:col>
      <xdr:colOff>304800</xdr:colOff>
      <xdr:row>29</xdr:row>
      <xdr:rowOff>12700</xdr:rowOff>
    </xdr:to>
    <xdr:graphicFrame macro="">
      <xdr:nvGraphicFramePr>
        <xdr:cNvPr id="4615480" name="Chart 1">
          <a:extLst>
            <a:ext uri="{FF2B5EF4-FFF2-40B4-BE49-F238E27FC236}">
              <a16:creationId xmlns:a16="http://schemas.microsoft.com/office/drawing/2014/main" id="{00000000-0008-0000-0A00-0000386D46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38100</xdr:colOff>
      <xdr:row>9</xdr:row>
      <xdr:rowOff>101600</xdr:rowOff>
    </xdr:from>
    <xdr:to>
      <xdr:col>16</xdr:col>
      <xdr:colOff>508000</xdr:colOff>
      <xdr:row>29</xdr:row>
      <xdr:rowOff>38100</xdr:rowOff>
    </xdr:to>
    <xdr:graphicFrame macro="">
      <xdr:nvGraphicFramePr>
        <xdr:cNvPr id="4615481" name="Chart 2">
          <a:extLst>
            <a:ext uri="{FF2B5EF4-FFF2-40B4-BE49-F238E27FC236}">
              <a16:creationId xmlns:a16="http://schemas.microsoft.com/office/drawing/2014/main" id="{00000000-0008-0000-0A00-0000396D46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114300</xdr:colOff>
          <xdr:row>8</xdr:row>
          <xdr:rowOff>0</xdr:rowOff>
        </xdr:from>
        <xdr:to>
          <xdr:col>8</xdr:col>
          <xdr:colOff>698500</xdr:colOff>
          <xdr:row>9</xdr:row>
          <xdr:rowOff>12700</xdr:rowOff>
        </xdr:to>
        <xdr:sp macro="" textlink="">
          <xdr:nvSpPr>
            <xdr:cNvPr id="2708489" name="Check Box 9" hidden="1">
              <a:extLst>
                <a:ext uri="{63B3BB69-23CF-44E3-9099-C40C66FF867C}">
                  <a14:compatExt spid="_x0000_s2708489"/>
                </a:ext>
                <a:ext uri="{FF2B5EF4-FFF2-40B4-BE49-F238E27FC236}">
                  <a16:creationId xmlns:a16="http://schemas.microsoft.com/office/drawing/2014/main" id="{00000000-0008-0000-0B00-000009542900}"/>
                </a:ext>
              </a:extLst>
            </xdr:cNvPr>
            <xdr:cNvSpPr/>
          </xdr:nvSpPr>
          <xdr:spPr bwMode="auto">
            <a:xfrm>
              <a:off x="0" y="0"/>
              <a:ext cx="0" cy="0"/>
            </a:xfrm>
            <a:prstGeom prst="rect">
              <a:avLst/>
            </a:prstGeom>
            <a:noFill/>
            <a:ln w="28575">
              <a:solidFill>
                <a:srgbClr val="000000"/>
              </a:solidFill>
              <a:miter lim="800000"/>
              <a:headEnd/>
              <a:tailEnd/>
            </a:ln>
            <a:extLst>
              <a:ext uri="{909E8E84-426E-40DD-AFC4-6F175D3DCCD1}">
                <a14:hiddenFill>
                  <a:solidFill>
                    <a:srgbClr val="FFFFFF"/>
                  </a:solidFill>
                </a14:hiddenFill>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25400</xdr:colOff>
          <xdr:row>25</xdr:row>
          <xdr:rowOff>0</xdr:rowOff>
        </xdr:from>
        <xdr:to>
          <xdr:col>4</xdr:col>
          <xdr:colOff>228600</xdr:colOff>
          <xdr:row>26</xdr:row>
          <xdr:rowOff>0</xdr:rowOff>
        </xdr:to>
        <xdr:sp macro="" textlink="">
          <xdr:nvSpPr>
            <xdr:cNvPr id="2856961" name="Drop Down 1" hidden="1">
              <a:extLst>
                <a:ext uri="{63B3BB69-23CF-44E3-9099-C40C66FF867C}">
                  <a14:compatExt spid="_x0000_s2856961"/>
                </a:ext>
                <a:ext uri="{FF2B5EF4-FFF2-40B4-BE49-F238E27FC236}">
                  <a16:creationId xmlns:a16="http://schemas.microsoft.com/office/drawing/2014/main" id="{00000000-0008-0000-0C00-000001982B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749300</xdr:colOff>
          <xdr:row>13</xdr:row>
          <xdr:rowOff>25400</xdr:rowOff>
        </xdr:to>
        <xdr:sp macro="" textlink="">
          <xdr:nvSpPr>
            <xdr:cNvPr id="2856962" name="Drop Down 2" hidden="1">
              <a:extLst>
                <a:ext uri="{63B3BB69-23CF-44E3-9099-C40C66FF867C}">
                  <a14:compatExt spid="_x0000_s2856962"/>
                </a:ext>
                <a:ext uri="{FF2B5EF4-FFF2-40B4-BE49-F238E27FC236}">
                  <a16:creationId xmlns:a16="http://schemas.microsoft.com/office/drawing/2014/main" id="{00000000-0008-0000-0C00-000002982B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16</xdr:row>
          <xdr:rowOff>12700</xdr:rowOff>
        </xdr:from>
        <xdr:to>
          <xdr:col>3</xdr:col>
          <xdr:colOff>596900</xdr:colOff>
          <xdr:row>17</xdr:row>
          <xdr:rowOff>25400</xdr:rowOff>
        </xdr:to>
        <xdr:sp macro="" textlink="">
          <xdr:nvSpPr>
            <xdr:cNvPr id="2856963" name="Drop Down 3" hidden="1">
              <a:extLst>
                <a:ext uri="{63B3BB69-23CF-44E3-9099-C40C66FF867C}">
                  <a14:compatExt spid="_x0000_s2856963"/>
                </a:ext>
                <a:ext uri="{FF2B5EF4-FFF2-40B4-BE49-F238E27FC236}">
                  <a16:creationId xmlns:a16="http://schemas.microsoft.com/office/drawing/2014/main" id="{00000000-0008-0000-0C00-000003982B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17</xdr:row>
          <xdr:rowOff>0</xdr:rowOff>
        </xdr:from>
        <xdr:to>
          <xdr:col>3</xdr:col>
          <xdr:colOff>596900</xdr:colOff>
          <xdr:row>18</xdr:row>
          <xdr:rowOff>25400</xdr:rowOff>
        </xdr:to>
        <xdr:sp macro="" textlink="">
          <xdr:nvSpPr>
            <xdr:cNvPr id="2856964" name="Drop Down 4" hidden="1">
              <a:extLst>
                <a:ext uri="{63B3BB69-23CF-44E3-9099-C40C66FF867C}">
                  <a14:compatExt spid="_x0000_s2856964"/>
                </a:ext>
                <a:ext uri="{FF2B5EF4-FFF2-40B4-BE49-F238E27FC236}">
                  <a16:creationId xmlns:a16="http://schemas.microsoft.com/office/drawing/2014/main" id="{00000000-0008-0000-0C00-000004982B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24</xdr:row>
          <xdr:rowOff>0</xdr:rowOff>
        </xdr:from>
        <xdr:to>
          <xdr:col>4</xdr:col>
          <xdr:colOff>228600</xdr:colOff>
          <xdr:row>25</xdr:row>
          <xdr:rowOff>0</xdr:rowOff>
        </xdr:to>
        <xdr:sp macro="" textlink="">
          <xdr:nvSpPr>
            <xdr:cNvPr id="2856965" name="Drop Down 5" hidden="1">
              <a:extLst>
                <a:ext uri="{63B3BB69-23CF-44E3-9099-C40C66FF867C}">
                  <a14:compatExt spid="_x0000_s2856965"/>
                </a:ext>
                <a:ext uri="{FF2B5EF4-FFF2-40B4-BE49-F238E27FC236}">
                  <a16:creationId xmlns:a16="http://schemas.microsoft.com/office/drawing/2014/main" id="{00000000-0008-0000-0C00-000005982B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18</xdr:row>
          <xdr:rowOff>12700</xdr:rowOff>
        </xdr:from>
        <xdr:to>
          <xdr:col>3</xdr:col>
          <xdr:colOff>596900</xdr:colOff>
          <xdr:row>19</xdr:row>
          <xdr:rowOff>25400</xdr:rowOff>
        </xdr:to>
        <xdr:sp macro="" textlink="">
          <xdr:nvSpPr>
            <xdr:cNvPr id="2856966" name="Drop Down 6" hidden="1">
              <a:extLst>
                <a:ext uri="{63B3BB69-23CF-44E3-9099-C40C66FF867C}">
                  <a14:compatExt spid="_x0000_s2856966"/>
                </a:ext>
                <a:ext uri="{FF2B5EF4-FFF2-40B4-BE49-F238E27FC236}">
                  <a16:creationId xmlns:a16="http://schemas.microsoft.com/office/drawing/2014/main" id="{00000000-0008-0000-0C00-000006982B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53640926-AAD7-44D8-BBD7-CCE9431645EC}">
                <a14:shadowObscured val="1"/>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190500</xdr:colOff>
          <xdr:row>2</xdr:row>
          <xdr:rowOff>76200</xdr:rowOff>
        </xdr:from>
        <xdr:to>
          <xdr:col>8</xdr:col>
          <xdr:colOff>279400</xdr:colOff>
          <xdr:row>3</xdr:row>
          <xdr:rowOff>101600</xdr:rowOff>
        </xdr:to>
        <xdr:sp macro="" textlink="">
          <xdr:nvSpPr>
            <xdr:cNvPr id="1837057" name="Button 1" hidden="1">
              <a:extLst>
                <a:ext uri="{63B3BB69-23CF-44E3-9099-C40C66FF867C}">
                  <a14:compatExt spid="_x0000_s1837057"/>
                </a:ext>
                <a:ext uri="{FF2B5EF4-FFF2-40B4-BE49-F238E27FC236}">
                  <a16:creationId xmlns:a16="http://schemas.microsoft.com/office/drawing/2014/main" id="{00000000-0008-0000-0E00-000001081C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pitchFamily="2" charset="0"/>
                  <a:cs typeface="Lucida Grande" pitchFamily="2" charset="0"/>
                </a:rPr>
                <a:t>Disable Events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215900</xdr:colOff>
          <xdr:row>4</xdr:row>
          <xdr:rowOff>63500</xdr:rowOff>
        </xdr:from>
        <xdr:to>
          <xdr:col>8</xdr:col>
          <xdr:colOff>342900</xdr:colOff>
          <xdr:row>5</xdr:row>
          <xdr:rowOff>76200</xdr:rowOff>
        </xdr:to>
        <xdr:sp macro="" textlink="">
          <xdr:nvSpPr>
            <xdr:cNvPr id="1837058" name="Button 2" hidden="1">
              <a:extLst>
                <a:ext uri="{63B3BB69-23CF-44E3-9099-C40C66FF867C}">
                  <a14:compatExt spid="_x0000_s1837058"/>
                </a:ext>
                <a:ext uri="{FF2B5EF4-FFF2-40B4-BE49-F238E27FC236}">
                  <a16:creationId xmlns:a16="http://schemas.microsoft.com/office/drawing/2014/main" id="{00000000-0008-0000-0E00-000002081C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1" i="0" u="none" strike="noStrike" baseline="0">
                  <a:solidFill>
                    <a:srgbClr val="000000"/>
                  </a:solidFill>
                  <a:latin typeface="Lucida Grande" pitchFamily="2" charset="0"/>
                  <a:cs typeface="Lucida Grande" pitchFamily="2" charset="0"/>
                </a:rPr>
                <a:t>Enable Events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printerSettings" Target="../printerSettings/printerSettings1.bin"/><Relationship Id="rId7" Type="http://schemas.openxmlformats.org/officeDocument/2006/relationships/ctrlProp" Target="../ctrlProps/ctrlProp2.xml"/><Relationship Id="rId2" Type="http://schemas.openxmlformats.org/officeDocument/2006/relationships/hyperlink" Target="http://www.mftransparency.org/" TargetMode="External"/><Relationship Id="rId1" Type="http://schemas.openxmlformats.org/officeDocument/2006/relationships/hyperlink" Target="mailto:info@mftransparency.org" TargetMode="External"/><Relationship Id="rId6" Type="http://schemas.openxmlformats.org/officeDocument/2006/relationships/ctrlProp" Target="../ctrlProps/ctrlProp1.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1.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3.vml"/><Relationship Id="rId1" Type="http://schemas.openxmlformats.org/officeDocument/2006/relationships/drawing" Target="../drawings/drawing4.xml"/><Relationship Id="rId5" Type="http://schemas.openxmlformats.org/officeDocument/2006/relationships/comments" Target="../comments2.xml"/><Relationship Id="rId4" Type="http://schemas.openxmlformats.org/officeDocument/2006/relationships/ctrlProp" Target="../ctrlProps/ctrlProp13.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4.vml"/><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ctrlProp" Target="../ctrlProps/ctrlProp15.xml"/><Relationship Id="rId7" Type="http://schemas.openxmlformats.org/officeDocument/2006/relationships/ctrlProp" Target="../ctrlProps/ctrlProp19.xml"/><Relationship Id="rId2" Type="http://schemas.openxmlformats.org/officeDocument/2006/relationships/vmlDrawing" Target="../drawings/vmlDrawing5.vml"/><Relationship Id="rId1" Type="http://schemas.openxmlformats.org/officeDocument/2006/relationships/drawing" Target="../drawings/drawing9.xml"/><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6.vml"/><Relationship Id="rId1" Type="http://schemas.openxmlformats.org/officeDocument/2006/relationships/drawing" Target="../drawings/drawing10.xml"/><Relationship Id="rId4" Type="http://schemas.openxmlformats.org/officeDocument/2006/relationships/ctrlProp" Target="../ctrlProps/ctrlProp2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troduction"/>
  <dimension ref="A1:V49"/>
  <sheetViews>
    <sheetView showRowColHeaders="0" zoomScale="120" zoomScaleNormal="120" zoomScalePageLayoutView="120" workbookViewId="0"/>
  </sheetViews>
  <sheetFormatPr baseColWidth="10" defaultColWidth="9.19921875" defaultRowHeight="12"/>
  <cols>
    <col min="1" max="3" width="9.19921875" style="2"/>
    <col min="4" max="4" width="67.19921875" style="2" customWidth="1"/>
    <col min="5" max="5" width="4.3984375" style="2" customWidth="1"/>
    <col min="6" max="11" width="9.19921875" style="2"/>
    <col min="12" max="12" width="4.796875" style="2" customWidth="1"/>
    <col min="13" max="17" width="9.19921875" style="2"/>
    <col min="18" max="18" width="48.19921875" style="2" customWidth="1"/>
    <col min="19" max="19" width="52.3984375" style="2" customWidth="1"/>
    <col min="20" max="16384" width="9.19921875" style="2"/>
  </cols>
  <sheetData>
    <row r="1" spans="1:22" ht="6" customHeight="1"/>
    <row r="2" spans="1:22" ht="15" customHeight="1">
      <c r="I2" s="708" t="s">
        <v>721</v>
      </c>
    </row>
    <row r="3" spans="1:22" ht="28">
      <c r="B3" s="108" t="str">
        <f>Translations!A116</f>
        <v>Calculating Transparent Prices</v>
      </c>
      <c r="N3" s="729" t="s">
        <v>1103</v>
      </c>
    </row>
    <row r="4" spans="1:22" ht="14" thickBot="1">
      <c r="B4" s="706" t="str">
        <f>IF(V5=TRUE,"WARNING!!!!  This tool is NOT locked!!! Do not distribute! Click the PREPARE FOR DISTRIBUTION button to far-right",".")</f>
        <v>.</v>
      </c>
      <c r="N4" s="2" t="s">
        <v>812</v>
      </c>
      <c r="O4" s="2" t="s">
        <v>813</v>
      </c>
    </row>
    <row r="5" spans="1:22">
      <c r="B5" s="228" t="str">
        <f>Translations!A112</f>
        <v>Version:</v>
      </c>
      <c r="C5" s="707" t="str">
        <f>TEXT(References!D11,"0.00")&amp;" "&amp;BetaVersion</f>
        <v xml:space="preserve">2.22 </v>
      </c>
      <c r="G5" s="122" t="str">
        <f>Translations!A114</f>
        <v>Promoting transparent pricing in the microfinance industry</v>
      </c>
      <c r="N5" s="776" t="s">
        <v>860</v>
      </c>
      <c r="O5" s="777" t="s">
        <v>861</v>
      </c>
      <c r="V5" s="2" t="b">
        <f>DevMode</f>
        <v>0</v>
      </c>
    </row>
    <row r="6" spans="1:22">
      <c r="B6" s="228" t="str">
        <f>Translations!A113</f>
        <v>Date:</v>
      </c>
      <c r="C6" s="538">
        <f>References!D12</f>
        <v>40973</v>
      </c>
      <c r="F6" s="870" t="s">
        <v>129</v>
      </c>
      <c r="G6" s="870"/>
      <c r="N6" s="778" t="s">
        <v>1145</v>
      </c>
      <c r="O6" s="779" t="s">
        <v>1146</v>
      </c>
    </row>
    <row r="7" spans="1:22" ht="13" thickBot="1">
      <c r="B7" s="109" t="str">
        <f>Translations!A178</f>
        <v>Excel version:</v>
      </c>
      <c r="C7" s="790">
        <f>ExcelVersion</f>
        <v>14.1</v>
      </c>
      <c r="D7" s="109" t="str">
        <f>Translations!A111</f>
        <v>Developed by Chuck Waterfield (MicroFinance Transparency)</v>
      </c>
      <c r="N7" s="780"/>
      <c r="O7" s="781"/>
    </row>
    <row r="8" spans="1:22">
      <c r="B8" s="109" t="s">
        <v>1158</v>
      </c>
      <c r="C8" s="822" t="str">
        <f>IF(UseXIRR,"Yes","No")</f>
        <v>Yes</v>
      </c>
      <c r="D8" s="109" t="str">
        <f>Translations!A115</f>
        <v>For comments or questions, please email:</v>
      </c>
      <c r="E8" s="871" t="s">
        <v>688</v>
      </c>
      <c r="F8" s="871"/>
      <c r="G8" s="871"/>
      <c r="N8" s="2" t="s">
        <v>1147</v>
      </c>
    </row>
    <row r="9" spans="1:22" ht="13" thickBot="1">
      <c r="C9" s="821"/>
      <c r="N9" s="2" t="s">
        <v>1148</v>
      </c>
    </row>
    <row r="10" spans="1:22" ht="15" thickTop="1">
      <c r="A10" s="869" t="str">
        <f>IF(MacrosEnab=FALSE,Translations!A252,DevOk)</f>
        <v xml:space="preserve"> </v>
      </c>
      <c r="B10" s="869"/>
      <c r="D10" s="515" t="str">
        <f>Translations!A104</f>
        <v>Overview of this Tool:</v>
      </c>
      <c r="N10" s="810" t="s">
        <v>1149</v>
      </c>
    </row>
    <row r="11" spans="1:22" ht="48.75" customHeight="1">
      <c r="A11" s="869"/>
      <c r="B11" s="869"/>
      <c r="D11" s="513" t="str">
        <f>Translations!A105</f>
        <v xml:space="preserve">     This is a basic tool to help you understand the factors influencing the Effective Interest Rate (EIR) and the Annual Percentage Rate (APR) formulas used in the financial world to calculate comparative costs of different loan products.</v>
      </c>
      <c r="N11" s="750" t="s">
        <v>1150</v>
      </c>
    </row>
    <row r="12" spans="1:22" ht="36" customHeight="1">
      <c r="A12" s="869"/>
      <c r="B12" s="869"/>
      <c r="D12" s="513" t="str">
        <f>Translations!A106</f>
        <v xml:space="preserve">     We will continue to expand upon this tool in the near future, so please contact us for updates.  We are also very open to your suggestions on how we can improve this tool.</v>
      </c>
    </row>
    <row r="13" spans="1:22" ht="14">
      <c r="A13" s="869"/>
      <c r="B13" s="869"/>
      <c r="D13" s="516" t="str">
        <f>Translations!A107</f>
        <v>There are four main areas to this tool:</v>
      </c>
      <c r="F13" s="873" t="str">
        <f>Translations!A251</f>
        <v>Customization of the Workbook</v>
      </c>
      <c r="G13" s="873"/>
      <c r="H13" s="873"/>
      <c r="I13" s="873"/>
    </row>
    <row r="14" spans="1:22" ht="46" customHeight="1">
      <c r="A14" s="869"/>
      <c r="B14" s="869"/>
      <c r="C14" s="553">
        <v>1</v>
      </c>
      <c r="D14" s="513" t="str">
        <f>Translations!A108</f>
        <v xml:space="preserve">     APR Calculator, Simple:  The Interest Rate Graph sheet and the Repayment Schedule sheet work together to allow you to enter basic loan conditions and calculate the APR for that loan product as well as see a number of other interesting cost calculations.</v>
      </c>
      <c r="F14" s="835"/>
      <c r="G14" s="810" t="str">
        <f>Translations!A242&amp;IF(NOT(ISBLANK(ShowBasic)),TranHidden,TranVisible)</f>
        <v>The APR - Simple sheets are visible</v>
      </c>
    </row>
    <row r="15" spans="1:22" ht="25" customHeight="1">
      <c r="A15" s="869"/>
      <c r="B15" s="869"/>
      <c r="C15" s="553">
        <v>2</v>
      </c>
      <c r="D15" s="872" t="str">
        <f>Translations!A109</f>
        <v xml:space="preserve">     APR/EIR Calculator, Advanced: This section expands on the "simple" sheets, offering more options for pricing variables and calculating both the APR and the EIR of the loan.  It also includes an IRR FLOW visual for loans with 12 payments or less.</v>
      </c>
      <c r="F15" s="835"/>
      <c r="G15" s="810" t="str">
        <f>Translations!A245&amp;IF(NOT(ISBLANK(ShowBasic)),TranHidden,TranVisible)</f>
        <v>The APR - Advanced sheets are visible</v>
      </c>
    </row>
    <row r="16" spans="1:22" ht="23" customHeight="1">
      <c r="A16" s="869"/>
      <c r="B16" s="869"/>
      <c r="C16" s="553"/>
      <c r="D16" s="872"/>
      <c r="F16" s="835"/>
      <c r="G16" s="810" t="str">
        <f>Translations!A246&amp;IF(NOT(ISBLANK(ShowBasic)),TranHidden,TranVisible)</f>
        <v>The IRR Cash Flow sheet is visible</v>
      </c>
    </row>
    <row r="17" spans="1:19" ht="33" customHeight="1">
      <c r="A17" s="869" t="str">
        <f>IF(MacrosEnab=FALSE,Translations!A253,DevOk)</f>
        <v xml:space="preserve"> </v>
      </c>
      <c r="B17" s="869"/>
      <c r="C17" s="553">
        <v>3</v>
      </c>
      <c r="D17" s="513" t="str">
        <f>Translations!A209</f>
        <v xml:space="preserve">    Model Repayment Schedule:  This is an example of the information that an MFI should include in repayment schedules given to clients.</v>
      </c>
      <c r="F17" s="835"/>
      <c r="G17" s="810" t="str">
        <f>Translations!A247&amp;IF(NOT(ISBLANK(ShowBasic)),TranHidden,TranVisible)</f>
        <v>The Model Repay Schedule sheet is visible</v>
      </c>
    </row>
    <row r="18" spans="1:19" ht="36" customHeight="1">
      <c r="A18" s="869"/>
      <c r="B18" s="869"/>
      <c r="C18" s="553">
        <v>4</v>
      </c>
      <c r="D18" s="872" t="str">
        <f>Translations!A110</f>
        <v xml:space="preserve">     Cost Structure Data:  The Cost Structure Data sheet allows you to enter a range of loan amounts and then estimate delivery and maintenance costs for each of those loans.  This data is then displayed in the Graphs sheet and is also used in the Breakeven Point sheet.  There is also a "Quick Calculator" that allows demonstration of the basic principles.</v>
      </c>
      <c r="F18" s="835"/>
      <c r="G18" s="810" t="str">
        <f>Translations!A249&amp;IF(NOT(ISBLANK(ShowBasic)),TranHidden,TranVisible)</f>
        <v>The Cost Structure sheets are visible</v>
      </c>
    </row>
    <row r="19" spans="1:19" ht="27" customHeight="1">
      <c r="A19" s="869"/>
      <c r="B19" s="869"/>
      <c r="C19" s="553"/>
      <c r="D19" s="872"/>
      <c r="F19" s="835"/>
      <c r="G19" s="810" t="str">
        <f>Translations!A248&amp;IF(NOT(ISBLANK(ShowBasic)),TranHidden,TranVisible)</f>
        <v>The Quick Cost Curve Calculator sheet is visible</v>
      </c>
    </row>
    <row r="20" spans="1:19" ht="48" customHeight="1" thickBot="1">
      <c r="A20" s="869"/>
      <c r="B20" s="869"/>
      <c r="C20" s="553">
        <v>5</v>
      </c>
      <c r="D20" s="514" t="str">
        <f>Translations!A241</f>
        <v>Bangladesh Weekly Repayment Price Calculator: the most common loan product in Bangladesh charges flat interest, but provides multiple grace periods throughout the loan term, related to holidays.  This sheet allows the price to be calculated.</v>
      </c>
      <c r="F20" s="835"/>
      <c r="G20" s="810" t="str">
        <f>Translations!A250&amp;IF(NOT(ISBLANK(ShowBasic)),TranHidden,TranVisible)</f>
        <v>The Bangladesh Wk Loan sheet is visible</v>
      </c>
    </row>
    <row r="21" spans="1:19" ht="13" thickTop="1"/>
    <row r="22" spans="1:19">
      <c r="D22" s="2" t="s">
        <v>1381</v>
      </c>
    </row>
    <row r="23" spans="1:19">
      <c r="S23" s="109"/>
    </row>
    <row r="24" spans="1:19">
      <c r="S24" s="109"/>
    </row>
    <row r="25" spans="1:19">
      <c r="S25" s="109"/>
    </row>
    <row r="26" spans="1:19">
      <c r="S26" s="109"/>
    </row>
    <row r="27" spans="1:19">
      <c r="S27" s="109"/>
    </row>
    <row r="28" spans="1:19" ht="21" thickBot="1">
      <c r="C28" s="751" t="s">
        <v>855</v>
      </c>
      <c r="S28" s="109"/>
    </row>
    <row r="29" spans="1:19" ht="37" thickTop="1">
      <c r="C29" s="748">
        <v>2.0099999999999998</v>
      </c>
      <c r="D29" s="749" t="s">
        <v>856</v>
      </c>
      <c r="S29" s="109"/>
    </row>
    <row r="30" spans="1:19">
      <c r="C30" s="748">
        <v>2.02</v>
      </c>
      <c r="D30" s="750" t="s">
        <v>858</v>
      </c>
    </row>
    <row r="31" spans="1:19">
      <c r="C31" s="750"/>
      <c r="D31" s="750" t="s">
        <v>859</v>
      </c>
    </row>
    <row r="32" spans="1:19">
      <c r="C32" s="748">
        <v>2.0299999999999998</v>
      </c>
      <c r="D32" s="750" t="s">
        <v>865</v>
      </c>
    </row>
    <row r="33" spans="3:4">
      <c r="C33" s="750"/>
      <c r="D33" s="750" t="s">
        <v>862</v>
      </c>
    </row>
    <row r="34" spans="3:4">
      <c r="C34" s="748">
        <v>2.04</v>
      </c>
      <c r="D34" s="750" t="s">
        <v>868</v>
      </c>
    </row>
    <row r="35" spans="3:4">
      <c r="C35" s="750"/>
      <c r="D35" s="750" t="s">
        <v>869</v>
      </c>
    </row>
    <row r="36" spans="3:4">
      <c r="C36" s="748">
        <v>2.0499999999999998</v>
      </c>
      <c r="D36" s="750" t="s">
        <v>1106</v>
      </c>
    </row>
    <row r="37" spans="3:4">
      <c r="C37" s="750"/>
      <c r="D37" s="750" t="s">
        <v>1107</v>
      </c>
    </row>
    <row r="38" spans="3:4">
      <c r="C38" s="748">
        <v>2.06</v>
      </c>
      <c r="D38" s="750" t="s">
        <v>1108</v>
      </c>
    </row>
    <row r="39" spans="3:4">
      <c r="C39" s="748">
        <v>2.0699999999999998</v>
      </c>
      <c r="D39" s="750" t="s">
        <v>1109</v>
      </c>
    </row>
    <row r="40" spans="3:4">
      <c r="C40" s="748">
        <v>2.1</v>
      </c>
      <c r="D40" s="750" t="s">
        <v>1111</v>
      </c>
    </row>
    <row r="41" spans="3:4">
      <c r="C41" s="750"/>
      <c r="D41" s="750" t="s">
        <v>1144</v>
      </c>
    </row>
    <row r="42" spans="3:4">
      <c r="C42" s="750"/>
      <c r="D42" s="750" t="s">
        <v>1154</v>
      </c>
    </row>
    <row r="43" spans="3:4">
      <c r="C43" s="748">
        <v>2.2000000000000002</v>
      </c>
      <c r="D43" s="750" t="s">
        <v>1159</v>
      </c>
    </row>
    <row r="44" spans="3:4">
      <c r="C44" s="750"/>
      <c r="D44" s="750" t="s">
        <v>1161</v>
      </c>
    </row>
    <row r="45" spans="3:4">
      <c r="C45" s="750"/>
      <c r="D45" s="750" t="s">
        <v>1165</v>
      </c>
    </row>
    <row r="46" spans="3:4">
      <c r="D46" s="2" t="s">
        <v>1166</v>
      </c>
    </row>
    <row r="47" spans="3:4">
      <c r="C47" s="748">
        <v>2.21</v>
      </c>
      <c r="D47" s="2" t="s">
        <v>1167</v>
      </c>
    </row>
    <row r="48" spans="3:4">
      <c r="D48" s="2" t="s">
        <v>1168</v>
      </c>
    </row>
    <row r="49" spans="3:4">
      <c r="C49" s="834">
        <v>2.2200000000000002</v>
      </c>
      <c r="D49" s="2" t="s">
        <v>1369</v>
      </c>
    </row>
  </sheetData>
  <sheetProtection password="DE0E" sheet="1" objects="1" scenarios="1" formatColumns="0"/>
  <mergeCells count="7">
    <mergeCell ref="A10:B16"/>
    <mergeCell ref="A17:B20"/>
    <mergeCell ref="F6:G6"/>
    <mergeCell ref="E8:G8"/>
    <mergeCell ref="D15:D16"/>
    <mergeCell ref="D18:D19"/>
    <mergeCell ref="F13:I13"/>
  </mergeCells>
  <phoneticPr fontId="6" type="noConversion"/>
  <dataValidations xWindow="366" yWindow="362" count="3">
    <dataValidation allowBlank="1" showInputMessage="1" showErrorMessage="1" promptTitle="Currency Name" prompt="Type SHORT description here" sqref="N5:N7" xr:uid="{00000000-0002-0000-0000-000000000000}"/>
    <dataValidation allowBlank="1" showInputMessage="1" showErrorMessage="1" promptTitle="Currency SYMBOL" prompt="IMPORTANT!!  Type ONE symbol here.  If you need a symbol such as EUR, you must enter it with back-slashed as follows E\U\R" sqref="O5:O7" xr:uid="{00000000-0002-0000-0000-000001000000}"/>
    <dataValidation type="list" allowBlank="1" showInputMessage="1" showErrorMessage="1" prompt="Type an 'X&quot; to hide the sheet.  Leave BLANK to display the sheet." sqref="F14:F20" xr:uid="{00000000-0002-0000-0000-000002000000}">
      <formula1>"x,X"</formula1>
    </dataValidation>
  </dataValidations>
  <hyperlinks>
    <hyperlink ref="E8" r:id="rId1" xr:uid="{00000000-0004-0000-0000-000000000000}"/>
    <hyperlink ref="F6" r:id="rId2" xr:uid="{00000000-0004-0000-0000-000001000000}"/>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481393" r:id="rId6" name="Drop Down 113">
              <controlPr defaultSize="0" autoLine="0" autoPict="0">
                <anchor moveWithCells="1">
                  <from>
                    <xdr:col>3</xdr:col>
                    <xdr:colOff>4279900</xdr:colOff>
                    <xdr:row>1</xdr:row>
                    <xdr:rowOff>12700</xdr:rowOff>
                  </from>
                  <to>
                    <xdr:col>5</xdr:col>
                    <xdr:colOff>520700</xdr:colOff>
                    <xdr:row>2</xdr:row>
                    <xdr:rowOff>12700</xdr:rowOff>
                  </to>
                </anchor>
              </controlPr>
            </control>
          </mc:Choice>
        </mc:AlternateContent>
        <mc:AlternateContent xmlns:mc="http://schemas.openxmlformats.org/markup-compatibility/2006">
          <mc:Choice Requires="x14">
            <control shapeId="481442" r:id="rId7" name="Button 162">
              <controlPr defaultSize="0" print="0" autoFill="0" autoPict="0" macro="[0]!BtnDevModeON">
                <anchor moveWithCells="1" sizeWithCells="1">
                  <from>
                    <xdr:col>19</xdr:col>
                    <xdr:colOff>114300</xdr:colOff>
                    <xdr:row>3</xdr:row>
                    <xdr:rowOff>63500</xdr:rowOff>
                  </from>
                  <to>
                    <xdr:col>21</xdr:col>
                    <xdr:colOff>25400</xdr:colOff>
                    <xdr:row>5</xdr:row>
                    <xdr:rowOff>63500</xdr:rowOff>
                  </to>
                </anchor>
              </controlPr>
            </control>
          </mc:Choice>
        </mc:AlternateContent>
        <mc:AlternateContent xmlns:mc="http://schemas.openxmlformats.org/markup-compatibility/2006">
          <mc:Choice Requires="x14">
            <control shapeId="481443" r:id="rId8" name="Button 163">
              <controlPr defaultSize="0" print="0" autoFill="0" autoPict="0" macro="[0]!BtnDevModeOFF">
                <anchor moveWithCells="1" sizeWithCells="1">
                  <from>
                    <xdr:col>19</xdr:col>
                    <xdr:colOff>114300</xdr:colOff>
                    <xdr:row>6</xdr:row>
                    <xdr:rowOff>0</xdr:rowOff>
                  </from>
                  <to>
                    <xdr:col>21</xdr:col>
                    <xdr:colOff>25400</xdr:colOff>
                    <xdr:row>8</xdr:row>
                    <xdr:rowOff>88900</xdr:rowOff>
                  </to>
                </anchor>
              </controlPr>
            </control>
          </mc:Choice>
        </mc:AlternateContent>
        <mc:AlternateContent xmlns:mc="http://schemas.openxmlformats.org/markup-compatibility/2006">
          <mc:Choice Requires="x14">
            <control shapeId="481571" r:id="rId9" name="Drop Down 291">
              <controlPr defaultSize="0" autoLine="0" autoPict="0" macro="[0]!ChangeSymbol">
                <anchor moveWithCells="1">
                  <from>
                    <xdr:col>6</xdr:col>
                    <xdr:colOff>114300</xdr:colOff>
                    <xdr:row>1</xdr:row>
                    <xdr:rowOff>0</xdr:rowOff>
                  </from>
                  <to>
                    <xdr:col>8</xdr:col>
                    <xdr:colOff>50800</xdr:colOff>
                    <xdr:row>2</xdr:row>
                    <xdr:rowOff>12700</xdr:rowOff>
                  </to>
                </anchor>
              </controlPr>
            </control>
          </mc:Choice>
        </mc:AlternateContent>
        <mc:AlternateContent xmlns:mc="http://schemas.openxmlformats.org/markup-compatibility/2006">
          <mc:Choice Requires="x14">
            <control shapeId="481716" r:id="rId10" name="Button 436">
              <controlPr defaultSize="0" print="0" autoFill="0" autoPict="0" macro="[0]!ShowTranslate">
                <anchor moveWithCells="1" sizeWithCells="1">
                  <from>
                    <xdr:col>5</xdr:col>
                    <xdr:colOff>584200</xdr:colOff>
                    <xdr:row>25</xdr:row>
                    <xdr:rowOff>101600</xdr:rowOff>
                  </from>
                  <to>
                    <xdr:col>8</xdr:col>
                    <xdr:colOff>152400</xdr:colOff>
                    <xdr:row>27</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ASICIntRateGraph">
    <tabColor rgb="FF92D050"/>
  </sheetPr>
  <dimension ref="A1:H42"/>
  <sheetViews>
    <sheetView showGridLines="0" showRowColHeaders="0" zoomScale="116" zoomScaleNormal="116" zoomScalePageLayoutView="184" workbookViewId="0">
      <selection activeCell="C4" sqref="C4"/>
    </sheetView>
  </sheetViews>
  <sheetFormatPr baseColWidth="10" defaultColWidth="9.19921875" defaultRowHeight="15"/>
  <cols>
    <col min="1" max="1" width="2.3984375" style="20" customWidth="1"/>
    <col min="2" max="2" width="24.796875" style="20" customWidth="1"/>
    <col min="3" max="3" width="11.3984375" style="20" customWidth="1"/>
    <col min="4" max="4" width="12" style="20" customWidth="1"/>
    <col min="5" max="5" width="10.796875" style="20" customWidth="1"/>
    <col min="6" max="6" width="1.3984375" style="20" customWidth="1"/>
    <col min="7" max="7" width="6" style="20" customWidth="1"/>
    <col min="8" max="8" width="2.19921875" style="20" customWidth="1"/>
    <col min="9" max="16384" width="9.19921875" style="20"/>
  </cols>
  <sheetData>
    <row r="1" spans="1:7" ht="26">
      <c r="B1" s="386" t="str">
        <f>Translations!A180</f>
        <v>Calculation of APR based on Loan Conditions and Pricing -- SIMPLE APPROACH</v>
      </c>
    </row>
    <row r="2" spans="1:7" ht="9" customHeight="1"/>
    <row r="3" spans="1:7" ht="20" thickBot="1">
      <c r="B3" s="183" t="str">
        <f>'Pricing - Advanced'!B3</f>
        <v>Basic Loan Conditions</v>
      </c>
    </row>
    <row r="4" spans="1:7" ht="16" thickBot="1">
      <c r="B4" s="554" t="str">
        <f>'Pricing - Advanced'!B4</f>
        <v>Loan Amount:</v>
      </c>
      <c r="C4" s="864">
        <v>1000</v>
      </c>
    </row>
    <row r="5" spans="1:7" ht="16" thickBot="1">
      <c r="B5" s="555" t="str">
        <f>'Pricing - Advanced'!B5</f>
        <v>Term &amp; Repay Freq.</v>
      </c>
      <c r="C5" s="385">
        <v>12</v>
      </c>
      <c r="D5" s="384" t="s">
        <v>20</v>
      </c>
    </row>
    <row r="6" spans="1:7" ht="7.5" customHeight="1" thickBot="1">
      <c r="B6" s="21"/>
      <c r="C6" s="21"/>
    </row>
    <row r="7" spans="1:7" ht="25" thickBot="1">
      <c r="B7" s="833" t="str">
        <f>'Pricing - Advanced'!B9</f>
        <v>Loan Pricing</v>
      </c>
      <c r="C7" s="383" t="s">
        <v>556</v>
      </c>
      <c r="D7" s="697" t="s">
        <v>555</v>
      </c>
      <c r="E7" s="382" t="s">
        <v>554</v>
      </c>
      <c r="G7" s="381" t="s">
        <v>553</v>
      </c>
    </row>
    <row r="8" spans="1:7" ht="17" thickBot="1">
      <c r="B8" s="21" t="str">
        <f>Translations!A182</f>
        <v>Interest Method</v>
      </c>
      <c r="C8" s="380" t="s">
        <v>2</v>
      </c>
      <c r="D8" s="379"/>
      <c r="E8" s="378"/>
    </row>
    <row r="9" spans="1:7" ht="19" thickBot="1">
      <c r="B9" s="21" t="str">
        <f>Translations!A183</f>
        <v>Annual Interest Rate (%)</v>
      </c>
      <c r="C9" s="373">
        <v>0.04</v>
      </c>
      <c r="D9" s="377"/>
      <c r="E9" s="374">
        <f>'Rep Schedule - Basic'!I127</f>
        <v>4.0001335933884441E-2</v>
      </c>
      <c r="G9" s="735">
        <f>IF($C$9&gt;0,E9/$C$9,"-")</f>
        <v>1.000033398347111</v>
      </c>
    </row>
    <row r="10" spans="1:7" ht="19" thickBot="1">
      <c r="B10" s="376" t="str">
        <f>Translations!A184</f>
        <v>Up-front Fee (%)</v>
      </c>
      <c r="C10" s="373">
        <v>0.45</v>
      </c>
      <c r="D10" s="375">
        <f>E10-E9</f>
        <v>1.3027275669460909</v>
      </c>
      <c r="E10" s="374">
        <f>'Rep Schedule - Basic'!J127</f>
        <v>1.3427289028799754</v>
      </c>
      <c r="G10" s="735">
        <f>IF($C$9&gt;0,E10/$C$9,"-")</f>
        <v>33.568222571999385</v>
      </c>
    </row>
    <row r="11" spans="1:7" ht="18" customHeight="1" thickBot="1">
      <c r="B11" s="376" t="str">
        <f>Translations!A185</f>
        <v>Value-Added Tax (%)</v>
      </c>
      <c r="C11" s="373">
        <v>0.04</v>
      </c>
      <c r="D11" s="375">
        <f>E11-E10</f>
        <v>8.8315887112212721E-2</v>
      </c>
      <c r="E11" s="374">
        <f>'Rep Schedule - Basic'!K127</f>
        <v>1.4310447899921881</v>
      </c>
      <c r="G11" s="735">
        <f>IF($C$9&gt;0,E11/$C$9,"-")</f>
        <v>35.7761197498047</v>
      </c>
    </row>
    <row r="12" spans="1:7" ht="19" thickBot="1">
      <c r="B12" s="376" t="str">
        <f>'Pricing - Advanced'!B20</f>
        <v>Security Deposit (%)</v>
      </c>
      <c r="C12" s="373">
        <v>0.2</v>
      </c>
      <c r="D12" s="375">
        <f>E12-E11</f>
        <v>1.1993810223076915</v>
      </c>
      <c r="E12" s="374">
        <f>'Rep Schedule - Basic'!P127</f>
        <v>2.6304258122998796</v>
      </c>
      <c r="G12" s="735">
        <f>IF($C$9&gt;0,E12/$C$9,"-")</f>
        <v>65.760645307496986</v>
      </c>
    </row>
    <row r="13" spans="1:7" ht="17" thickBot="1">
      <c r="B13" s="566" t="str">
        <f>'Pricing - Advanced'!B22</f>
        <v>Interest Paid on Deposit (%)</v>
      </c>
      <c r="C13" s="373">
        <v>0.23</v>
      </c>
      <c r="D13" s="372" t="str">
        <f>IF(ISERR(D12),"Int Rate Pd is too high to calculate",".")</f>
        <v>.</v>
      </c>
      <c r="E13" s="23"/>
    </row>
    <row r="14" spans="1:7" ht="7.5" customHeight="1"/>
    <row r="15" spans="1:7" ht="20" thickBot="1">
      <c r="B15" s="371" t="str">
        <f>'Pricing - Advanced'!L18</f>
        <v>Total Financial Cost to the Client</v>
      </c>
    </row>
    <row r="16" spans="1:7" ht="17" thickBot="1">
      <c r="A16" s="876" t="str">
        <f>'Pricing - Advanced'!L19</f>
        <v>Total Cost (less Sec.Dep. int):</v>
      </c>
      <c r="B16" s="877"/>
      <c r="C16" s="865">
        <f>('Rep Schedule - Basic'!$E$127+'Rep Schedule - Basic'!$G$127+'Rep Schedule - Basic'!$H$127)</f>
        <v>490.53409599999998</v>
      </c>
      <c r="D16" s="366" t="str">
        <f>Translations!A81&amp;C5&amp;" "&amp;D5</f>
        <v>in12 Months</v>
      </c>
    </row>
    <row r="17" spans="2:8" ht="17" thickBot="1">
      <c r="B17" s="370" t="str">
        <f>Translations!A186</f>
        <v>Annualized</v>
      </c>
      <c r="C17" s="865">
        <f>('Rep Schedule - Basic'!$E$127+'Rep Schedule - Basic'!$G$127+'Rep Schedule - Basic'!$H$127)*IF(D5="Weeks",52,12)/C5</f>
        <v>490.53409600000003</v>
      </c>
      <c r="D17" s="369" t="str">
        <f>Translations!A83</f>
        <v>in 1 year</v>
      </c>
    </row>
    <row r="18" spans="2:8" ht="7.5" customHeight="1" thickBot="1">
      <c r="B18" s="32"/>
      <c r="C18" s="866"/>
      <c r="D18" s="369"/>
    </row>
    <row r="19" spans="2:8" ht="17" thickBot="1">
      <c r="B19" s="22" t="str">
        <f>'Pricing - Advanced'!L20</f>
        <v>Avg net loan balance:</v>
      </c>
      <c r="C19" s="865">
        <f>'Rep Schedule - Basic'!U127/'Pricing - Basic'!C5</f>
        <v>-126.93447282331972</v>
      </c>
      <c r="D19" s="874" t="str">
        <f>TEXT(C42,"00%")&amp;" "&amp;Translations!A89</f>
        <v>-13% of original loan amount</v>
      </c>
      <c r="E19" s="875"/>
      <c r="F19" s="875"/>
      <c r="G19" s="875"/>
    </row>
    <row r="20" spans="2:8">
      <c r="B20" s="32" t="str">
        <f>Translations!A187</f>
        <v>This is the amount the client has to invest in her business</v>
      </c>
    </row>
    <row r="21" spans="2:8" ht="8.25" customHeight="1" thickBot="1">
      <c r="B21" s="32"/>
    </row>
    <row r="22" spans="2:8" ht="17" thickBot="1">
      <c r="B22" s="368" t="str">
        <f>'Pricing - Advanced'!L21</f>
        <v>Client Breakeven Point:</v>
      </c>
      <c r="C22" s="367">
        <f>C19/(C17-'Rep Schedule - Basic'!M127)*12</f>
        <v>-3.4668814217305264</v>
      </c>
      <c r="D22" s="366" t="s">
        <v>20</v>
      </c>
    </row>
    <row r="23" spans="2:8">
      <c r="B23" s="878" t="str">
        <f>Translations!A188</f>
        <v>The month when the total loan cost equals the avg loan balance</v>
      </c>
      <c r="C23" s="879"/>
      <c r="D23" s="879"/>
      <c r="E23" s="879"/>
      <c r="F23" s="879"/>
      <c r="G23" s="879"/>
      <c r="H23" s="879"/>
    </row>
    <row r="24" spans="2:8" ht="7.5" customHeight="1">
      <c r="B24" s="32"/>
    </row>
    <row r="25" spans="2:8" ht="16" thickBot="1">
      <c r="B25" s="365" t="str">
        <f>Translations!A189</f>
        <v>Amount of Time with Negative Net Balance</v>
      </c>
    </row>
    <row r="26" spans="2:8" ht="17" thickBot="1">
      <c r="B26" s="22" t="str">
        <f>D5&amp;":"</f>
        <v>Months:</v>
      </c>
      <c r="C26" s="110">
        <f>IF('Rep Schedule - Basic'!T127&gt;0,'Rep Schedule - Basic'!T127+1,0)</f>
        <v>8</v>
      </c>
    </row>
    <row r="27" spans="2:8" ht="17" thickBot="1">
      <c r="B27" s="22" t="str">
        <f>Translations!A92&amp;":"</f>
        <v>% of loan term:</v>
      </c>
      <c r="C27" s="111">
        <f>IF(C5&gt;0,C26/C5,"")</f>
        <v>0.66666666666666663</v>
      </c>
    </row>
    <row r="30" spans="2:8">
      <c r="B30" s="563" t="str">
        <f>Translations!A190</f>
        <v>Note: This SIMPLE APPROACH allows only a few basic inputs and makes assumptions on other factors.  This sheet should only be used for experimentation and learning, not for actual calculation</v>
      </c>
    </row>
    <row r="31" spans="2:8">
      <c r="B31" s="563" t="str">
        <f>Translations!A191</f>
        <v xml:space="preserve">           of prices of actual loan products.   To study an actual loan product, use the ADVANCED sheet later in this workbook.</v>
      </c>
    </row>
    <row r="41" spans="2:4">
      <c r="B41" s="363" t="s">
        <v>60</v>
      </c>
      <c r="C41" s="364">
        <v>0.01</v>
      </c>
      <c r="D41" s="363" t="s">
        <v>61</v>
      </c>
    </row>
    <row r="42" spans="2:4">
      <c r="C42" s="20">
        <f>C19/C4</f>
        <v>-0.12693447282331971</v>
      </c>
    </row>
  </sheetData>
  <sheetProtection password="DE0E" sheet="1" objects="1" scenarios="1" formatColumns="0"/>
  <mergeCells count="3">
    <mergeCell ref="D19:G19"/>
    <mergeCell ref="A16:B16"/>
    <mergeCell ref="B23:H23"/>
  </mergeCells>
  <phoneticPr fontId="6" type="noConversion"/>
  <dataValidations xWindow="627" yWindow="594" count="7">
    <dataValidation allowBlank="1" showInputMessage="1" showErrorMessage="1" promptTitle="Multiplier Factor" prompt="This shows the APR as a multiple of the nominal quoted interest rate, e.g., 1.8 would mean the APR is 1.8 times higher than the nominal interest rate." sqref="G7:G12" xr:uid="{00000000-0002-0000-0100-000000000000}"/>
    <dataValidation allowBlank="1" showInputMessage="1" showErrorMessage="1" promptTitle="Value-Added Tax" prompt="Enter percentage for any value-added tax.  This will be calculated as a percentage of the fee+interest payment made by the client in each payment period." sqref="C11" xr:uid="{00000000-0002-0000-0100-000001000000}"/>
    <dataValidation type="decimal" allowBlank="1" showInputMessage="1" showErrorMessage="1" errorTitle="Invalid enter" error="enter a percentage figure between 0 and 200%" promptTitle="Annual Interest Rate" prompt="Enter the figure for 12 months.  Note that sometimes figures quoted as MONTHLY figures are really only for FOUR WEEKS, so multiply these figures by THIRTEEN." sqref="C9" xr:uid="{00000000-0002-0000-0100-000002000000}">
      <formula1>0</formula1>
      <formula2>2</formula2>
    </dataValidation>
    <dataValidation type="whole" allowBlank="1" showInputMessage="1" showErrorMessage="1" errorTitle="Invalid Entry" error="Enter a number between 1 and 104" sqref="C5" xr:uid="{00000000-0002-0000-0100-000003000000}">
      <formula1>1</formula1>
      <formula2>104</formula2>
    </dataValidation>
    <dataValidation type="list" allowBlank="1" showInputMessage="1" showErrorMessage="1" promptTitle="Repayment Frequency" prompt="Select either WEEKS or MONTHS from the dropdown list." sqref="D5" xr:uid="{00000000-0002-0000-0100-000004000000}">
      <formula1>"Weeks,Months"</formula1>
    </dataValidation>
    <dataValidation type="list" allowBlank="1" showInputMessage="1" showErrorMessage="1" promptTitle="Interest Method" prompt="Select from the dropdown either BALANCE (interest calculated on outstanding balance) or FLAT (interest calculated on the initial loan amount)." sqref="C8" xr:uid="{00000000-0002-0000-0100-000005000000}">
      <formula1>"Flat,Balance"</formula1>
    </dataValidation>
    <dataValidation type="decimal" allowBlank="1" showInputMessage="1" showErrorMessage="1" error="Enter a figure between 0% and 99%" promptTitle="Compulsory Savings %" prompt="Enter the percentage of up-front compulsory savings.  use a figure between 0% and 99%." sqref="C12" xr:uid="{00000000-0002-0000-0100-000006000000}">
      <formula1>0</formula1>
      <formula2>0.99</formula2>
    </dataValidation>
  </dataValidations>
  <pageMargins left="0.7" right="0.7" top="0.75" bottom="0.75" header="0.3" footer="0.3"/>
  <pageSetup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ASICRepSchedPage">
    <tabColor rgb="FF92D050"/>
    <pageSetUpPr fitToPage="1"/>
  </sheetPr>
  <dimension ref="B1:AC177"/>
  <sheetViews>
    <sheetView showGridLines="0" topLeftCell="B1" workbookViewId="0">
      <pane xSplit="1" ySplit="5" topLeftCell="C6" activePane="bottomRight" state="frozen"/>
      <selection activeCell="B2" sqref="B2"/>
      <selection pane="topRight" activeCell="C2" sqref="C2"/>
      <selection pane="bottomLeft" activeCell="B6" sqref="B6"/>
      <selection pane="bottomRight" activeCell="J144" sqref="J144"/>
    </sheetView>
  </sheetViews>
  <sheetFormatPr baseColWidth="10" defaultColWidth="8.796875" defaultRowHeight="12"/>
  <cols>
    <col min="1" max="1" width="1.796875" customWidth="1"/>
    <col min="2" max="2" width="7.19921875" customWidth="1"/>
    <col min="3" max="5" width="9.796875" customWidth="1"/>
    <col min="6" max="6" width="9.796875" hidden="1" customWidth="1"/>
    <col min="7" max="9" width="9.796875" customWidth="1"/>
    <col min="10" max="11" width="10.19921875" customWidth="1"/>
    <col min="12" max="16" width="9.796875" customWidth="1"/>
    <col min="22" max="22" width="93.3984375" customWidth="1"/>
  </cols>
  <sheetData>
    <row r="1" spans="2:28" hidden="1">
      <c r="B1" s="2" t="s">
        <v>6</v>
      </c>
      <c r="C1" s="2"/>
      <c r="D1" s="2" t="b">
        <f>TRUE</f>
        <v>1</v>
      </c>
      <c r="E1" s="2"/>
      <c r="F1" s="2"/>
      <c r="G1" s="2"/>
      <c r="H1" s="2"/>
      <c r="I1" s="2"/>
      <c r="J1" s="2"/>
      <c r="K1" s="2"/>
      <c r="L1" s="2"/>
      <c r="M1" s="2"/>
      <c r="N1" s="2"/>
      <c r="O1" s="2"/>
      <c r="P1" s="2"/>
    </row>
    <row r="2" spans="2:28" ht="18">
      <c r="B2" s="2"/>
      <c r="C2" s="18" t="s">
        <v>677</v>
      </c>
      <c r="D2" s="10"/>
      <c r="E2" s="10"/>
      <c r="F2" s="10"/>
      <c r="G2" s="2"/>
      <c r="H2" s="2"/>
      <c r="I2" s="2"/>
      <c r="J2" s="2"/>
      <c r="K2" s="2"/>
      <c r="L2" s="2"/>
      <c r="M2" s="2"/>
      <c r="N2" s="2"/>
      <c r="O2" s="2"/>
      <c r="P2" s="2"/>
      <c r="Q2" s="2"/>
      <c r="R2" s="2"/>
      <c r="S2" s="2"/>
      <c r="T2" s="2"/>
      <c r="U2" s="2"/>
      <c r="V2" s="2"/>
    </row>
    <row r="3" spans="2:28" ht="13" thickBot="1">
      <c r="B3" s="2"/>
      <c r="C3" s="17" t="str">
        <f>'Rep Schedule - Advanced'!H1</f>
        <v>The following table shows the repayment schedule and cashflow for the loan given the conditions indicated on the companion sheet with the Interest Rate Graph.</v>
      </c>
      <c r="D3" s="2"/>
      <c r="E3" s="2"/>
      <c r="F3" s="2"/>
      <c r="G3" s="2"/>
      <c r="H3" s="2"/>
      <c r="I3" s="2"/>
      <c r="J3" s="2"/>
      <c r="K3" s="2"/>
      <c r="L3" s="2"/>
      <c r="M3" s="2"/>
      <c r="N3" s="2"/>
      <c r="O3" s="2"/>
      <c r="P3" s="2"/>
      <c r="Q3" s="2"/>
      <c r="R3" s="2"/>
      <c r="S3" s="2"/>
      <c r="T3" s="2"/>
      <c r="U3" s="2"/>
      <c r="V3" s="2"/>
    </row>
    <row r="4" spans="2:28" ht="17.25" customHeight="1" thickTop="1" thickBot="1">
      <c r="B4" s="11"/>
      <c r="C4" s="880" t="str">
        <f>'Rep Schedule - Advanced'!G4</f>
        <v>Loan Cost and Cashflow</v>
      </c>
      <c r="D4" s="881"/>
      <c r="E4" s="881"/>
      <c r="F4" s="881"/>
      <c r="G4" s="881"/>
      <c r="H4" s="881"/>
      <c r="I4" s="881"/>
      <c r="J4" s="881"/>
      <c r="K4" s="395"/>
      <c r="L4" s="881" t="str">
        <f>'Rep Schedule - Advanced'!X4</f>
        <v>Security Deposit</v>
      </c>
      <c r="M4" s="881"/>
      <c r="N4" s="881"/>
      <c r="O4" s="881"/>
      <c r="P4" s="882"/>
      <c r="Q4" s="884" t="s">
        <v>30</v>
      </c>
      <c r="R4" s="884" t="s">
        <v>12</v>
      </c>
      <c r="S4" s="884" t="s">
        <v>31</v>
      </c>
      <c r="T4" s="884" t="s">
        <v>33</v>
      </c>
      <c r="U4" s="884" t="s">
        <v>34</v>
      </c>
      <c r="V4" s="393"/>
      <c r="W4" s="883" t="s">
        <v>32</v>
      </c>
    </row>
    <row r="5" spans="2:28" ht="45" customHeight="1" thickTop="1" thickBot="1">
      <c r="B5" s="12" t="str">
        <f>'Rep Schedule - Advanced'!B5</f>
        <v>Period #</v>
      </c>
      <c r="C5" s="13" t="str">
        <f>'Rep Schedule - Advanced'!J5</f>
        <v>Balance</v>
      </c>
      <c r="D5" s="13" t="str">
        <f>'Rep Schedule - Advanced'!H5</f>
        <v>Principal Paid</v>
      </c>
      <c r="E5" s="13" t="str">
        <f>'Rep Schedule - Advanced'!K5</f>
        <v>Interest Paid</v>
      </c>
      <c r="F5" s="13" t="s">
        <v>11</v>
      </c>
      <c r="G5" s="14" t="str">
        <f>'Rep Schedule - Advanced'!N5</f>
        <v>Fees Paid</v>
      </c>
      <c r="H5" s="14" t="str">
        <f>'Rep Schedule - Advanced'!U5</f>
        <v>Taxes</v>
      </c>
      <c r="I5" s="394" t="str">
        <f>'Rep Schedule - Advanced'!M5</f>
        <v>Cashflow incl. Interest</v>
      </c>
      <c r="J5" s="102" t="str">
        <f>'Rep Schedule - Advanced'!P5</f>
        <v>Cashflow incl. Fees</v>
      </c>
      <c r="K5" s="103" t="str">
        <f>'Rep Schedule - Advanced'!W5</f>
        <v>Cashflow Incl. Taxes</v>
      </c>
      <c r="L5" s="13" t="str">
        <f>'Rep Schedule - Advanced'!X5</f>
        <v>Security Deposit</v>
      </c>
      <c r="M5" s="13" t="str">
        <f>'Rep Schedule - Advanced'!Y5</f>
        <v>Interest Paid</v>
      </c>
      <c r="N5" s="14" t="str">
        <f>'Rep Schedule - Advanced'!Z5</f>
        <v>Deposit Withdr.</v>
      </c>
      <c r="O5" s="13" t="str">
        <f>'Rep Schedule - Advanced'!AB5</f>
        <v>Deposit Balance</v>
      </c>
      <c r="P5" s="128" t="str">
        <f>'Rep Schedule - Advanced'!AC5</f>
        <v>Cashflow incl. Sec.Dep.</v>
      </c>
      <c r="Q5" s="885"/>
      <c r="R5" s="885"/>
      <c r="S5" s="885"/>
      <c r="T5" s="885"/>
      <c r="U5" s="885"/>
      <c r="V5" s="393"/>
      <c r="W5" s="883"/>
      <c r="X5" s="16">
        <f>J127/INDEX('Client Cost HIDE'!E164:E166,'Client Cost HIDE'!A164)</f>
        <v>0.11189407523999795</v>
      </c>
      <c r="Y5" t="s">
        <v>557</v>
      </c>
    </row>
    <row r="6" spans="2:28" ht="13" thickTop="1">
      <c r="B6" s="392">
        <v>0</v>
      </c>
      <c r="C6" s="793">
        <f>+'Client Cost HIDE'!B12</f>
        <v>1000</v>
      </c>
      <c r="D6" s="233"/>
      <c r="E6" s="233"/>
      <c r="F6" s="233"/>
      <c r="G6" s="233">
        <f>IF('Client Cost HIDE'!C30&lt;1,C6*'Client Cost HIDE'!C30,'Client Cost HIDE'!C30)+IF('Client Cost HIDE'!C31&lt;1,C6*'Client Cost HIDE'!C31,'Client Cost HIDE'!C31)</f>
        <v>450</v>
      </c>
      <c r="H6" s="233">
        <f>SUM(E6:G6)*'Client Cost HIDE'!$B$28</f>
        <v>18</v>
      </c>
      <c r="I6" s="791">
        <f>C6</f>
        <v>1000</v>
      </c>
      <c r="J6" s="752">
        <f>+C6-G6</f>
        <v>550</v>
      </c>
      <c r="K6" s="753">
        <f>+C6-G6-H6</f>
        <v>532</v>
      </c>
      <c r="L6" s="754">
        <f>IF('Client Cost HIDE'!C38&lt;1,C6*'Client Cost HIDE'!C38,'Client Cost HIDE'!C38)</f>
        <v>200</v>
      </c>
      <c r="M6" s="233"/>
      <c r="N6" s="755"/>
      <c r="O6" s="755">
        <f>+L6</f>
        <v>200</v>
      </c>
      <c r="P6" s="792">
        <f t="shared" ref="P6:P37" si="0">+K6-L6+N6</f>
        <v>332</v>
      </c>
      <c r="Q6" s="138">
        <f>C6</f>
        <v>1000</v>
      </c>
      <c r="R6" s="756">
        <f t="shared" ref="R6:R37" si="1">IF(O6&gt;0,O6,NA())</f>
        <v>200</v>
      </c>
      <c r="S6" s="756">
        <f>C6-G6-O6</f>
        <v>350</v>
      </c>
      <c r="T6" s="756">
        <f t="shared" ref="T6:T37" si="2">IF(AND(S6&lt;0,B6&lt;=term),1,0)</f>
        <v>0</v>
      </c>
      <c r="U6" s="757">
        <f>S6</f>
        <v>350</v>
      </c>
      <c r="V6" s="254"/>
      <c r="W6" s="1" t="s">
        <v>17</v>
      </c>
      <c r="AA6" t="s">
        <v>0</v>
      </c>
      <c r="AB6" t="s">
        <v>1</v>
      </c>
    </row>
    <row r="7" spans="2:28">
      <c r="B7" s="392">
        <v>1</v>
      </c>
      <c r="C7" s="794">
        <f t="shared" ref="C7:C38" si="3">IF(C6-D7&gt;1,ROUND(+C6-D7,2),0)</f>
        <v>916.67</v>
      </c>
      <c r="D7" s="233">
        <f>IF(AND(B7&gt;='Client Cost HIDE'!$D$152,B7&lt;='Client Cost HIDE'!$B$14),IF(amortized=1,'Client Cost HIDE'!$B$12/'Client Cost HIDE'!$D$151,-PPMT('Client Cost HIDE'!$B$172,$B7-'Client Cost HIDE'!$D$152+1,'Client Cost HIDE'!$D$151,'Client Cost HIDE'!$B$12)),0)</f>
        <v>83.333333333333329</v>
      </c>
      <c r="E7" s="758">
        <f>IF(OR('Client Cost HIDE'!$E$152&gt;B7,C6&lt;1),0,AB7)</f>
        <v>3.3333333333333335</v>
      </c>
      <c r="F7" s="233">
        <f>IF(indexing,D7*(1+'Client Cost HIDE'!$B$175)^(B7-$B$6)-D7,0)</f>
        <v>0</v>
      </c>
      <c r="G7" s="233">
        <f>IF('Client Cost HIDE'!$C$32&lt;1,'Client Cost HIDE'!$C$32*D7,IF(C6&gt;1,'Client Cost HIDE'!$C$32,0))</f>
        <v>0</v>
      </c>
      <c r="H7" s="233">
        <f>SUM(E7:G7)*'Client Cost HIDE'!$B$28</f>
        <v>0.13333333333333333</v>
      </c>
      <c r="I7" s="791">
        <f t="shared" ref="I7:I38" si="4">-D7-E7-F7</f>
        <v>-86.666666666666657</v>
      </c>
      <c r="J7" s="752">
        <f t="shared" ref="J7:J38" si="5">-D7-E7-F7-G7</f>
        <v>-86.666666666666657</v>
      </c>
      <c r="K7" s="753">
        <f t="shared" ref="K7:K38" si="6">-D7-E7-F7-G7-H7</f>
        <v>-86.8</v>
      </c>
      <c r="L7" s="754">
        <f>IF('Client Cost HIDE'!$C$39&lt;1,'Client Cost HIDE'!$C$39*D7,IF(C7&gt;1,'Client Cost HIDE'!$C$39,0))</f>
        <v>0</v>
      </c>
      <c r="M7" s="233">
        <f>IF(O6&gt;0,O6*'Client Cost HIDE'!$A$177,0)</f>
        <v>3.8333333333333339</v>
      </c>
      <c r="N7" s="755">
        <f>IF('Client Cost HIDE'!$B$14=B7,O6+L7+M7,0)</f>
        <v>0</v>
      </c>
      <c r="O7" s="755">
        <f t="shared" ref="O7:O38" si="7">+O6+L7+M7-N7</f>
        <v>203.83333333333334</v>
      </c>
      <c r="P7" s="792">
        <f t="shared" si="0"/>
        <v>-86.8</v>
      </c>
      <c r="Q7" s="138">
        <f>IF(int_method=1,'Rep Schedule - Basic'!Q6,'Rep Schedule - Basic'!C7)</f>
        <v>916.67</v>
      </c>
      <c r="R7" s="759">
        <f t="shared" si="1"/>
        <v>203.83333333333334</v>
      </c>
      <c r="S7" s="759">
        <f>IF(C7=0,0,C7-SUM($G$6:G7)-O6)</f>
        <v>266.66999999999996</v>
      </c>
      <c r="T7" s="759">
        <f t="shared" si="2"/>
        <v>0</v>
      </c>
      <c r="U7" s="760">
        <f t="shared" ref="U7:U38" si="8">U6+S7</f>
        <v>616.66999999999996</v>
      </c>
      <c r="V7" s="254"/>
      <c r="W7" s="1" t="s">
        <v>17</v>
      </c>
      <c r="AA7" s="15">
        <f>IF(C6&gt;1,IF(int_method=2,'Client Cost HIDE'!$B$172*C6,'Client Cost HIDE'!$B$172*'Client Cost HIDE'!$B$12),0)</f>
        <v>3.3333333333333335</v>
      </c>
      <c r="AB7" s="5">
        <f>IF(B7&gt;'Client Cost HIDE'!$B$22,AA7,0)</f>
        <v>3.3333333333333335</v>
      </c>
    </row>
    <row r="8" spans="2:28">
      <c r="B8" s="392">
        <v>2</v>
      </c>
      <c r="C8" s="794">
        <f t="shared" si="3"/>
        <v>833.34</v>
      </c>
      <c r="D8" s="233">
        <f>IF(AND(B8&gt;='Client Cost HIDE'!$D$152,B8&lt;='Client Cost HIDE'!$B$14),IF(amortized=1,'Client Cost HIDE'!$B$12/'Client Cost HIDE'!$D$151,-PPMT('Client Cost HIDE'!$B$172,$B8-'Client Cost HIDE'!$D$152+1,'Client Cost HIDE'!$D$151,'Client Cost HIDE'!$B$12)),0)</f>
        <v>83.333333333333329</v>
      </c>
      <c r="E8" s="758">
        <f>IF(OR('Client Cost HIDE'!$E$152&gt;B8,C7&lt;1),0,AB8)</f>
        <v>3.0555666666666661</v>
      </c>
      <c r="F8" s="233">
        <f>IF(indexing,D8*(1+'Client Cost HIDE'!$B$175)^(B8-$B$6)-D8,0)</f>
        <v>0</v>
      </c>
      <c r="G8" s="233">
        <f>IF('Client Cost HIDE'!$C$32&lt;1,'Client Cost HIDE'!$C$32*D8,IF(C7&gt;1,'Client Cost HIDE'!$C$32,0))</f>
        <v>0</v>
      </c>
      <c r="H8" s="233">
        <f>SUM(E8:G8)*'Client Cost HIDE'!$B$28</f>
        <v>0.12222266666666665</v>
      </c>
      <c r="I8" s="791">
        <f t="shared" si="4"/>
        <v>-86.388899999999992</v>
      </c>
      <c r="J8" s="752">
        <f t="shared" si="5"/>
        <v>-86.388899999999992</v>
      </c>
      <c r="K8" s="753">
        <f t="shared" si="6"/>
        <v>-86.511122666666665</v>
      </c>
      <c r="L8" s="754">
        <f>IF('Client Cost HIDE'!$C$39&lt;1,'Client Cost HIDE'!$C$39*D8,IF(C8&gt;1,'Client Cost HIDE'!$C$39,0))</f>
        <v>0</v>
      </c>
      <c r="M8" s="233">
        <f>IF(O7&gt;0,O7*'Client Cost HIDE'!$A$177,0)</f>
        <v>3.9068055555555561</v>
      </c>
      <c r="N8" s="755">
        <f>IF('Client Cost HIDE'!$B$14=B8,O7+L8+M8,0)</f>
        <v>0</v>
      </c>
      <c r="O8" s="755">
        <f t="shared" si="7"/>
        <v>207.74013888888891</v>
      </c>
      <c r="P8" s="792">
        <f t="shared" si="0"/>
        <v>-86.511122666666665</v>
      </c>
      <c r="Q8" s="138">
        <f>IF(int_method=1,'Rep Schedule - Basic'!Q7,'Rep Schedule - Basic'!C8)</f>
        <v>833.34</v>
      </c>
      <c r="R8" s="759">
        <f t="shared" si="1"/>
        <v>207.74013888888891</v>
      </c>
      <c r="S8" s="759">
        <f>IF(C8=0,0,C8-SUM($G$6:G8)-O7)</f>
        <v>179.50666666666669</v>
      </c>
      <c r="T8" s="759">
        <f t="shared" si="2"/>
        <v>0</v>
      </c>
      <c r="U8" s="760">
        <f t="shared" si="8"/>
        <v>796.17666666666662</v>
      </c>
      <c r="V8" s="254"/>
      <c r="W8" s="1" t="str">
        <f t="shared" ref="W8:W39" si="9">IF(B8&lt;=term,"x",TRUE)</f>
        <v>x</v>
      </c>
      <c r="AA8" s="15">
        <f>IF(C7&gt;1,IF(int_method=2,'Client Cost HIDE'!$B$172*C7,'Client Cost HIDE'!$B$172*'Client Cost HIDE'!$B$12),0)</f>
        <v>3.0555666666666665</v>
      </c>
      <c r="AB8" s="5">
        <f>IF(B8&gt;'Client Cost HIDE'!$B$22,AA8,0)+AB7-E7</f>
        <v>3.0555666666666661</v>
      </c>
    </row>
    <row r="9" spans="2:28">
      <c r="B9" s="392">
        <v>3</v>
      </c>
      <c r="C9" s="794">
        <f t="shared" si="3"/>
        <v>750.01</v>
      </c>
      <c r="D9" s="233">
        <f>IF(AND(B9&gt;='Client Cost HIDE'!$D$152,B9&lt;='Client Cost HIDE'!$B$14),IF(amortized=1,'Client Cost HIDE'!$B$12/'Client Cost HIDE'!$D$151,-PPMT('Client Cost HIDE'!$B$172,$B9-'Client Cost HIDE'!$D$152+1,'Client Cost HIDE'!$D$151,'Client Cost HIDE'!$B$12)),0)</f>
        <v>83.333333333333329</v>
      </c>
      <c r="E9" s="758">
        <f>IF(OR('Client Cost HIDE'!$E$152&gt;B9,C8&lt;1),0,AB9)</f>
        <v>2.7778000000000005</v>
      </c>
      <c r="F9" s="233">
        <f>IF(indexing,D9*(1+'Client Cost HIDE'!$B$175)^(B9-$B$6)-D9,0)</f>
        <v>0</v>
      </c>
      <c r="G9" s="233">
        <f>IF('Client Cost HIDE'!$C$32&lt;1,'Client Cost HIDE'!$C$32*D9,IF(C8&gt;1,'Client Cost HIDE'!$C$32,0))</f>
        <v>0</v>
      </c>
      <c r="H9" s="233">
        <f>SUM(E9:G9)*'Client Cost HIDE'!$B$28</f>
        <v>0.11111200000000002</v>
      </c>
      <c r="I9" s="791">
        <f t="shared" si="4"/>
        <v>-86.111133333333328</v>
      </c>
      <c r="J9" s="752">
        <f t="shared" si="5"/>
        <v>-86.111133333333328</v>
      </c>
      <c r="K9" s="753">
        <f t="shared" si="6"/>
        <v>-86.222245333333333</v>
      </c>
      <c r="L9" s="754">
        <f>IF('Client Cost HIDE'!$C$39&lt;1,'Client Cost HIDE'!$C$39*D9,IF(C9&gt;1,'Client Cost HIDE'!$C$39,0))</f>
        <v>0</v>
      </c>
      <c r="M9" s="233">
        <f>IF(O8&gt;0,O8*'Client Cost HIDE'!$A$177,0)</f>
        <v>3.9816859953703712</v>
      </c>
      <c r="N9" s="755">
        <f>IF('Client Cost HIDE'!$B$14=B9,O8+L9+M9,0)</f>
        <v>0</v>
      </c>
      <c r="O9" s="755">
        <f t="shared" si="7"/>
        <v>211.72182488425929</v>
      </c>
      <c r="P9" s="792">
        <f t="shared" si="0"/>
        <v>-86.222245333333333</v>
      </c>
      <c r="Q9" s="138">
        <f>IF(int_method=1,'Rep Schedule - Basic'!Q8,'Rep Schedule - Basic'!C9)</f>
        <v>750.01</v>
      </c>
      <c r="R9" s="759">
        <f t="shared" si="1"/>
        <v>211.72182488425929</v>
      </c>
      <c r="S9" s="759">
        <f>IF(C9=0,0,C9-SUM($G$6:G9)-O8)</f>
        <v>92.269861111111084</v>
      </c>
      <c r="T9" s="759">
        <f t="shared" si="2"/>
        <v>0</v>
      </c>
      <c r="U9" s="760">
        <f t="shared" si="8"/>
        <v>888.44652777777765</v>
      </c>
      <c r="V9" s="254"/>
      <c r="W9" s="1" t="str">
        <f t="shared" si="9"/>
        <v>x</v>
      </c>
      <c r="AA9" s="15">
        <f>IF(C8&gt;1,IF(int_method=2,'Client Cost HIDE'!$B$172*C8,'Client Cost HIDE'!$B$172*'Client Cost HIDE'!$B$12),0)</f>
        <v>2.7778000000000005</v>
      </c>
      <c r="AB9" s="5">
        <f>IF(B9&gt;'Client Cost HIDE'!$B$22,AA9,0)+AB8-E8</f>
        <v>2.7778000000000005</v>
      </c>
    </row>
    <row r="10" spans="2:28">
      <c r="B10" s="392">
        <v>4</v>
      </c>
      <c r="C10" s="794">
        <f t="shared" si="3"/>
        <v>666.68</v>
      </c>
      <c r="D10" s="233">
        <f>IF(AND(B10&gt;='Client Cost HIDE'!$D$152,B10&lt;='Client Cost HIDE'!$B$14),IF(amortized=1,'Client Cost HIDE'!$B$12/'Client Cost HIDE'!$D$151,-PPMT('Client Cost HIDE'!$B$172,$B10-'Client Cost HIDE'!$D$152+1,'Client Cost HIDE'!$D$151,'Client Cost HIDE'!$B$12)),0)</f>
        <v>83.333333333333329</v>
      </c>
      <c r="E10" s="758">
        <f>IF(OR('Client Cost HIDE'!$E$152&gt;B10,C9&lt;1),0,AB10)</f>
        <v>2.5000333333333331</v>
      </c>
      <c r="F10" s="233">
        <f>IF(indexing,D10*(1+'Client Cost HIDE'!$B$175)^(B10-$B$6)-D10,0)</f>
        <v>0</v>
      </c>
      <c r="G10" s="233">
        <f>IF('Client Cost HIDE'!$C$32&lt;1,'Client Cost HIDE'!$C$32*D10,IF(C9&gt;1,'Client Cost HIDE'!$C$32,0))</f>
        <v>0</v>
      </c>
      <c r="H10" s="233">
        <f>SUM(E10:G10)*'Client Cost HIDE'!$B$28</f>
        <v>0.10000133333333333</v>
      </c>
      <c r="I10" s="791">
        <f t="shared" si="4"/>
        <v>-85.833366666666663</v>
      </c>
      <c r="J10" s="752">
        <f t="shared" si="5"/>
        <v>-85.833366666666663</v>
      </c>
      <c r="K10" s="753">
        <f t="shared" si="6"/>
        <v>-85.933368000000002</v>
      </c>
      <c r="L10" s="754">
        <f>IF('Client Cost HIDE'!$C$39&lt;1,'Client Cost HIDE'!$C$39*D10,IF(C10&gt;1,'Client Cost HIDE'!$C$39,0))</f>
        <v>0</v>
      </c>
      <c r="M10" s="233">
        <f>IF(O9&gt;0,O9*'Client Cost HIDE'!$A$177,0)</f>
        <v>4.0580016436149702</v>
      </c>
      <c r="N10" s="755">
        <f>IF('Client Cost HIDE'!$B$14=B10,O9+L10+M10,0)</f>
        <v>0</v>
      </c>
      <c r="O10" s="755">
        <f t="shared" si="7"/>
        <v>215.77982652787426</v>
      </c>
      <c r="P10" s="792">
        <f t="shared" si="0"/>
        <v>-85.933368000000002</v>
      </c>
      <c r="Q10" s="138">
        <f>IF(int_method=1,'Rep Schedule - Basic'!Q9,'Rep Schedule - Basic'!C10)</f>
        <v>666.68</v>
      </c>
      <c r="R10" s="759">
        <f t="shared" si="1"/>
        <v>215.77982652787426</v>
      </c>
      <c r="S10" s="759">
        <f>IF(C10=0,0,C10-SUM($G$6:G10)-O9)</f>
        <v>4.9581751157406586</v>
      </c>
      <c r="T10" s="759">
        <f t="shared" si="2"/>
        <v>0</v>
      </c>
      <c r="U10" s="760">
        <f t="shared" si="8"/>
        <v>893.40470289351833</v>
      </c>
      <c r="V10" s="254"/>
      <c r="W10" s="1" t="str">
        <f t="shared" si="9"/>
        <v>x</v>
      </c>
      <c r="AA10" s="15">
        <f>IF(C9&gt;1,IF(int_method=2,'Client Cost HIDE'!$B$172*C9,'Client Cost HIDE'!$B$172*'Client Cost HIDE'!$B$12),0)</f>
        <v>2.5000333333333336</v>
      </c>
      <c r="AB10" s="5">
        <f>IF(B10&gt;'Client Cost HIDE'!$B$22,AA10,0)+AB9-E9</f>
        <v>2.5000333333333331</v>
      </c>
    </row>
    <row r="11" spans="2:28">
      <c r="B11" s="392">
        <v>5</v>
      </c>
      <c r="C11" s="794">
        <f t="shared" si="3"/>
        <v>583.35</v>
      </c>
      <c r="D11" s="233">
        <f>IF(AND(B11&gt;='Client Cost HIDE'!$D$152,B11&lt;='Client Cost HIDE'!$B$14),IF(amortized=1,'Client Cost HIDE'!$B$12/'Client Cost HIDE'!$D$151,-PPMT('Client Cost HIDE'!$B$172,$B11-'Client Cost HIDE'!$D$152+1,'Client Cost HIDE'!$D$151,'Client Cost HIDE'!$B$12)),0)</f>
        <v>83.333333333333329</v>
      </c>
      <c r="E11" s="758">
        <f>IF(OR('Client Cost HIDE'!$E$152&gt;B11,C10&lt;1),0,AB11)</f>
        <v>2.2222666666666666</v>
      </c>
      <c r="F11" s="233">
        <f>IF(indexing,D11*(1+'Client Cost HIDE'!$B$175)^(B11-$B$6)-D11,0)</f>
        <v>0</v>
      </c>
      <c r="G11" s="233">
        <f>IF('Client Cost HIDE'!$C$32&lt;1,'Client Cost HIDE'!$C$32*D11,IF(C10&gt;1,'Client Cost HIDE'!$C$32,0))</f>
        <v>0</v>
      </c>
      <c r="H11" s="233">
        <f>SUM(E11:G11)*'Client Cost HIDE'!$B$28</f>
        <v>8.889066666666666E-2</v>
      </c>
      <c r="I11" s="791">
        <f t="shared" si="4"/>
        <v>-85.555599999999998</v>
      </c>
      <c r="J11" s="752">
        <f t="shared" si="5"/>
        <v>-85.555599999999998</v>
      </c>
      <c r="K11" s="753">
        <f t="shared" si="6"/>
        <v>-85.64449066666667</v>
      </c>
      <c r="L11" s="754">
        <f>IF('Client Cost HIDE'!$C$39&lt;1,'Client Cost HIDE'!$C$39*D11,IF(C11&gt;1,'Client Cost HIDE'!$C$39,0))</f>
        <v>0</v>
      </c>
      <c r="M11" s="233">
        <f>IF(O10&gt;0,O10*'Client Cost HIDE'!$A$177,0)</f>
        <v>4.135780008450924</v>
      </c>
      <c r="N11" s="755">
        <f>IF('Client Cost HIDE'!$B$14=B11,O10+L11+M11,0)</f>
        <v>0</v>
      </c>
      <c r="O11" s="755">
        <f t="shared" si="7"/>
        <v>219.91560653632519</v>
      </c>
      <c r="P11" s="792">
        <f t="shared" si="0"/>
        <v>-85.64449066666667</v>
      </c>
      <c r="Q11" s="138">
        <f>IF(int_method=1,'Rep Schedule - Basic'!Q10,'Rep Schedule - Basic'!C11)</f>
        <v>583.35</v>
      </c>
      <c r="R11" s="759">
        <f t="shared" si="1"/>
        <v>219.91560653632519</v>
      </c>
      <c r="S11" s="759">
        <f>IF(C11=0,0,C11-SUM($G$6:G11)-O10)</f>
        <v>-82.429826527874241</v>
      </c>
      <c r="T11" s="759">
        <f t="shared" si="2"/>
        <v>1</v>
      </c>
      <c r="U11" s="760">
        <f t="shared" si="8"/>
        <v>810.97487636564415</v>
      </c>
      <c r="V11" s="254"/>
      <c r="W11" s="1" t="str">
        <f t="shared" si="9"/>
        <v>x</v>
      </c>
      <c r="AA11" s="15">
        <f>IF(C10&gt;1,IF(int_method=2,'Client Cost HIDE'!$B$172*C10,'Client Cost HIDE'!$B$172*'Client Cost HIDE'!$B$12),0)</f>
        <v>2.2222666666666666</v>
      </c>
      <c r="AB11" s="5">
        <f>IF(B11&gt;'Client Cost HIDE'!$B$22,AA11,0)+AB10-E10</f>
        <v>2.2222666666666666</v>
      </c>
    </row>
    <row r="12" spans="2:28">
      <c r="B12" s="392">
        <v>6</v>
      </c>
      <c r="C12" s="794">
        <f t="shared" si="3"/>
        <v>500.02</v>
      </c>
      <c r="D12" s="233">
        <f>IF(AND(B12&gt;='Client Cost HIDE'!$D$152,B12&lt;='Client Cost HIDE'!$B$14),IF(amortized=1,'Client Cost HIDE'!$B$12/'Client Cost HIDE'!$D$151,-PPMT('Client Cost HIDE'!$B$172,$B12-'Client Cost HIDE'!$D$152+1,'Client Cost HIDE'!$D$151,'Client Cost HIDE'!$B$12)),0)</f>
        <v>83.333333333333329</v>
      </c>
      <c r="E12" s="758">
        <f>IF(OR('Client Cost HIDE'!$E$152&gt;B12,C11&lt;1),0,AB12)</f>
        <v>1.9445000000000001</v>
      </c>
      <c r="F12" s="233">
        <f>IF(indexing,D12*(1+'Client Cost HIDE'!$B$175)^(B12-$B$6)-D12,0)</f>
        <v>0</v>
      </c>
      <c r="G12" s="233">
        <f>IF('Client Cost HIDE'!$C$32&lt;1,'Client Cost HIDE'!$C$32*D12,IF(C11&gt;1,'Client Cost HIDE'!$C$32,0))</f>
        <v>0</v>
      </c>
      <c r="H12" s="233">
        <f>SUM(E12:G12)*'Client Cost HIDE'!$B$28</f>
        <v>7.7780000000000002E-2</v>
      </c>
      <c r="I12" s="791">
        <f t="shared" si="4"/>
        <v>-85.277833333333334</v>
      </c>
      <c r="J12" s="752">
        <f t="shared" si="5"/>
        <v>-85.277833333333334</v>
      </c>
      <c r="K12" s="753">
        <f t="shared" si="6"/>
        <v>-85.355613333333338</v>
      </c>
      <c r="L12" s="754">
        <f>IF('Client Cost HIDE'!$C$39&lt;1,'Client Cost HIDE'!$C$39*D12,IF(C12&gt;1,'Client Cost HIDE'!$C$39,0))</f>
        <v>0</v>
      </c>
      <c r="M12" s="233">
        <f>IF(O11&gt;0,O11*'Client Cost HIDE'!$A$177,0)</f>
        <v>4.2150491252795668</v>
      </c>
      <c r="N12" s="755">
        <f>IF('Client Cost HIDE'!$B$14=B12,O11+L12+M12,0)</f>
        <v>0</v>
      </c>
      <c r="O12" s="755">
        <f t="shared" si="7"/>
        <v>224.13065566160475</v>
      </c>
      <c r="P12" s="792">
        <f t="shared" si="0"/>
        <v>-85.355613333333338</v>
      </c>
      <c r="Q12" s="138">
        <f>IF(int_method=1,'Rep Schedule - Basic'!Q11,'Rep Schedule - Basic'!C12)</f>
        <v>500.02</v>
      </c>
      <c r="R12" s="759">
        <f t="shared" si="1"/>
        <v>224.13065566160475</v>
      </c>
      <c r="S12" s="759">
        <f>IF(C12=0,0,C12-SUM($G$6:G12)-O11)</f>
        <v>-169.8956065363252</v>
      </c>
      <c r="T12" s="759">
        <f t="shared" si="2"/>
        <v>1</v>
      </c>
      <c r="U12" s="760">
        <f t="shared" si="8"/>
        <v>641.07926982931895</v>
      </c>
      <c r="V12" s="254"/>
      <c r="W12" s="1" t="str">
        <f t="shared" si="9"/>
        <v>x</v>
      </c>
      <c r="AA12" s="15">
        <f>IF(C11&gt;1,IF(int_method=2,'Client Cost HIDE'!$B$172*C11,'Client Cost HIDE'!$B$172*'Client Cost HIDE'!$B$12),0)</f>
        <v>1.9445000000000001</v>
      </c>
      <c r="AB12" s="5">
        <f>IF(B12&gt;'Client Cost HIDE'!$B$22,AA12,0)+AB11-E11</f>
        <v>1.9445000000000001</v>
      </c>
    </row>
    <row r="13" spans="2:28">
      <c r="B13" s="392">
        <v>7</v>
      </c>
      <c r="C13" s="794">
        <f t="shared" si="3"/>
        <v>416.69</v>
      </c>
      <c r="D13" s="233">
        <f>IF(AND(B13&gt;='Client Cost HIDE'!$D$152,B13&lt;='Client Cost HIDE'!$B$14),IF(amortized=1,'Client Cost HIDE'!$B$12/'Client Cost HIDE'!$D$151,-PPMT('Client Cost HIDE'!$B$172,$B13-'Client Cost HIDE'!$D$152+1,'Client Cost HIDE'!$D$151,'Client Cost HIDE'!$B$12)),0)</f>
        <v>83.333333333333329</v>
      </c>
      <c r="E13" s="758">
        <f>IF(OR('Client Cost HIDE'!$E$152&gt;B13,C12&lt;1),0,AB13)</f>
        <v>1.6667333333333336</v>
      </c>
      <c r="F13" s="233">
        <f>IF(indexing,D13*(1+'Client Cost HIDE'!$B$175)^(B13-$B$6)-D13,0)</f>
        <v>0</v>
      </c>
      <c r="G13" s="233">
        <f>IF('Client Cost HIDE'!$C$32&lt;1,'Client Cost HIDE'!$C$32*D13,IF(C12&gt;1,'Client Cost HIDE'!$C$32,0))</f>
        <v>0</v>
      </c>
      <c r="H13" s="233">
        <f>SUM(E13:G13)*'Client Cost HIDE'!$B$28</f>
        <v>6.6669333333333344E-2</v>
      </c>
      <c r="I13" s="791">
        <f t="shared" si="4"/>
        <v>-85.000066666666669</v>
      </c>
      <c r="J13" s="752">
        <f t="shared" si="5"/>
        <v>-85.000066666666669</v>
      </c>
      <c r="K13" s="753">
        <f t="shared" si="6"/>
        <v>-85.066736000000006</v>
      </c>
      <c r="L13" s="754">
        <f>IF('Client Cost HIDE'!$C$39&lt;1,'Client Cost HIDE'!$C$39*D13,IF(C13&gt;1,'Client Cost HIDE'!$C$39,0))</f>
        <v>0</v>
      </c>
      <c r="M13" s="233">
        <f>IF(O12&gt;0,O12*'Client Cost HIDE'!$A$177,0)</f>
        <v>4.2958375668474247</v>
      </c>
      <c r="N13" s="755">
        <f>IF('Client Cost HIDE'!$B$14=B13,O12+L13+M13,0)</f>
        <v>0</v>
      </c>
      <c r="O13" s="755">
        <f t="shared" si="7"/>
        <v>228.42649322845216</v>
      </c>
      <c r="P13" s="792">
        <f t="shared" si="0"/>
        <v>-85.066736000000006</v>
      </c>
      <c r="Q13" s="138">
        <f>IF(int_method=1,'Rep Schedule - Basic'!Q12,'Rep Schedule - Basic'!C13)</f>
        <v>416.69</v>
      </c>
      <c r="R13" s="759">
        <f t="shared" si="1"/>
        <v>228.42649322845216</v>
      </c>
      <c r="S13" s="759">
        <f>IF(C13=0,0,C13-SUM($G$6:G13)-O12)</f>
        <v>-257.44065566160475</v>
      </c>
      <c r="T13" s="759">
        <f t="shared" si="2"/>
        <v>1</v>
      </c>
      <c r="U13" s="760">
        <f t="shared" si="8"/>
        <v>383.63861416771419</v>
      </c>
      <c r="V13" s="254"/>
      <c r="W13" s="1" t="str">
        <f t="shared" si="9"/>
        <v>x</v>
      </c>
      <c r="AA13" s="15">
        <f>IF(C12&gt;1,IF(int_method=2,'Client Cost HIDE'!$B$172*C12,'Client Cost HIDE'!$B$172*'Client Cost HIDE'!$B$12),0)</f>
        <v>1.6667333333333334</v>
      </c>
      <c r="AB13" s="5">
        <f>IF(B13&gt;'Client Cost HIDE'!$B$22,AA13,0)+AB12-E12</f>
        <v>1.6667333333333336</v>
      </c>
    </row>
    <row r="14" spans="2:28">
      <c r="B14" s="392">
        <v>8</v>
      </c>
      <c r="C14" s="794">
        <f t="shared" si="3"/>
        <v>333.36</v>
      </c>
      <c r="D14" s="233">
        <f>IF(AND(B14&gt;='Client Cost HIDE'!$D$152,B14&lt;='Client Cost HIDE'!$B$14),IF(amortized=1,'Client Cost HIDE'!$B$12/'Client Cost HIDE'!$D$151,-PPMT('Client Cost HIDE'!$B$172,$B14-'Client Cost HIDE'!$D$152+1,'Client Cost HIDE'!$D$151,'Client Cost HIDE'!$B$12)),0)</f>
        <v>83.333333333333329</v>
      </c>
      <c r="E14" s="758">
        <f>IF(OR('Client Cost HIDE'!$E$152&gt;B14,C13&lt;1),0,AB14)</f>
        <v>1.3889666666666667</v>
      </c>
      <c r="F14" s="233">
        <f>IF(indexing,D14*(1+'Client Cost HIDE'!$B$175)^(B14-$B$6)-D14,0)</f>
        <v>0</v>
      </c>
      <c r="G14" s="233">
        <f>IF('Client Cost HIDE'!$C$32&lt;1,'Client Cost HIDE'!$C$32*D14,IF(C13&gt;1,'Client Cost HIDE'!$C$32,0))</f>
        <v>0</v>
      </c>
      <c r="H14" s="233">
        <f>SUM(E14:G14)*'Client Cost HIDE'!$B$28</f>
        <v>5.5558666666666666E-2</v>
      </c>
      <c r="I14" s="791">
        <f t="shared" si="4"/>
        <v>-84.72229999999999</v>
      </c>
      <c r="J14" s="752">
        <f t="shared" si="5"/>
        <v>-84.72229999999999</v>
      </c>
      <c r="K14" s="753">
        <f t="shared" si="6"/>
        <v>-84.77785866666666</v>
      </c>
      <c r="L14" s="754">
        <f>IF('Client Cost HIDE'!$C$39&lt;1,'Client Cost HIDE'!$C$39*D14,IF(C14&gt;1,'Client Cost HIDE'!$C$39,0))</f>
        <v>0</v>
      </c>
      <c r="M14" s="233">
        <f>IF(O13&gt;0,O13*'Client Cost HIDE'!$A$177,0)</f>
        <v>4.3781744535453333</v>
      </c>
      <c r="N14" s="755">
        <f>IF('Client Cost HIDE'!$B$14=B14,O13+L14+M14,0)</f>
        <v>0</v>
      </c>
      <c r="O14" s="755">
        <f t="shared" si="7"/>
        <v>232.8046676819975</v>
      </c>
      <c r="P14" s="792">
        <f t="shared" si="0"/>
        <v>-84.77785866666666</v>
      </c>
      <c r="Q14" s="138">
        <f>IF(int_method=1,'Rep Schedule - Basic'!Q13,'Rep Schedule - Basic'!C14)</f>
        <v>333.36</v>
      </c>
      <c r="R14" s="759">
        <f t="shared" si="1"/>
        <v>232.8046676819975</v>
      </c>
      <c r="S14" s="759">
        <f>IF(C14=0,0,C14-SUM($G$6:G14)-O13)</f>
        <v>-345.06649322845215</v>
      </c>
      <c r="T14" s="759">
        <f t="shared" si="2"/>
        <v>1</v>
      </c>
      <c r="U14" s="760">
        <f t="shared" si="8"/>
        <v>38.572120939262049</v>
      </c>
      <c r="V14" s="254"/>
      <c r="W14" s="1" t="str">
        <f t="shared" si="9"/>
        <v>x</v>
      </c>
      <c r="AA14" s="15">
        <f>IF(C13&gt;1,IF(int_method=2,'Client Cost HIDE'!$B$172*C13,'Client Cost HIDE'!$B$172*'Client Cost HIDE'!$B$12),0)</f>
        <v>1.3889666666666667</v>
      </c>
      <c r="AB14" s="5">
        <f>IF(B14&gt;'Client Cost HIDE'!$B$22,AA14,0)+AB13-E13</f>
        <v>1.3889666666666667</v>
      </c>
    </row>
    <row r="15" spans="2:28">
      <c r="B15" s="392">
        <v>9</v>
      </c>
      <c r="C15" s="794">
        <f t="shared" si="3"/>
        <v>250.03</v>
      </c>
      <c r="D15" s="233">
        <f>IF(AND(B15&gt;='Client Cost HIDE'!$D$152,B15&lt;='Client Cost HIDE'!$B$14),IF(amortized=1,'Client Cost HIDE'!$B$12/'Client Cost HIDE'!$D$151,-PPMT('Client Cost HIDE'!$B$172,$B15-'Client Cost HIDE'!$D$152+1,'Client Cost HIDE'!$D$151,'Client Cost HIDE'!$B$12)),0)</f>
        <v>83.333333333333329</v>
      </c>
      <c r="E15" s="758">
        <f>IF(OR('Client Cost HIDE'!$E$152&gt;B15,C14&lt;1),0,AB15)</f>
        <v>1.1112000000000002</v>
      </c>
      <c r="F15" s="233">
        <f>IF(indexing,D15*(1+'Client Cost HIDE'!$B$175)^(B15-$B$6)-D15,0)</f>
        <v>0</v>
      </c>
      <c r="G15" s="233">
        <f>IF('Client Cost HIDE'!$C$32&lt;1,'Client Cost HIDE'!$C$32*D15,IF(C14&gt;1,'Client Cost HIDE'!$C$32,0))</f>
        <v>0</v>
      </c>
      <c r="H15" s="233">
        <f>SUM(E15:G15)*'Client Cost HIDE'!$B$28</f>
        <v>4.4448000000000008E-2</v>
      </c>
      <c r="I15" s="791">
        <f t="shared" si="4"/>
        <v>-84.444533333333325</v>
      </c>
      <c r="J15" s="752">
        <f t="shared" si="5"/>
        <v>-84.444533333333325</v>
      </c>
      <c r="K15" s="753">
        <f t="shared" si="6"/>
        <v>-84.488981333333328</v>
      </c>
      <c r="L15" s="754">
        <f>IF('Client Cost HIDE'!$C$39&lt;1,'Client Cost HIDE'!$C$39*D15,IF(C15&gt;1,'Client Cost HIDE'!$C$39,0))</f>
        <v>0</v>
      </c>
      <c r="M15" s="233">
        <f>IF(O14&gt;0,O14*'Client Cost HIDE'!$A$177,0)</f>
        <v>4.4620894639049524</v>
      </c>
      <c r="N15" s="755">
        <f>IF('Client Cost HIDE'!$B$14=B15,O14+L15+M15,0)</f>
        <v>0</v>
      </c>
      <c r="O15" s="755">
        <f t="shared" si="7"/>
        <v>237.26675714590246</v>
      </c>
      <c r="P15" s="792">
        <f t="shared" si="0"/>
        <v>-84.488981333333328</v>
      </c>
      <c r="Q15" s="138">
        <f>IF(int_method=1,'Rep Schedule - Basic'!Q14,'Rep Schedule - Basic'!C15)</f>
        <v>250.03</v>
      </c>
      <c r="R15" s="759">
        <f t="shared" si="1"/>
        <v>237.26675714590246</v>
      </c>
      <c r="S15" s="759">
        <f>IF(C15=0,0,C15-SUM($G$6:G15)-O14)</f>
        <v>-432.77466768199747</v>
      </c>
      <c r="T15" s="759">
        <f t="shared" si="2"/>
        <v>1</v>
      </c>
      <c r="U15" s="760">
        <f t="shared" si="8"/>
        <v>-394.20254674273542</v>
      </c>
      <c r="V15" s="254"/>
      <c r="W15" s="1" t="str">
        <f t="shared" si="9"/>
        <v>x</v>
      </c>
      <c r="AA15" s="15">
        <f>IF(C14&gt;1,IF(int_method=2,'Client Cost HIDE'!$B$172*C14,'Client Cost HIDE'!$B$172*'Client Cost HIDE'!$B$12),0)</f>
        <v>1.1112000000000002</v>
      </c>
      <c r="AB15" s="5">
        <f>IF(B15&gt;'Client Cost HIDE'!$B$22,AA15,0)+AB14-E14</f>
        <v>1.1112000000000002</v>
      </c>
    </row>
    <row r="16" spans="2:28">
      <c r="B16" s="392">
        <v>10</v>
      </c>
      <c r="C16" s="794">
        <f t="shared" si="3"/>
        <v>166.7</v>
      </c>
      <c r="D16" s="233">
        <f>IF(AND(B16&gt;='Client Cost HIDE'!$D$152,B16&lt;='Client Cost HIDE'!$B$14),IF(amortized=1,'Client Cost HIDE'!$B$12/'Client Cost HIDE'!$D$151,-PPMT('Client Cost HIDE'!$B$172,$B16-'Client Cost HIDE'!$D$152+1,'Client Cost HIDE'!$D$151,'Client Cost HIDE'!$B$12)),0)</f>
        <v>83.333333333333329</v>
      </c>
      <c r="E16" s="758">
        <f>IF(OR('Client Cost HIDE'!$E$152&gt;B16,C15&lt;1),0,AB16)</f>
        <v>0.83343333333333325</v>
      </c>
      <c r="F16" s="233">
        <f>IF(indexing,D16*(1+'Client Cost HIDE'!$B$175)^(B16-$B$6)-D16,0)</f>
        <v>0</v>
      </c>
      <c r="G16" s="233">
        <f>IF('Client Cost HIDE'!$C$32&lt;1,'Client Cost HIDE'!$C$32*D16,IF(C15&gt;1,'Client Cost HIDE'!$C$32,0))</f>
        <v>0</v>
      </c>
      <c r="H16" s="233">
        <f>SUM(E16:G16)*'Client Cost HIDE'!$B$28</f>
        <v>3.333733333333333E-2</v>
      </c>
      <c r="I16" s="791">
        <f t="shared" si="4"/>
        <v>-84.166766666666661</v>
      </c>
      <c r="J16" s="752">
        <f t="shared" si="5"/>
        <v>-84.166766666666661</v>
      </c>
      <c r="K16" s="753">
        <f t="shared" si="6"/>
        <v>-84.200103999999996</v>
      </c>
      <c r="L16" s="754">
        <f>IF('Client Cost HIDE'!$C$39&lt;1,'Client Cost HIDE'!$C$39*D16,IF(C16&gt;1,'Client Cost HIDE'!$C$39,0))</f>
        <v>0</v>
      </c>
      <c r="M16" s="233">
        <f>IF(O15&gt;0,O15*'Client Cost HIDE'!$A$177,0)</f>
        <v>4.5476128452964639</v>
      </c>
      <c r="N16" s="755">
        <f>IF('Client Cost HIDE'!$B$14=B16,O15+L16+M16,0)</f>
        <v>0</v>
      </c>
      <c r="O16" s="755">
        <f t="shared" si="7"/>
        <v>241.81436999119893</v>
      </c>
      <c r="P16" s="792">
        <f t="shared" si="0"/>
        <v>-84.200103999999996</v>
      </c>
      <c r="Q16" s="138">
        <f>IF(int_method=1,'Rep Schedule - Basic'!Q15,'Rep Schedule - Basic'!C16)</f>
        <v>166.7</v>
      </c>
      <c r="R16" s="759">
        <f t="shared" si="1"/>
        <v>241.81436999119893</v>
      </c>
      <c r="S16" s="759">
        <f>IF(C16=0,0,C16-SUM($G$6:G16)-O15)</f>
        <v>-520.56675714590244</v>
      </c>
      <c r="T16" s="759">
        <f t="shared" si="2"/>
        <v>1</v>
      </c>
      <c r="U16" s="760">
        <f t="shared" si="8"/>
        <v>-914.76930388863786</v>
      </c>
      <c r="V16" s="254"/>
      <c r="W16" s="1" t="str">
        <f t="shared" si="9"/>
        <v>x</v>
      </c>
      <c r="AA16" s="15">
        <f>IF(C15&gt;1,IF(int_method=2,'Client Cost HIDE'!$B$172*C15,'Client Cost HIDE'!$B$172*'Client Cost HIDE'!$B$12),0)</f>
        <v>0.83343333333333336</v>
      </c>
      <c r="AB16" s="5">
        <f>IF(B16&gt;'Client Cost HIDE'!$B$22,AA16,0)+AB15-E15</f>
        <v>0.83343333333333325</v>
      </c>
    </row>
    <row r="17" spans="2:28">
      <c r="B17" s="392">
        <v>11</v>
      </c>
      <c r="C17" s="794">
        <f t="shared" si="3"/>
        <v>83.37</v>
      </c>
      <c r="D17" s="233">
        <f>IF(AND(B17&gt;='Client Cost HIDE'!$D$152,B17&lt;='Client Cost HIDE'!$B$14),IF(amortized=1,'Client Cost HIDE'!$B$12/'Client Cost HIDE'!$D$151,-PPMT('Client Cost HIDE'!$B$172,$B17-'Client Cost HIDE'!$D$152+1,'Client Cost HIDE'!$D$151,'Client Cost HIDE'!$B$12)),0)</f>
        <v>83.333333333333329</v>
      </c>
      <c r="E17" s="758">
        <f>IF(OR('Client Cost HIDE'!$E$152&gt;B17,C16&lt;1),0,AB17)</f>
        <v>0.55566666666666675</v>
      </c>
      <c r="F17" s="233">
        <f>IF(indexing,D17*(1+'Client Cost HIDE'!$B$175)^(B17-$B$6)-D17,0)</f>
        <v>0</v>
      </c>
      <c r="G17" s="233">
        <f>IF('Client Cost HIDE'!$C$32&lt;1,'Client Cost HIDE'!$C$32*D17,IF(C16&gt;1,'Client Cost HIDE'!$C$32,0))</f>
        <v>0</v>
      </c>
      <c r="H17" s="233">
        <f>SUM(E17:G17)*'Client Cost HIDE'!$B$28</f>
        <v>2.2226666666666669E-2</v>
      </c>
      <c r="I17" s="791">
        <f t="shared" si="4"/>
        <v>-83.888999999999996</v>
      </c>
      <c r="J17" s="752">
        <f t="shared" si="5"/>
        <v>-83.888999999999996</v>
      </c>
      <c r="K17" s="753">
        <f t="shared" si="6"/>
        <v>-83.911226666666664</v>
      </c>
      <c r="L17" s="754">
        <f>IF('Client Cost HIDE'!$C$39&lt;1,'Client Cost HIDE'!$C$39*D17,IF(C17&gt;1,'Client Cost HIDE'!$C$39,0))</f>
        <v>0</v>
      </c>
      <c r="M17" s="233">
        <f>IF(O16&gt;0,O16*'Client Cost HIDE'!$A$177,0)</f>
        <v>4.6347754248313136</v>
      </c>
      <c r="N17" s="755">
        <f>IF('Client Cost HIDE'!$B$14=B17,O16+L17+M17,0)</f>
        <v>0</v>
      </c>
      <c r="O17" s="755">
        <f t="shared" si="7"/>
        <v>246.44914541603023</v>
      </c>
      <c r="P17" s="792">
        <f t="shared" si="0"/>
        <v>-83.911226666666664</v>
      </c>
      <c r="Q17" s="138">
        <f>IF(int_method=1,'Rep Schedule - Basic'!Q16,'Rep Schedule - Basic'!C17)</f>
        <v>83.37</v>
      </c>
      <c r="R17" s="759">
        <f t="shared" si="1"/>
        <v>246.44914541603023</v>
      </c>
      <c r="S17" s="759">
        <f>IF(C17=0,0,C17-SUM($G$6:G17)-O16)</f>
        <v>-608.44436999119898</v>
      </c>
      <c r="T17" s="759">
        <f t="shared" si="2"/>
        <v>1</v>
      </c>
      <c r="U17" s="760">
        <f t="shared" si="8"/>
        <v>-1523.2136738798367</v>
      </c>
      <c r="V17" s="254"/>
      <c r="W17" s="1" t="str">
        <f t="shared" si="9"/>
        <v>x</v>
      </c>
      <c r="AA17" s="15">
        <f>IF(C16&gt;1,IF(int_method=2,'Client Cost HIDE'!$B$172*C16,'Client Cost HIDE'!$B$172*'Client Cost HIDE'!$B$12),0)</f>
        <v>0.55566666666666664</v>
      </c>
      <c r="AB17" s="5">
        <f>IF(B17&gt;'Client Cost HIDE'!$B$22,AA17,0)+AB16-E16</f>
        <v>0.55566666666666675</v>
      </c>
    </row>
    <row r="18" spans="2:28" ht="13" thickBot="1">
      <c r="B18" s="392">
        <v>12</v>
      </c>
      <c r="C18" s="794">
        <f t="shared" si="3"/>
        <v>0</v>
      </c>
      <c r="D18" s="233">
        <f>IF(AND(B18&gt;='Client Cost HIDE'!$D$152,B18&lt;='Client Cost HIDE'!$B$14),IF(amortized=1,'Client Cost HIDE'!$B$12/'Client Cost HIDE'!$D$151,-PPMT('Client Cost HIDE'!$B$172,$B18-'Client Cost HIDE'!$D$152+1,'Client Cost HIDE'!$D$151,'Client Cost HIDE'!$B$12)),0)</f>
        <v>83.333333333333329</v>
      </c>
      <c r="E18" s="758">
        <f>IF(OR('Client Cost HIDE'!$E$152&gt;B18,C17&lt;1),0,AB18)</f>
        <v>0.27790000000000004</v>
      </c>
      <c r="F18" s="233">
        <f>IF(indexing,D18*(1+'Client Cost HIDE'!$B$175)^(B18-$B$6)-D18,0)</f>
        <v>0</v>
      </c>
      <c r="G18" s="233">
        <f>IF('Client Cost HIDE'!$C$32&lt;1,'Client Cost HIDE'!$C$32*D18,IF(C17&gt;1,'Client Cost HIDE'!$C$32,0))</f>
        <v>0</v>
      </c>
      <c r="H18" s="233">
        <f>SUM(E18:G18)*'Client Cost HIDE'!$B$28</f>
        <v>1.1116000000000001E-2</v>
      </c>
      <c r="I18" s="791">
        <f t="shared" si="4"/>
        <v>-83.611233333333331</v>
      </c>
      <c r="J18" s="752">
        <f t="shared" si="5"/>
        <v>-83.611233333333331</v>
      </c>
      <c r="K18" s="753">
        <f t="shared" si="6"/>
        <v>-83.622349333333332</v>
      </c>
      <c r="L18" s="754">
        <f>IF('Client Cost HIDE'!$C$39&lt;1,'Client Cost HIDE'!$C$39*D18,IF(C18&gt;1,'Client Cost HIDE'!$C$39,0))</f>
        <v>0</v>
      </c>
      <c r="M18" s="233">
        <f>IF(O17&gt;0,O17*'Client Cost HIDE'!$A$177,0)</f>
        <v>4.7236086204739136</v>
      </c>
      <c r="N18" s="755">
        <f>IF('Client Cost HIDE'!$B$14=B18,O17+L18+M18,0)</f>
        <v>251.17275403650416</v>
      </c>
      <c r="O18" s="755">
        <f t="shared" si="7"/>
        <v>0</v>
      </c>
      <c r="P18" s="792">
        <f t="shared" si="0"/>
        <v>167.55040470317084</v>
      </c>
      <c r="Q18" s="138">
        <f>IF(int_method=1,'Rep Schedule - Basic'!Q17,'Rep Schedule - Basic'!C18)</f>
        <v>0</v>
      </c>
      <c r="R18" s="759" t="e">
        <f t="shared" si="1"/>
        <v>#N/A</v>
      </c>
      <c r="S18" s="759">
        <f>IF(C18=0,0,C18-SUM($G$6:G18)-O17)</f>
        <v>0</v>
      </c>
      <c r="T18" s="759">
        <f t="shared" si="2"/>
        <v>0</v>
      </c>
      <c r="U18" s="760">
        <f t="shared" si="8"/>
        <v>-1523.2136738798367</v>
      </c>
      <c r="V18" s="254"/>
      <c r="W18" s="1" t="str">
        <f t="shared" si="9"/>
        <v>x</v>
      </c>
      <c r="AA18" s="15">
        <f>IF(C17&gt;1,IF(int_method=2,'Client Cost HIDE'!$B$172*C17,'Client Cost HIDE'!$B$172*'Client Cost HIDE'!$B$12),0)</f>
        <v>0.27790000000000004</v>
      </c>
      <c r="AB18" s="5">
        <f>IF(B18&gt;'Client Cost HIDE'!$B$22,AA18,0)+AB17-E17</f>
        <v>0.27790000000000004</v>
      </c>
    </row>
    <row r="19" spans="2:28" hidden="1">
      <c r="B19" s="392">
        <v>13</v>
      </c>
      <c r="C19" s="794">
        <f t="shared" si="3"/>
        <v>0</v>
      </c>
      <c r="D19" s="233">
        <f>IF(AND(B19&gt;='Client Cost HIDE'!$D$152,B19&lt;='Client Cost HIDE'!$B$14),IF(amortized=1,'Client Cost HIDE'!$B$12/'Client Cost HIDE'!$D$151,-PPMT('Client Cost HIDE'!$B$172,$B19-'Client Cost HIDE'!$D$152+1,'Client Cost HIDE'!$D$151,'Client Cost HIDE'!$B$12)),0)</f>
        <v>0</v>
      </c>
      <c r="E19" s="758">
        <f>IF(OR('Client Cost HIDE'!$E$152&gt;B19,C18&lt;1),0,AB19)</f>
        <v>0</v>
      </c>
      <c r="F19" s="233">
        <f>IF(indexing,D19*(1+'Client Cost HIDE'!$B$175)^(B19-$B$6)-D19,0)</f>
        <v>0</v>
      </c>
      <c r="G19" s="233">
        <f>IF('Client Cost HIDE'!$C$32&lt;1,'Client Cost HIDE'!$C$32*D19,IF(C18&gt;1,'Client Cost HIDE'!$C$32,0))</f>
        <v>0</v>
      </c>
      <c r="H19" s="233">
        <f>SUM(E19:G19)*'Client Cost HIDE'!$B$28</f>
        <v>0</v>
      </c>
      <c r="I19" s="791">
        <f t="shared" si="4"/>
        <v>0</v>
      </c>
      <c r="J19" s="752">
        <f t="shared" si="5"/>
        <v>0</v>
      </c>
      <c r="K19" s="753">
        <f t="shared" si="6"/>
        <v>0</v>
      </c>
      <c r="L19" s="754">
        <f>IF('Client Cost HIDE'!$C$39&lt;1,'Client Cost HIDE'!$C$39*D19,IF(C19&gt;1,'Client Cost HIDE'!$C$39,0))</f>
        <v>0</v>
      </c>
      <c r="M19" s="233">
        <f>IF(O18&gt;0,O18*'Client Cost HIDE'!$A$177,0)</f>
        <v>0</v>
      </c>
      <c r="N19" s="755">
        <f>IF('Client Cost HIDE'!$B$14=B19,O18+L19+M19,0)</f>
        <v>0</v>
      </c>
      <c r="O19" s="755">
        <f t="shared" si="7"/>
        <v>0</v>
      </c>
      <c r="P19" s="792">
        <f t="shared" si="0"/>
        <v>0</v>
      </c>
      <c r="Q19" s="138">
        <f>IF(int_method=1,'Rep Schedule - Basic'!Q18,'Rep Schedule - Basic'!C19)</f>
        <v>0</v>
      </c>
      <c r="R19" s="759" t="e">
        <f t="shared" si="1"/>
        <v>#N/A</v>
      </c>
      <c r="S19" s="759">
        <f>IF(C19=0,0,C19-SUM($G$6:G19)-O18)</f>
        <v>0</v>
      </c>
      <c r="T19" s="759">
        <f t="shared" si="2"/>
        <v>0</v>
      </c>
      <c r="U19" s="760">
        <f t="shared" si="8"/>
        <v>-1523.2136738798367</v>
      </c>
      <c r="V19" s="254"/>
      <c r="W19" s="1" t="b">
        <f t="shared" si="9"/>
        <v>1</v>
      </c>
      <c r="AA19" s="15">
        <f>IF(C18&gt;1,IF(int_method=2,'Client Cost HIDE'!$B$172*C18,'Client Cost HIDE'!$B$172*'Client Cost HIDE'!$B$12),0)</f>
        <v>0</v>
      </c>
      <c r="AB19" s="5">
        <f>IF(B19&gt;'Client Cost HIDE'!$B$22,AA19,0)+AB18-E18</f>
        <v>0</v>
      </c>
    </row>
    <row r="20" spans="2:28" hidden="1">
      <c r="B20" s="392">
        <v>14</v>
      </c>
      <c r="C20" s="794">
        <f t="shared" si="3"/>
        <v>0</v>
      </c>
      <c r="D20" s="233">
        <f>IF(AND(B20&gt;='Client Cost HIDE'!$D$152,B20&lt;='Client Cost HIDE'!$B$14),IF(amortized=1,'Client Cost HIDE'!$B$12/'Client Cost HIDE'!$D$151,-PPMT('Client Cost HIDE'!$B$172,$B20-'Client Cost HIDE'!$D$152+1,'Client Cost HIDE'!$D$151,'Client Cost HIDE'!$B$12)),0)</f>
        <v>0</v>
      </c>
      <c r="E20" s="758">
        <f>IF(OR('Client Cost HIDE'!$E$152&gt;B20,C19&lt;1),0,AB20)</f>
        <v>0</v>
      </c>
      <c r="F20" s="233">
        <f>IF(indexing,D20*(1+'Client Cost HIDE'!$B$175)^(B20-$B$6)-D20,0)</f>
        <v>0</v>
      </c>
      <c r="G20" s="233">
        <f>IF('Client Cost HIDE'!$C$32&lt;1,'Client Cost HIDE'!$C$32*D20,IF(C19&gt;1,'Client Cost HIDE'!$C$32,0))</f>
        <v>0</v>
      </c>
      <c r="H20" s="233">
        <f>SUM(E20:G20)*'Client Cost HIDE'!$B$28</f>
        <v>0</v>
      </c>
      <c r="I20" s="791">
        <f t="shared" si="4"/>
        <v>0</v>
      </c>
      <c r="J20" s="752">
        <f t="shared" si="5"/>
        <v>0</v>
      </c>
      <c r="K20" s="753">
        <f t="shared" si="6"/>
        <v>0</v>
      </c>
      <c r="L20" s="754">
        <f>IF('Client Cost HIDE'!$C$39&lt;1,'Client Cost HIDE'!$C$39*D20,IF(C20&gt;1,'Client Cost HIDE'!$C$39,0))</f>
        <v>0</v>
      </c>
      <c r="M20" s="233">
        <f>IF(O19&gt;0,O19*'Client Cost HIDE'!$A$177,0)</f>
        <v>0</v>
      </c>
      <c r="N20" s="755">
        <f>IF('Client Cost HIDE'!$B$14=B20,O19+L20+M20,0)</f>
        <v>0</v>
      </c>
      <c r="O20" s="755">
        <f t="shared" si="7"/>
        <v>0</v>
      </c>
      <c r="P20" s="792">
        <f t="shared" si="0"/>
        <v>0</v>
      </c>
      <c r="Q20" s="138">
        <f>IF(int_method=1,'Rep Schedule - Basic'!Q19,'Rep Schedule - Basic'!C20)</f>
        <v>0</v>
      </c>
      <c r="R20" s="759" t="e">
        <f t="shared" si="1"/>
        <v>#N/A</v>
      </c>
      <c r="S20" s="759">
        <f>IF(C20=0,0,C20-SUM($G$6:G20)-O19)</f>
        <v>0</v>
      </c>
      <c r="T20" s="759">
        <f t="shared" si="2"/>
        <v>0</v>
      </c>
      <c r="U20" s="760">
        <f t="shared" si="8"/>
        <v>-1523.2136738798367</v>
      </c>
      <c r="V20" s="254"/>
      <c r="W20" s="1" t="b">
        <f t="shared" si="9"/>
        <v>1</v>
      </c>
      <c r="AA20" s="15">
        <f>IF(C19&gt;1,IF(int_method=2,'Client Cost HIDE'!$B$172*C19,'Client Cost HIDE'!$B$172*'Client Cost HIDE'!$B$12),0)</f>
        <v>0</v>
      </c>
      <c r="AB20" s="5">
        <f>IF(B20&gt;'Client Cost HIDE'!$B$22,AA20,0)+AB19-E19</f>
        <v>0</v>
      </c>
    </row>
    <row r="21" spans="2:28" hidden="1">
      <c r="B21" s="392">
        <v>15</v>
      </c>
      <c r="C21" s="794">
        <f t="shared" si="3"/>
        <v>0</v>
      </c>
      <c r="D21" s="233">
        <f>IF(AND(B21&gt;='Client Cost HIDE'!$D$152,B21&lt;='Client Cost HIDE'!$B$14),IF(amortized=1,'Client Cost HIDE'!$B$12/'Client Cost HIDE'!$D$151,-PPMT('Client Cost HIDE'!$B$172,$B21-'Client Cost HIDE'!$D$152+1,'Client Cost HIDE'!$D$151,'Client Cost HIDE'!$B$12)),0)</f>
        <v>0</v>
      </c>
      <c r="E21" s="758">
        <f>IF(OR('Client Cost HIDE'!$E$152&gt;B21,C20&lt;1),0,AB21)</f>
        <v>0</v>
      </c>
      <c r="F21" s="233">
        <f>IF(indexing,D21*(1+'Client Cost HIDE'!$B$175)^(B21-$B$6)-D21,0)</f>
        <v>0</v>
      </c>
      <c r="G21" s="233">
        <f>IF('Client Cost HIDE'!$C$32&lt;1,'Client Cost HIDE'!$C$32*D21,IF(C20&gt;1,'Client Cost HIDE'!$C$32,0))</f>
        <v>0</v>
      </c>
      <c r="H21" s="233">
        <f>SUM(E21:G21)*'Client Cost HIDE'!$B$28</f>
        <v>0</v>
      </c>
      <c r="I21" s="791">
        <f t="shared" si="4"/>
        <v>0</v>
      </c>
      <c r="J21" s="752">
        <f t="shared" si="5"/>
        <v>0</v>
      </c>
      <c r="K21" s="753">
        <f t="shared" si="6"/>
        <v>0</v>
      </c>
      <c r="L21" s="754">
        <f>IF('Client Cost HIDE'!$C$39&lt;1,'Client Cost HIDE'!$C$39*D21,IF(C21&gt;1,'Client Cost HIDE'!$C$39,0))</f>
        <v>0</v>
      </c>
      <c r="M21" s="233">
        <f>IF(O20&gt;0,O20*'Client Cost HIDE'!$A$177,0)</f>
        <v>0</v>
      </c>
      <c r="N21" s="755">
        <f>IF('Client Cost HIDE'!$B$14=B21,O20+L21+M21,0)</f>
        <v>0</v>
      </c>
      <c r="O21" s="755">
        <f t="shared" si="7"/>
        <v>0</v>
      </c>
      <c r="P21" s="792">
        <f t="shared" si="0"/>
        <v>0</v>
      </c>
      <c r="Q21" s="138">
        <f>IF(int_method=1,'Rep Schedule - Basic'!Q20,'Rep Schedule - Basic'!C21)</f>
        <v>0</v>
      </c>
      <c r="R21" s="759" t="e">
        <f t="shared" si="1"/>
        <v>#N/A</v>
      </c>
      <c r="S21" s="759">
        <f>IF(C21=0,0,C21-SUM($G$6:G21)-O20)</f>
        <v>0</v>
      </c>
      <c r="T21" s="759">
        <f t="shared" si="2"/>
        <v>0</v>
      </c>
      <c r="U21" s="760">
        <f t="shared" si="8"/>
        <v>-1523.2136738798367</v>
      </c>
      <c r="V21" s="254"/>
      <c r="W21" s="1" t="b">
        <f t="shared" si="9"/>
        <v>1</v>
      </c>
      <c r="AA21" s="15">
        <f>IF(C20&gt;1,IF(int_method=2,'Client Cost HIDE'!$B$172*C20,'Client Cost HIDE'!$B$172*'Client Cost HIDE'!$B$12),0)</f>
        <v>0</v>
      </c>
      <c r="AB21" s="5">
        <f>IF(B21&gt;'Client Cost HIDE'!$B$22,AA21,0)+AB20-E20</f>
        <v>0</v>
      </c>
    </row>
    <row r="22" spans="2:28" hidden="1">
      <c r="B22" s="392">
        <v>16</v>
      </c>
      <c r="C22" s="794">
        <f t="shared" si="3"/>
        <v>0</v>
      </c>
      <c r="D22" s="233">
        <f>IF(AND(B22&gt;='Client Cost HIDE'!$D$152,B22&lt;='Client Cost HIDE'!$B$14),IF(amortized=1,'Client Cost HIDE'!$B$12/'Client Cost HIDE'!$D$151,-PPMT('Client Cost HIDE'!$B$172,$B22-'Client Cost HIDE'!$D$152+1,'Client Cost HIDE'!$D$151,'Client Cost HIDE'!$B$12)),0)</f>
        <v>0</v>
      </c>
      <c r="E22" s="758">
        <f>IF(OR('Client Cost HIDE'!$E$152&gt;B22,C21&lt;1),0,AB22)</f>
        <v>0</v>
      </c>
      <c r="F22" s="233">
        <f>IF(indexing,D22*(1+'Client Cost HIDE'!$B$175)^(B22-$B$6)-D22,0)</f>
        <v>0</v>
      </c>
      <c r="G22" s="233">
        <f>IF('Client Cost HIDE'!$C$32&lt;1,'Client Cost HIDE'!$C$32*D22,IF(C21&gt;1,'Client Cost HIDE'!$C$32,0))</f>
        <v>0</v>
      </c>
      <c r="H22" s="233">
        <f>SUM(E22:G22)*'Client Cost HIDE'!$B$28</f>
        <v>0</v>
      </c>
      <c r="I22" s="791">
        <f t="shared" si="4"/>
        <v>0</v>
      </c>
      <c r="J22" s="752">
        <f t="shared" si="5"/>
        <v>0</v>
      </c>
      <c r="K22" s="753">
        <f t="shared" si="6"/>
        <v>0</v>
      </c>
      <c r="L22" s="754">
        <f>IF('Client Cost HIDE'!$C$39&lt;1,'Client Cost HIDE'!$C$39*D22,IF(C22&gt;1,'Client Cost HIDE'!$C$39,0))</f>
        <v>0</v>
      </c>
      <c r="M22" s="233">
        <f>IF(O21&gt;0,O21*'Client Cost HIDE'!$A$177,0)</f>
        <v>0</v>
      </c>
      <c r="N22" s="755">
        <f>IF('Client Cost HIDE'!$B$14=B22,O21+L22+M22,0)</f>
        <v>0</v>
      </c>
      <c r="O22" s="755">
        <f t="shared" si="7"/>
        <v>0</v>
      </c>
      <c r="P22" s="792">
        <f t="shared" si="0"/>
        <v>0</v>
      </c>
      <c r="Q22" s="138">
        <f>IF(int_method=1,'Rep Schedule - Basic'!Q21,'Rep Schedule - Basic'!C22)</f>
        <v>0</v>
      </c>
      <c r="R22" s="759" t="e">
        <f t="shared" si="1"/>
        <v>#N/A</v>
      </c>
      <c r="S22" s="759">
        <f>IF(C22=0,0,C22-SUM($G$6:G22)-O21)</f>
        <v>0</v>
      </c>
      <c r="T22" s="759">
        <f t="shared" si="2"/>
        <v>0</v>
      </c>
      <c r="U22" s="760">
        <f t="shared" si="8"/>
        <v>-1523.2136738798367</v>
      </c>
      <c r="V22" s="254"/>
      <c r="W22" s="1" t="b">
        <f t="shared" si="9"/>
        <v>1</v>
      </c>
      <c r="AA22" s="15">
        <f>IF(C21&gt;1,IF(int_method=2,'Client Cost HIDE'!$B$172*C21,'Client Cost HIDE'!$B$172*'Client Cost HIDE'!$B$12),0)</f>
        <v>0</v>
      </c>
      <c r="AB22" s="5">
        <f>IF(B22&gt;'Client Cost HIDE'!$B$22,AA22,0)+AB21-E21</f>
        <v>0</v>
      </c>
    </row>
    <row r="23" spans="2:28" hidden="1">
      <c r="B23" s="392">
        <v>17</v>
      </c>
      <c r="C23" s="794">
        <f t="shared" si="3"/>
        <v>0</v>
      </c>
      <c r="D23" s="233">
        <f>IF(AND(B23&gt;='Client Cost HIDE'!$D$152,B23&lt;='Client Cost HIDE'!$B$14),IF(amortized=1,'Client Cost HIDE'!$B$12/'Client Cost HIDE'!$D$151,-PPMT('Client Cost HIDE'!$B$172,$B23-'Client Cost HIDE'!$D$152+1,'Client Cost HIDE'!$D$151,'Client Cost HIDE'!$B$12)),0)</f>
        <v>0</v>
      </c>
      <c r="E23" s="758">
        <f>IF(OR('Client Cost HIDE'!$E$152&gt;B23,C22&lt;1),0,AB23)</f>
        <v>0</v>
      </c>
      <c r="F23" s="233">
        <f>IF(indexing,D23*(1+'Client Cost HIDE'!$B$175)^(B23-$B$6)-D23,0)</f>
        <v>0</v>
      </c>
      <c r="G23" s="233">
        <f>IF('Client Cost HIDE'!$C$32&lt;1,'Client Cost HIDE'!$C$32*D23,IF(C22&gt;1,'Client Cost HIDE'!$C$32,0))</f>
        <v>0</v>
      </c>
      <c r="H23" s="233">
        <f>SUM(E23:G23)*'Client Cost HIDE'!$B$28</f>
        <v>0</v>
      </c>
      <c r="I23" s="791">
        <f t="shared" si="4"/>
        <v>0</v>
      </c>
      <c r="J23" s="752">
        <f t="shared" si="5"/>
        <v>0</v>
      </c>
      <c r="K23" s="753">
        <f t="shared" si="6"/>
        <v>0</v>
      </c>
      <c r="L23" s="754">
        <f>IF('Client Cost HIDE'!$C$39&lt;1,'Client Cost HIDE'!$C$39*D23,IF(C23&gt;1,'Client Cost HIDE'!$C$39,0))</f>
        <v>0</v>
      </c>
      <c r="M23" s="233">
        <f>IF(O22&gt;0,O22*'Client Cost HIDE'!$A$177,0)</f>
        <v>0</v>
      </c>
      <c r="N23" s="755">
        <f>IF('Client Cost HIDE'!$B$14=B23,O22+L23+M23,0)</f>
        <v>0</v>
      </c>
      <c r="O23" s="755">
        <f t="shared" si="7"/>
        <v>0</v>
      </c>
      <c r="P23" s="792">
        <f t="shared" si="0"/>
        <v>0</v>
      </c>
      <c r="Q23" s="138">
        <f>IF(int_method=1,'Rep Schedule - Basic'!Q22,'Rep Schedule - Basic'!C23)</f>
        <v>0</v>
      </c>
      <c r="R23" s="759" t="e">
        <f t="shared" si="1"/>
        <v>#N/A</v>
      </c>
      <c r="S23" s="759">
        <f>IF(C23=0,0,C23-SUM($G$6:G23)-O22)</f>
        <v>0</v>
      </c>
      <c r="T23" s="759">
        <f t="shared" si="2"/>
        <v>0</v>
      </c>
      <c r="U23" s="760">
        <f t="shared" si="8"/>
        <v>-1523.2136738798367</v>
      </c>
      <c r="V23" s="254"/>
      <c r="W23" s="1" t="b">
        <f t="shared" si="9"/>
        <v>1</v>
      </c>
      <c r="AA23" s="15">
        <f>IF(C22&gt;1,IF(int_method=2,'Client Cost HIDE'!$B$172*C22,'Client Cost HIDE'!$B$172*'Client Cost HIDE'!$B$12),0)</f>
        <v>0</v>
      </c>
      <c r="AB23" s="5">
        <f>IF(B23&gt;'Client Cost HIDE'!$B$22,AA23,0)+AB22-E22</f>
        <v>0</v>
      </c>
    </row>
    <row r="24" spans="2:28" hidden="1">
      <c r="B24" s="392">
        <v>18</v>
      </c>
      <c r="C24" s="794">
        <f t="shared" si="3"/>
        <v>0</v>
      </c>
      <c r="D24" s="233">
        <f>IF(AND(B24&gt;='Client Cost HIDE'!$D$152,B24&lt;='Client Cost HIDE'!$B$14),IF(amortized=1,'Client Cost HIDE'!$B$12/'Client Cost HIDE'!$D$151,-PPMT('Client Cost HIDE'!$B$172,$B24-'Client Cost HIDE'!$D$152+1,'Client Cost HIDE'!$D$151,'Client Cost HIDE'!$B$12)),0)</f>
        <v>0</v>
      </c>
      <c r="E24" s="758">
        <f>IF(OR('Client Cost HIDE'!$E$152&gt;B24,C23&lt;1),0,AB24)</f>
        <v>0</v>
      </c>
      <c r="F24" s="233">
        <f>IF(indexing,D24*(1+'Client Cost HIDE'!$B$175)^(B24-$B$6)-D24,0)</f>
        <v>0</v>
      </c>
      <c r="G24" s="233">
        <f>IF('Client Cost HIDE'!$C$32&lt;1,'Client Cost HIDE'!$C$32*D24,IF(C23&gt;1,'Client Cost HIDE'!$C$32,0))</f>
        <v>0</v>
      </c>
      <c r="H24" s="233">
        <f>SUM(E24:G24)*'Client Cost HIDE'!$B$28</f>
        <v>0</v>
      </c>
      <c r="I24" s="791">
        <f t="shared" si="4"/>
        <v>0</v>
      </c>
      <c r="J24" s="752">
        <f t="shared" si="5"/>
        <v>0</v>
      </c>
      <c r="K24" s="753">
        <f t="shared" si="6"/>
        <v>0</v>
      </c>
      <c r="L24" s="754">
        <f>IF('Client Cost HIDE'!$C$39&lt;1,'Client Cost HIDE'!$C$39*D24,IF(C24&gt;1,'Client Cost HIDE'!$C$39,0))</f>
        <v>0</v>
      </c>
      <c r="M24" s="233">
        <f>IF(O23&gt;0,O23*'Client Cost HIDE'!$A$177,0)</f>
        <v>0</v>
      </c>
      <c r="N24" s="755">
        <f>IF('Client Cost HIDE'!$B$14=B24,O23+L24+M24,0)</f>
        <v>0</v>
      </c>
      <c r="O24" s="755">
        <f t="shared" si="7"/>
        <v>0</v>
      </c>
      <c r="P24" s="792">
        <f t="shared" si="0"/>
        <v>0</v>
      </c>
      <c r="Q24" s="138">
        <f>IF(int_method=1,'Rep Schedule - Basic'!Q23,'Rep Schedule - Basic'!C24)</f>
        <v>0</v>
      </c>
      <c r="R24" s="759" t="e">
        <f t="shared" si="1"/>
        <v>#N/A</v>
      </c>
      <c r="S24" s="759">
        <f>IF(C24=0,0,C24-SUM($G$6:G24)-O23)</f>
        <v>0</v>
      </c>
      <c r="T24" s="759">
        <f t="shared" si="2"/>
        <v>0</v>
      </c>
      <c r="U24" s="760">
        <f t="shared" si="8"/>
        <v>-1523.2136738798367</v>
      </c>
      <c r="V24" s="254"/>
      <c r="W24" s="1" t="b">
        <f t="shared" si="9"/>
        <v>1</v>
      </c>
      <c r="AA24" s="15">
        <f>IF(C23&gt;1,IF(int_method=2,'Client Cost HIDE'!$B$172*C23,'Client Cost HIDE'!$B$172*'Client Cost HIDE'!$B$12),0)</f>
        <v>0</v>
      </c>
      <c r="AB24" s="5">
        <f>IF(B24&gt;'Client Cost HIDE'!$B$22,AA24,0)+AB23-E23</f>
        <v>0</v>
      </c>
    </row>
    <row r="25" spans="2:28" hidden="1">
      <c r="B25" s="392">
        <v>19</v>
      </c>
      <c r="C25" s="794">
        <f t="shared" si="3"/>
        <v>0</v>
      </c>
      <c r="D25" s="233">
        <f>IF(AND(B25&gt;='Client Cost HIDE'!$D$152,B25&lt;='Client Cost HIDE'!$B$14),IF(amortized=1,'Client Cost HIDE'!$B$12/'Client Cost HIDE'!$D$151,-PPMT('Client Cost HIDE'!$B$172,$B25-'Client Cost HIDE'!$D$152+1,'Client Cost HIDE'!$D$151,'Client Cost HIDE'!$B$12)),0)</f>
        <v>0</v>
      </c>
      <c r="E25" s="758">
        <f>IF(OR('Client Cost HIDE'!$E$152&gt;B25,C24&lt;1),0,AB25)</f>
        <v>0</v>
      </c>
      <c r="F25" s="233">
        <f>IF(indexing,D25*(1+'Client Cost HIDE'!$B$175)^(B25-$B$6)-D25,0)</f>
        <v>0</v>
      </c>
      <c r="G25" s="233">
        <f>IF('Client Cost HIDE'!$C$32&lt;1,'Client Cost HIDE'!$C$32*D25,IF(C24&gt;1,'Client Cost HIDE'!$C$32,0))</f>
        <v>0</v>
      </c>
      <c r="H25" s="233">
        <f>SUM(E25:G25)*'Client Cost HIDE'!$B$28</f>
        <v>0</v>
      </c>
      <c r="I25" s="791">
        <f t="shared" si="4"/>
        <v>0</v>
      </c>
      <c r="J25" s="752">
        <f t="shared" si="5"/>
        <v>0</v>
      </c>
      <c r="K25" s="753">
        <f t="shared" si="6"/>
        <v>0</v>
      </c>
      <c r="L25" s="754">
        <f>IF('Client Cost HIDE'!$C$39&lt;1,'Client Cost HIDE'!$C$39*D25,IF(C25&gt;1,'Client Cost HIDE'!$C$39,0))</f>
        <v>0</v>
      </c>
      <c r="M25" s="233">
        <f>IF(O24&gt;0,O24*'Client Cost HIDE'!$A$177,0)</f>
        <v>0</v>
      </c>
      <c r="N25" s="755">
        <f>IF('Client Cost HIDE'!$B$14=B25,O24+L25+M25,0)</f>
        <v>0</v>
      </c>
      <c r="O25" s="755">
        <f t="shared" si="7"/>
        <v>0</v>
      </c>
      <c r="P25" s="792">
        <f t="shared" si="0"/>
        <v>0</v>
      </c>
      <c r="Q25" s="138">
        <f>IF(int_method=1,'Rep Schedule - Basic'!Q24,'Rep Schedule - Basic'!C25)</f>
        <v>0</v>
      </c>
      <c r="R25" s="759" t="e">
        <f t="shared" si="1"/>
        <v>#N/A</v>
      </c>
      <c r="S25" s="759">
        <f>IF(C25=0,0,C25-SUM($G$6:G25)-O24)</f>
        <v>0</v>
      </c>
      <c r="T25" s="759">
        <f t="shared" si="2"/>
        <v>0</v>
      </c>
      <c r="U25" s="760">
        <f t="shared" si="8"/>
        <v>-1523.2136738798367</v>
      </c>
      <c r="V25" s="254"/>
      <c r="W25" s="1" t="b">
        <f t="shared" si="9"/>
        <v>1</v>
      </c>
      <c r="AA25" s="15">
        <f>IF(C24&gt;1,IF(int_method=2,'Client Cost HIDE'!$B$172*C24,'Client Cost HIDE'!$B$172*'Client Cost HIDE'!$B$12),0)</f>
        <v>0</v>
      </c>
      <c r="AB25" s="5">
        <f>IF(B25&gt;'Client Cost HIDE'!$B$22,AA25,0)+AB24-E24</f>
        <v>0</v>
      </c>
    </row>
    <row r="26" spans="2:28" hidden="1">
      <c r="B26" s="392">
        <v>20</v>
      </c>
      <c r="C26" s="794">
        <f t="shared" si="3"/>
        <v>0</v>
      </c>
      <c r="D26" s="233">
        <f>IF(AND(B26&gt;='Client Cost HIDE'!$D$152,B26&lt;='Client Cost HIDE'!$B$14),IF(amortized=1,'Client Cost HIDE'!$B$12/'Client Cost HIDE'!$D$151,-PPMT('Client Cost HIDE'!$B$172,$B26-'Client Cost HIDE'!$D$152+1,'Client Cost HIDE'!$D$151,'Client Cost HIDE'!$B$12)),0)</f>
        <v>0</v>
      </c>
      <c r="E26" s="758">
        <f>IF(OR('Client Cost HIDE'!$E$152&gt;B26,C25&lt;1),0,AB26)</f>
        <v>0</v>
      </c>
      <c r="F26" s="233">
        <f>IF(indexing,D26*(1+'Client Cost HIDE'!$B$175)^(B26-$B$6)-D26,0)</f>
        <v>0</v>
      </c>
      <c r="G26" s="233">
        <f>IF('Client Cost HIDE'!$C$32&lt;1,'Client Cost HIDE'!$C$32*D26,IF(C25&gt;1,'Client Cost HIDE'!$C$32,0))</f>
        <v>0</v>
      </c>
      <c r="H26" s="233">
        <f>SUM(E26:G26)*'Client Cost HIDE'!$B$28</f>
        <v>0</v>
      </c>
      <c r="I26" s="791">
        <f t="shared" si="4"/>
        <v>0</v>
      </c>
      <c r="J26" s="752">
        <f t="shared" si="5"/>
        <v>0</v>
      </c>
      <c r="K26" s="753">
        <f t="shared" si="6"/>
        <v>0</v>
      </c>
      <c r="L26" s="754">
        <f>IF('Client Cost HIDE'!$C$39&lt;1,'Client Cost HIDE'!$C$39*D26,IF(C26&gt;1,'Client Cost HIDE'!$C$39,0))</f>
        <v>0</v>
      </c>
      <c r="M26" s="233">
        <f>IF(O25&gt;0,O25*'Client Cost HIDE'!$A$177,0)</f>
        <v>0</v>
      </c>
      <c r="N26" s="755">
        <f>IF('Client Cost HIDE'!$B$14=B26,O25+L26+M26,0)</f>
        <v>0</v>
      </c>
      <c r="O26" s="755">
        <f t="shared" si="7"/>
        <v>0</v>
      </c>
      <c r="P26" s="792">
        <f t="shared" si="0"/>
        <v>0</v>
      </c>
      <c r="Q26" s="138">
        <f>IF(int_method=1,'Rep Schedule - Basic'!Q25,'Rep Schedule - Basic'!C26)</f>
        <v>0</v>
      </c>
      <c r="R26" s="759" t="e">
        <f t="shared" si="1"/>
        <v>#N/A</v>
      </c>
      <c r="S26" s="759">
        <f>IF(C26=0,0,C26-SUM($G$6:G26)-O25)</f>
        <v>0</v>
      </c>
      <c r="T26" s="759">
        <f t="shared" si="2"/>
        <v>0</v>
      </c>
      <c r="U26" s="760">
        <f t="shared" si="8"/>
        <v>-1523.2136738798367</v>
      </c>
      <c r="V26" s="254"/>
      <c r="W26" s="1" t="b">
        <f t="shared" si="9"/>
        <v>1</v>
      </c>
      <c r="AA26" s="15">
        <f>IF(C25&gt;1,IF(int_method=2,'Client Cost HIDE'!$B$172*C25,'Client Cost HIDE'!$B$172*'Client Cost HIDE'!$B$12),0)</f>
        <v>0</v>
      </c>
      <c r="AB26" s="5">
        <f>IF(B26&gt;'Client Cost HIDE'!$B$22,AA26,0)+AB25-E25</f>
        <v>0</v>
      </c>
    </row>
    <row r="27" spans="2:28" hidden="1">
      <c r="B27" s="392">
        <v>21</v>
      </c>
      <c r="C27" s="794">
        <f t="shared" si="3"/>
        <v>0</v>
      </c>
      <c r="D27" s="233">
        <f>IF(AND(B27&gt;='Client Cost HIDE'!$D$152,B27&lt;='Client Cost HIDE'!$B$14),IF(amortized=1,'Client Cost HIDE'!$B$12/'Client Cost HIDE'!$D$151,-PPMT('Client Cost HIDE'!$B$172,$B27-'Client Cost HIDE'!$D$152+1,'Client Cost HIDE'!$D$151,'Client Cost HIDE'!$B$12)),0)</f>
        <v>0</v>
      </c>
      <c r="E27" s="758">
        <f>IF(OR('Client Cost HIDE'!$E$152&gt;B27,C26&lt;1),0,AB27)</f>
        <v>0</v>
      </c>
      <c r="F27" s="233">
        <f>IF(indexing,D27*(1+'Client Cost HIDE'!$B$175)^(B27-$B$6)-D27,0)</f>
        <v>0</v>
      </c>
      <c r="G27" s="233">
        <f>IF('Client Cost HIDE'!$C$32&lt;1,'Client Cost HIDE'!$C$32*D27,IF(C26&gt;1,'Client Cost HIDE'!$C$32,0))</f>
        <v>0</v>
      </c>
      <c r="H27" s="233">
        <f>SUM(E27:G27)*'Client Cost HIDE'!$B$28</f>
        <v>0</v>
      </c>
      <c r="I27" s="791">
        <f t="shared" si="4"/>
        <v>0</v>
      </c>
      <c r="J27" s="752">
        <f t="shared" si="5"/>
        <v>0</v>
      </c>
      <c r="K27" s="753">
        <f t="shared" si="6"/>
        <v>0</v>
      </c>
      <c r="L27" s="754">
        <f>IF('Client Cost HIDE'!$C$39&lt;1,'Client Cost HIDE'!$C$39*D27,IF(C27&gt;1,'Client Cost HIDE'!$C$39,0))</f>
        <v>0</v>
      </c>
      <c r="M27" s="233">
        <f>IF(O26&gt;0,O26*'Client Cost HIDE'!$A$177,0)</f>
        <v>0</v>
      </c>
      <c r="N27" s="755">
        <f>IF('Client Cost HIDE'!$B$14=B27,O26+L27+M27,0)</f>
        <v>0</v>
      </c>
      <c r="O27" s="755">
        <f t="shared" si="7"/>
        <v>0</v>
      </c>
      <c r="P27" s="792">
        <f t="shared" si="0"/>
        <v>0</v>
      </c>
      <c r="Q27" s="138">
        <f>IF(int_method=1,'Rep Schedule - Basic'!Q26,'Rep Schedule - Basic'!C27)</f>
        <v>0</v>
      </c>
      <c r="R27" s="759" t="e">
        <f t="shared" si="1"/>
        <v>#N/A</v>
      </c>
      <c r="S27" s="759">
        <f>IF(C27=0,0,C27-SUM($G$6:G27)-O26)</f>
        <v>0</v>
      </c>
      <c r="T27" s="759">
        <f t="shared" si="2"/>
        <v>0</v>
      </c>
      <c r="U27" s="760">
        <f t="shared" si="8"/>
        <v>-1523.2136738798367</v>
      </c>
      <c r="V27" s="254"/>
      <c r="W27" s="1" t="b">
        <f t="shared" si="9"/>
        <v>1</v>
      </c>
      <c r="AA27" s="15">
        <f>IF(C26&gt;1,IF(int_method=2,'Client Cost HIDE'!$B$172*C26,'Client Cost HIDE'!$B$172*'Client Cost HIDE'!$B$12),0)</f>
        <v>0</v>
      </c>
      <c r="AB27" s="5">
        <f>IF(B27&gt;'Client Cost HIDE'!$B$22,AA27,0)+AB26-E26</f>
        <v>0</v>
      </c>
    </row>
    <row r="28" spans="2:28" hidden="1">
      <c r="B28" s="392">
        <v>22</v>
      </c>
      <c r="C28" s="794">
        <f t="shared" si="3"/>
        <v>0</v>
      </c>
      <c r="D28" s="233">
        <f>IF(AND(B28&gt;='Client Cost HIDE'!$D$152,B28&lt;='Client Cost HIDE'!$B$14),IF(amortized=1,'Client Cost HIDE'!$B$12/'Client Cost HIDE'!$D$151,-PPMT('Client Cost HIDE'!$B$172,$B28-'Client Cost HIDE'!$D$152+1,'Client Cost HIDE'!$D$151,'Client Cost HIDE'!$B$12)),0)</f>
        <v>0</v>
      </c>
      <c r="E28" s="758">
        <f>IF(OR('Client Cost HIDE'!$E$152&gt;B28,C27&lt;1),0,AB28)</f>
        <v>0</v>
      </c>
      <c r="F28" s="233">
        <f>IF(indexing,D28*(1+'Client Cost HIDE'!$B$175)^(B28-$B$6)-D28,0)</f>
        <v>0</v>
      </c>
      <c r="G28" s="233">
        <f>IF('Client Cost HIDE'!$C$32&lt;1,'Client Cost HIDE'!$C$32*D28,IF(C27&gt;1,'Client Cost HIDE'!$C$32,0))</f>
        <v>0</v>
      </c>
      <c r="H28" s="233">
        <f>SUM(E28:G28)*'Client Cost HIDE'!$B$28</f>
        <v>0</v>
      </c>
      <c r="I28" s="791">
        <f t="shared" si="4"/>
        <v>0</v>
      </c>
      <c r="J28" s="752">
        <f t="shared" si="5"/>
        <v>0</v>
      </c>
      <c r="K28" s="753">
        <f t="shared" si="6"/>
        <v>0</v>
      </c>
      <c r="L28" s="754">
        <f>IF('Client Cost HIDE'!$C$39&lt;1,'Client Cost HIDE'!$C$39*D28,IF(C28&gt;1,'Client Cost HIDE'!$C$39,0))</f>
        <v>0</v>
      </c>
      <c r="M28" s="233">
        <f>IF(O27&gt;0,O27*'Client Cost HIDE'!$A$177,0)</f>
        <v>0</v>
      </c>
      <c r="N28" s="755">
        <f>IF('Client Cost HIDE'!$B$14=B28,O27+L28+M28,0)</f>
        <v>0</v>
      </c>
      <c r="O28" s="755">
        <f t="shared" si="7"/>
        <v>0</v>
      </c>
      <c r="P28" s="792">
        <f t="shared" si="0"/>
        <v>0</v>
      </c>
      <c r="Q28" s="138">
        <f>IF(int_method=1,'Rep Schedule - Basic'!Q27,'Rep Schedule - Basic'!C28)</f>
        <v>0</v>
      </c>
      <c r="R28" s="759" t="e">
        <f t="shared" si="1"/>
        <v>#N/A</v>
      </c>
      <c r="S28" s="759">
        <f>IF(C28=0,0,C28-SUM($G$6:G28)-O27)</f>
        <v>0</v>
      </c>
      <c r="T28" s="759">
        <f t="shared" si="2"/>
        <v>0</v>
      </c>
      <c r="U28" s="760">
        <f t="shared" si="8"/>
        <v>-1523.2136738798367</v>
      </c>
      <c r="V28" s="254"/>
      <c r="W28" s="1" t="b">
        <f t="shared" si="9"/>
        <v>1</v>
      </c>
      <c r="AA28" s="15">
        <f>IF(C27&gt;1,IF(int_method=2,'Client Cost HIDE'!$B$172*C27,'Client Cost HIDE'!$B$172*'Client Cost HIDE'!$B$12),0)</f>
        <v>0</v>
      </c>
      <c r="AB28" s="5">
        <f>IF(B28&gt;'Client Cost HIDE'!$B$22,AA28,0)+AB27-E27</f>
        <v>0</v>
      </c>
    </row>
    <row r="29" spans="2:28" hidden="1">
      <c r="B29" s="392">
        <v>23</v>
      </c>
      <c r="C29" s="794">
        <f t="shared" si="3"/>
        <v>0</v>
      </c>
      <c r="D29" s="233">
        <f>IF(AND(B29&gt;='Client Cost HIDE'!$D$152,B29&lt;='Client Cost HIDE'!$B$14),IF(amortized=1,'Client Cost HIDE'!$B$12/'Client Cost HIDE'!$D$151,-PPMT('Client Cost HIDE'!$B$172,$B29-'Client Cost HIDE'!$D$152+1,'Client Cost HIDE'!$D$151,'Client Cost HIDE'!$B$12)),0)</f>
        <v>0</v>
      </c>
      <c r="E29" s="758">
        <f>IF(OR('Client Cost HIDE'!$E$152&gt;B29,C28&lt;1),0,AB29)</f>
        <v>0</v>
      </c>
      <c r="F29" s="233">
        <f>IF(indexing,D29*(1+'Client Cost HIDE'!$B$175)^(B29-$B$6)-D29,0)</f>
        <v>0</v>
      </c>
      <c r="G29" s="233">
        <f>IF('Client Cost HIDE'!$C$32&lt;1,'Client Cost HIDE'!$C$32*D29,IF(C28&gt;1,'Client Cost HIDE'!$C$32,0))</f>
        <v>0</v>
      </c>
      <c r="H29" s="233">
        <f>SUM(E29:G29)*'Client Cost HIDE'!$B$28</f>
        <v>0</v>
      </c>
      <c r="I29" s="791">
        <f t="shared" si="4"/>
        <v>0</v>
      </c>
      <c r="J29" s="752">
        <f t="shared" si="5"/>
        <v>0</v>
      </c>
      <c r="K29" s="753">
        <f t="shared" si="6"/>
        <v>0</v>
      </c>
      <c r="L29" s="754">
        <f>IF('Client Cost HIDE'!$C$39&lt;1,'Client Cost HIDE'!$C$39*D29,IF(C29&gt;1,'Client Cost HIDE'!$C$39,0))</f>
        <v>0</v>
      </c>
      <c r="M29" s="233">
        <f>IF(O28&gt;0,O28*'Client Cost HIDE'!$A$177,0)</f>
        <v>0</v>
      </c>
      <c r="N29" s="755">
        <f>IF('Client Cost HIDE'!$B$14=B29,O28+L29+M29,0)</f>
        <v>0</v>
      </c>
      <c r="O29" s="755">
        <f t="shared" si="7"/>
        <v>0</v>
      </c>
      <c r="P29" s="792">
        <f t="shared" si="0"/>
        <v>0</v>
      </c>
      <c r="Q29" s="138">
        <f>IF(int_method=1,'Rep Schedule - Basic'!Q28,'Rep Schedule - Basic'!C29)</f>
        <v>0</v>
      </c>
      <c r="R29" s="759" t="e">
        <f t="shared" si="1"/>
        <v>#N/A</v>
      </c>
      <c r="S29" s="759">
        <f>IF(C29=0,0,C29-SUM($G$6:G29)-O28)</f>
        <v>0</v>
      </c>
      <c r="T29" s="759">
        <f t="shared" si="2"/>
        <v>0</v>
      </c>
      <c r="U29" s="760">
        <f t="shared" si="8"/>
        <v>-1523.2136738798367</v>
      </c>
      <c r="V29" s="254"/>
      <c r="W29" s="1" t="b">
        <f t="shared" si="9"/>
        <v>1</v>
      </c>
      <c r="AA29" s="15">
        <f>IF(C28&gt;1,IF(int_method=2,'Client Cost HIDE'!$B$172*C28,'Client Cost HIDE'!$B$172*'Client Cost HIDE'!$B$12),0)</f>
        <v>0</v>
      </c>
      <c r="AB29" s="5">
        <f>IF(B29&gt;'Client Cost HIDE'!$B$22,AA29,0)+AB28-E28</f>
        <v>0</v>
      </c>
    </row>
    <row r="30" spans="2:28" hidden="1">
      <c r="B30" s="392">
        <v>24</v>
      </c>
      <c r="C30" s="794">
        <f t="shared" si="3"/>
        <v>0</v>
      </c>
      <c r="D30" s="233">
        <f>IF(AND(B30&gt;='Client Cost HIDE'!$D$152,B30&lt;='Client Cost HIDE'!$B$14),IF(amortized=1,'Client Cost HIDE'!$B$12/'Client Cost HIDE'!$D$151,-PPMT('Client Cost HIDE'!$B$172,$B30-'Client Cost HIDE'!$D$152+1,'Client Cost HIDE'!$D$151,'Client Cost HIDE'!$B$12)),0)</f>
        <v>0</v>
      </c>
      <c r="E30" s="758">
        <f>IF(OR('Client Cost HIDE'!$E$152&gt;B30,C29&lt;1),0,AB30)</f>
        <v>0</v>
      </c>
      <c r="F30" s="233">
        <f>IF(indexing,D30*(1+'Client Cost HIDE'!$B$175)^(B30-$B$6)-D30,0)</f>
        <v>0</v>
      </c>
      <c r="G30" s="233">
        <f>IF('Client Cost HIDE'!$C$32&lt;1,'Client Cost HIDE'!$C$32*D30,IF(C29&gt;1,'Client Cost HIDE'!$C$32,0))</f>
        <v>0</v>
      </c>
      <c r="H30" s="233">
        <f>SUM(E30:G30)*'Client Cost HIDE'!$B$28</f>
        <v>0</v>
      </c>
      <c r="I30" s="791">
        <f t="shared" si="4"/>
        <v>0</v>
      </c>
      <c r="J30" s="752">
        <f t="shared" si="5"/>
        <v>0</v>
      </c>
      <c r="K30" s="753">
        <f t="shared" si="6"/>
        <v>0</v>
      </c>
      <c r="L30" s="754">
        <f>IF('Client Cost HIDE'!$C$39&lt;1,'Client Cost HIDE'!$C$39*D30,IF(C30&gt;1,'Client Cost HIDE'!$C$39,0))</f>
        <v>0</v>
      </c>
      <c r="M30" s="233">
        <f>IF(O29&gt;0,O29*'Client Cost HIDE'!$A$177,0)</f>
        <v>0</v>
      </c>
      <c r="N30" s="755">
        <f>IF('Client Cost HIDE'!$B$14=B30,O29+L30+M30,0)</f>
        <v>0</v>
      </c>
      <c r="O30" s="755">
        <f t="shared" si="7"/>
        <v>0</v>
      </c>
      <c r="P30" s="792">
        <f t="shared" si="0"/>
        <v>0</v>
      </c>
      <c r="Q30" s="138">
        <f>IF(int_method=1,'Rep Schedule - Basic'!Q29,'Rep Schedule - Basic'!C30)</f>
        <v>0</v>
      </c>
      <c r="R30" s="759" t="e">
        <f t="shared" si="1"/>
        <v>#N/A</v>
      </c>
      <c r="S30" s="759">
        <f>IF(C30=0,0,C30-SUM($G$6:G30)-O29)</f>
        <v>0</v>
      </c>
      <c r="T30" s="759">
        <f t="shared" si="2"/>
        <v>0</v>
      </c>
      <c r="U30" s="760">
        <f t="shared" si="8"/>
        <v>-1523.2136738798367</v>
      </c>
      <c r="V30" s="254"/>
      <c r="W30" s="1" t="b">
        <f t="shared" si="9"/>
        <v>1</v>
      </c>
      <c r="AA30" s="15">
        <f>IF(C29&gt;1,IF(int_method=2,'Client Cost HIDE'!$B$172*C29,'Client Cost HIDE'!$B$172*'Client Cost HIDE'!$B$12),0)</f>
        <v>0</v>
      </c>
      <c r="AB30" s="5">
        <f>IF(B30&gt;'Client Cost HIDE'!$B$22,AA30,0)+AB29-E29</f>
        <v>0</v>
      </c>
    </row>
    <row r="31" spans="2:28" hidden="1">
      <c r="B31" s="392">
        <v>25</v>
      </c>
      <c r="C31" s="794">
        <f t="shared" si="3"/>
        <v>0</v>
      </c>
      <c r="D31" s="233">
        <f>IF(AND(B31&gt;='Client Cost HIDE'!$D$152,B31&lt;='Client Cost HIDE'!$B$14),IF(amortized=1,'Client Cost HIDE'!$B$12/'Client Cost HIDE'!$D$151,-PPMT('Client Cost HIDE'!$B$172,$B31-'Client Cost HIDE'!$D$152+1,'Client Cost HIDE'!$D$151,'Client Cost HIDE'!$B$12)),0)</f>
        <v>0</v>
      </c>
      <c r="E31" s="758">
        <f>IF(OR('Client Cost HIDE'!$E$152&gt;B31,C30&lt;1),0,AB31)</f>
        <v>0</v>
      </c>
      <c r="F31" s="233">
        <f>IF(indexing,D31*(1+'Client Cost HIDE'!$B$175)^(B31-$B$6)-D31,0)</f>
        <v>0</v>
      </c>
      <c r="G31" s="233">
        <f>IF('Client Cost HIDE'!$C$32&lt;1,'Client Cost HIDE'!$C$32*D31,IF(C30&gt;1,'Client Cost HIDE'!$C$32,0))</f>
        <v>0</v>
      </c>
      <c r="H31" s="233">
        <f>SUM(E31:G31)*'Client Cost HIDE'!$B$28</f>
        <v>0</v>
      </c>
      <c r="I31" s="791">
        <f t="shared" si="4"/>
        <v>0</v>
      </c>
      <c r="J31" s="752">
        <f t="shared" si="5"/>
        <v>0</v>
      </c>
      <c r="K31" s="753">
        <f t="shared" si="6"/>
        <v>0</v>
      </c>
      <c r="L31" s="754">
        <f>IF('Client Cost HIDE'!$C$39&lt;1,'Client Cost HIDE'!$C$39*D31,IF(C31&gt;1,'Client Cost HIDE'!$C$39,0))</f>
        <v>0</v>
      </c>
      <c r="M31" s="233">
        <f>IF(O30&gt;0,O30*'Client Cost HIDE'!$A$177,0)</f>
        <v>0</v>
      </c>
      <c r="N31" s="755">
        <f>IF('Client Cost HIDE'!$B$14=B31,O30+L31+M31,0)</f>
        <v>0</v>
      </c>
      <c r="O31" s="755">
        <f t="shared" si="7"/>
        <v>0</v>
      </c>
      <c r="P31" s="792">
        <f t="shared" si="0"/>
        <v>0</v>
      </c>
      <c r="Q31" s="138">
        <f>IF(int_method=1,'Rep Schedule - Basic'!Q30,'Rep Schedule - Basic'!C31)</f>
        <v>0</v>
      </c>
      <c r="R31" s="759" t="e">
        <f t="shared" si="1"/>
        <v>#N/A</v>
      </c>
      <c r="S31" s="759">
        <f>IF(C31=0,0,C31-SUM($G$6:G31)-O30)</f>
        <v>0</v>
      </c>
      <c r="T31" s="759">
        <f t="shared" si="2"/>
        <v>0</v>
      </c>
      <c r="U31" s="760">
        <f t="shared" si="8"/>
        <v>-1523.2136738798367</v>
      </c>
      <c r="V31" s="254"/>
      <c r="W31" s="1" t="b">
        <f t="shared" si="9"/>
        <v>1</v>
      </c>
      <c r="AA31" s="15">
        <f>IF(C30&gt;1,IF(int_method=2,'Client Cost HIDE'!$B$172*C30,'Client Cost HIDE'!$B$172*'Client Cost HIDE'!$B$12),0)</f>
        <v>0</v>
      </c>
      <c r="AB31" s="5">
        <f>IF(B31&gt;'Client Cost HIDE'!$B$22,AA31,0)+AB30-E30</f>
        <v>0</v>
      </c>
    </row>
    <row r="32" spans="2:28" hidden="1">
      <c r="B32" s="392">
        <v>26</v>
      </c>
      <c r="C32" s="794">
        <f t="shared" si="3"/>
        <v>0</v>
      </c>
      <c r="D32" s="233">
        <f>IF(AND(B32&gt;='Client Cost HIDE'!$D$152,B32&lt;='Client Cost HIDE'!$B$14),IF(amortized=1,'Client Cost HIDE'!$B$12/'Client Cost HIDE'!$D$151,-PPMT('Client Cost HIDE'!$B$172,$B32-'Client Cost HIDE'!$D$152+1,'Client Cost HIDE'!$D$151,'Client Cost HIDE'!$B$12)),0)</f>
        <v>0</v>
      </c>
      <c r="E32" s="758">
        <f>IF(OR('Client Cost HIDE'!$E$152&gt;B32,C31&lt;1),0,AB32)</f>
        <v>0</v>
      </c>
      <c r="F32" s="233">
        <f>IF(indexing,D32*(1+'Client Cost HIDE'!$B$175)^(B32-$B$6)-D32,0)</f>
        <v>0</v>
      </c>
      <c r="G32" s="233">
        <f>IF('Client Cost HIDE'!$C$32&lt;1,'Client Cost HIDE'!$C$32*D32,IF(C31&gt;1,'Client Cost HIDE'!$C$32,0))</f>
        <v>0</v>
      </c>
      <c r="H32" s="233">
        <f>SUM(E32:G32)*'Client Cost HIDE'!$B$28</f>
        <v>0</v>
      </c>
      <c r="I32" s="791">
        <f t="shared" si="4"/>
        <v>0</v>
      </c>
      <c r="J32" s="752">
        <f t="shared" si="5"/>
        <v>0</v>
      </c>
      <c r="K32" s="753">
        <f t="shared" si="6"/>
        <v>0</v>
      </c>
      <c r="L32" s="754">
        <f>IF('Client Cost HIDE'!$C$39&lt;1,'Client Cost HIDE'!$C$39*D32,IF(C32&gt;1,'Client Cost HIDE'!$C$39,0))</f>
        <v>0</v>
      </c>
      <c r="M32" s="233">
        <f>IF(O31&gt;0,O31*'Client Cost HIDE'!$A$177,0)</f>
        <v>0</v>
      </c>
      <c r="N32" s="755">
        <f>IF('Client Cost HIDE'!$B$14=B32,O31+L32+M32,0)</f>
        <v>0</v>
      </c>
      <c r="O32" s="755">
        <f t="shared" si="7"/>
        <v>0</v>
      </c>
      <c r="P32" s="792">
        <f t="shared" si="0"/>
        <v>0</v>
      </c>
      <c r="Q32" s="138">
        <f>IF(int_method=1,'Rep Schedule - Basic'!Q31,'Rep Schedule - Basic'!C32)</f>
        <v>0</v>
      </c>
      <c r="R32" s="759" t="e">
        <f t="shared" si="1"/>
        <v>#N/A</v>
      </c>
      <c r="S32" s="759">
        <f>IF(C32=0,0,C32-SUM($G$6:G32)-O31)</f>
        <v>0</v>
      </c>
      <c r="T32" s="759">
        <f t="shared" si="2"/>
        <v>0</v>
      </c>
      <c r="U32" s="760">
        <f t="shared" si="8"/>
        <v>-1523.2136738798367</v>
      </c>
      <c r="V32" s="254"/>
      <c r="W32" s="1" t="b">
        <f t="shared" si="9"/>
        <v>1</v>
      </c>
      <c r="AA32" s="15">
        <f>IF(C31&gt;1,IF(int_method=2,'Client Cost HIDE'!$B$172*C31,'Client Cost HIDE'!$B$172*'Client Cost HIDE'!$B$12),0)</f>
        <v>0</v>
      </c>
      <c r="AB32" s="5">
        <f>IF(B32&gt;'Client Cost HIDE'!$B$22,AA32,0)+AB31-E31</f>
        <v>0</v>
      </c>
    </row>
    <row r="33" spans="2:28" hidden="1">
      <c r="B33" s="392">
        <v>27</v>
      </c>
      <c r="C33" s="794">
        <f t="shared" si="3"/>
        <v>0</v>
      </c>
      <c r="D33" s="233">
        <f>IF(AND(B33&gt;='Client Cost HIDE'!$D$152,B33&lt;='Client Cost HIDE'!$B$14),IF(amortized=1,'Client Cost HIDE'!$B$12/'Client Cost HIDE'!$D$151,-PPMT('Client Cost HIDE'!$B$172,$B33-'Client Cost HIDE'!$D$152+1,'Client Cost HIDE'!$D$151,'Client Cost HIDE'!$B$12)),0)</f>
        <v>0</v>
      </c>
      <c r="E33" s="758">
        <f>IF(OR('Client Cost HIDE'!$E$152&gt;B33,C32&lt;1),0,AB33)</f>
        <v>0</v>
      </c>
      <c r="F33" s="233">
        <f>IF(indexing,D33*(1+'Client Cost HIDE'!$B$175)^(B33-$B$6)-D33,0)</f>
        <v>0</v>
      </c>
      <c r="G33" s="233">
        <f>IF('Client Cost HIDE'!$C$32&lt;1,'Client Cost HIDE'!$C$32*D33,IF(C32&gt;1,'Client Cost HIDE'!$C$32,0))</f>
        <v>0</v>
      </c>
      <c r="H33" s="233">
        <f>SUM(E33:G33)*'Client Cost HIDE'!$B$28</f>
        <v>0</v>
      </c>
      <c r="I33" s="791">
        <f t="shared" si="4"/>
        <v>0</v>
      </c>
      <c r="J33" s="752">
        <f t="shared" si="5"/>
        <v>0</v>
      </c>
      <c r="K33" s="753">
        <f t="shared" si="6"/>
        <v>0</v>
      </c>
      <c r="L33" s="754">
        <f>IF('Client Cost HIDE'!$C$39&lt;1,'Client Cost HIDE'!$C$39*D33,IF(C33&gt;1,'Client Cost HIDE'!$C$39,0))</f>
        <v>0</v>
      </c>
      <c r="M33" s="233">
        <f>IF(O32&gt;0,O32*'Client Cost HIDE'!$A$177,0)</f>
        <v>0</v>
      </c>
      <c r="N33" s="755">
        <f>IF('Client Cost HIDE'!$B$14=B33,O32+L33+M33,0)</f>
        <v>0</v>
      </c>
      <c r="O33" s="755">
        <f t="shared" si="7"/>
        <v>0</v>
      </c>
      <c r="P33" s="792">
        <f t="shared" si="0"/>
        <v>0</v>
      </c>
      <c r="Q33" s="138">
        <f>IF(int_method=1,'Rep Schedule - Basic'!Q32,'Rep Schedule - Basic'!C33)</f>
        <v>0</v>
      </c>
      <c r="R33" s="759" t="e">
        <f t="shared" si="1"/>
        <v>#N/A</v>
      </c>
      <c r="S33" s="759">
        <f>IF(C33=0,0,C33-SUM($G$6:G33)-O32)</f>
        <v>0</v>
      </c>
      <c r="T33" s="759">
        <f t="shared" si="2"/>
        <v>0</v>
      </c>
      <c r="U33" s="760">
        <f t="shared" si="8"/>
        <v>-1523.2136738798367</v>
      </c>
      <c r="V33" s="254"/>
      <c r="W33" s="1" t="b">
        <f t="shared" si="9"/>
        <v>1</v>
      </c>
      <c r="AA33" s="15">
        <f>IF(C32&gt;1,IF(int_method=2,'Client Cost HIDE'!$B$172*C32,'Client Cost HIDE'!$B$172*'Client Cost HIDE'!$B$12),0)</f>
        <v>0</v>
      </c>
      <c r="AB33" s="5">
        <f>IF(B33&gt;'Client Cost HIDE'!$B$22,AA33,0)+AB32-E32</f>
        <v>0</v>
      </c>
    </row>
    <row r="34" spans="2:28" hidden="1">
      <c r="B34" s="392">
        <v>28</v>
      </c>
      <c r="C34" s="794">
        <f t="shared" si="3"/>
        <v>0</v>
      </c>
      <c r="D34" s="233">
        <f>IF(AND(B34&gt;='Client Cost HIDE'!$D$152,B34&lt;='Client Cost HIDE'!$B$14),IF(amortized=1,'Client Cost HIDE'!$B$12/'Client Cost HIDE'!$D$151,-PPMT('Client Cost HIDE'!$B$172,$B34-'Client Cost HIDE'!$D$152+1,'Client Cost HIDE'!$D$151,'Client Cost HIDE'!$B$12)),0)</f>
        <v>0</v>
      </c>
      <c r="E34" s="758">
        <f>IF(OR('Client Cost HIDE'!$E$152&gt;B34,C33&lt;1),0,AB34)</f>
        <v>0</v>
      </c>
      <c r="F34" s="233">
        <f>IF(indexing,D34*(1+'Client Cost HIDE'!$B$175)^(B34-$B$6)-D34,0)</f>
        <v>0</v>
      </c>
      <c r="G34" s="233">
        <f>IF('Client Cost HIDE'!$C$32&lt;1,'Client Cost HIDE'!$C$32*D34,IF(C33&gt;1,'Client Cost HIDE'!$C$32,0))</f>
        <v>0</v>
      </c>
      <c r="H34" s="233">
        <f>SUM(E34:G34)*'Client Cost HIDE'!$B$28</f>
        <v>0</v>
      </c>
      <c r="I34" s="791">
        <f t="shared" si="4"/>
        <v>0</v>
      </c>
      <c r="J34" s="752">
        <f t="shared" si="5"/>
        <v>0</v>
      </c>
      <c r="K34" s="753">
        <f t="shared" si="6"/>
        <v>0</v>
      </c>
      <c r="L34" s="754">
        <f>IF('Client Cost HIDE'!$C$39&lt;1,'Client Cost HIDE'!$C$39*D34,IF(C34&gt;1,'Client Cost HIDE'!$C$39,0))</f>
        <v>0</v>
      </c>
      <c r="M34" s="233">
        <f>IF(O33&gt;0,O33*'Client Cost HIDE'!$A$177,0)</f>
        <v>0</v>
      </c>
      <c r="N34" s="755">
        <f>IF('Client Cost HIDE'!$B$14=B34,O33+L34+M34,0)</f>
        <v>0</v>
      </c>
      <c r="O34" s="755">
        <f t="shared" si="7"/>
        <v>0</v>
      </c>
      <c r="P34" s="792">
        <f t="shared" si="0"/>
        <v>0</v>
      </c>
      <c r="Q34" s="138">
        <f>IF(int_method=1,'Rep Schedule - Basic'!Q33,'Rep Schedule - Basic'!C34)</f>
        <v>0</v>
      </c>
      <c r="R34" s="759" t="e">
        <f t="shared" si="1"/>
        <v>#N/A</v>
      </c>
      <c r="S34" s="759">
        <f>IF(C34=0,0,C34-SUM($G$6:G34)-O33)</f>
        <v>0</v>
      </c>
      <c r="T34" s="759">
        <f t="shared" si="2"/>
        <v>0</v>
      </c>
      <c r="U34" s="760">
        <f t="shared" si="8"/>
        <v>-1523.2136738798367</v>
      </c>
      <c r="V34" s="254"/>
      <c r="W34" s="1" t="b">
        <f t="shared" si="9"/>
        <v>1</v>
      </c>
      <c r="AA34" s="15">
        <f>IF(C33&gt;1,IF(int_method=2,'Client Cost HIDE'!$B$172*C33,'Client Cost HIDE'!$B$172*'Client Cost HIDE'!$B$12),0)</f>
        <v>0</v>
      </c>
      <c r="AB34" s="5">
        <f>IF(B34&gt;'Client Cost HIDE'!$B$22,AA34,0)+AB33-E33</f>
        <v>0</v>
      </c>
    </row>
    <row r="35" spans="2:28" hidden="1">
      <c r="B35" s="392">
        <v>29</v>
      </c>
      <c r="C35" s="794">
        <f t="shared" si="3"/>
        <v>0</v>
      </c>
      <c r="D35" s="233">
        <f>IF(AND(B35&gt;='Client Cost HIDE'!$D$152,B35&lt;='Client Cost HIDE'!$B$14),IF(amortized=1,'Client Cost HIDE'!$B$12/'Client Cost HIDE'!$D$151,-PPMT('Client Cost HIDE'!$B$172,$B35-'Client Cost HIDE'!$D$152+1,'Client Cost HIDE'!$D$151,'Client Cost HIDE'!$B$12)),0)</f>
        <v>0</v>
      </c>
      <c r="E35" s="758">
        <f>IF(OR('Client Cost HIDE'!$E$152&gt;B35,C34&lt;1),0,AB35)</f>
        <v>0</v>
      </c>
      <c r="F35" s="233">
        <f>IF(indexing,D35*(1+'Client Cost HIDE'!$B$175)^(B35-$B$6)-D35,0)</f>
        <v>0</v>
      </c>
      <c r="G35" s="233">
        <f>IF('Client Cost HIDE'!$C$32&lt;1,'Client Cost HIDE'!$C$32*D35,IF(C34&gt;1,'Client Cost HIDE'!$C$32,0))</f>
        <v>0</v>
      </c>
      <c r="H35" s="233">
        <f>SUM(E35:G35)*'Client Cost HIDE'!$B$28</f>
        <v>0</v>
      </c>
      <c r="I35" s="791">
        <f t="shared" si="4"/>
        <v>0</v>
      </c>
      <c r="J35" s="752">
        <f t="shared" si="5"/>
        <v>0</v>
      </c>
      <c r="K35" s="753">
        <f t="shared" si="6"/>
        <v>0</v>
      </c>
      <c r="L35" s="754">
        <f>IF('Client Cost HIDE'!$C$39&lt;1,'Client Cost HIDE'!$C$39*D35,IF(C35&gt;1,'Client Cost HIDE'!$C$39,0))</f>
        <v>0</v>
      </c>
      <c r="M35" s="233">
        <f>IF(O34&gt;0,O34*'Client Cost HIDE'!$A$177,0)</f>
        <v>0</v>
      </c>
      <c r="N35" s="755">
        <f>IF('Client Cost HIDE'!$B$14=B35,O34+L35+M35,0)</f>
        <v>0</v>
      </c>
      <c r="O35" s="755">
        <f t="shared" si="7"/>
        <v>0</v>
      </c>
      <c r="P35" s="792">
        <f t="shared" si="0"/>
        <v>0</v>
      </c>
      <c r="Q35" s="138">
        <f>IF(int_method=1,'Rep Schedule - Basic'!Q34,'Rep Schedule - Basic'!C35)</f>
        <v>0</v>
      </c>
      <c r="R35" s="759" t="e">
        <f t="shared" si="1"/>
        <v>#N/A</v>
      </c>
      <c r="S35" s="759">
        <f>IF(C35=0,0,C35-SUM($G$6:G35)-O34)</f>
        <v>0</v>
      </c>
      <c r="T35" s="759">
        <f t="shared" si="2"/>
        <v>0</v>
      </c>
      <c r="U35" s="760">
        <f t="shared" si="8"/>
        <v>-1523.2136738798367</v>
      </c>
      <c r="V35" s="254"/>
      <c r="W35" s="1" t="b">
        <f t="shared" si="9"/>
        <v>1</v>
      </c>
      <c r="AA35" s="15">
        <f>IF(C34&gt;1,IF(int_method=2,'Client Cost HIDE'!$B$172*C34,'Client Cost HIDE'!$B$172*'Client Cost HIDE'!$B$12),0)</f>
        <v>0</v>
      </c>
      <c r="AB35" s="5">
        <f>IF(B35&gt;'Client Cost HIDE'!$B$22,AA35,0)+AB34-E34</f>
        <v>0</v>
      </c>
    </row>
    <row r="36" spans="2:28" hidden="1">
      <c r="B36" s="392">
        <v>30</v>
      </c>
      <c r="C36" s="794">
        <f t="shared" si="3"/>
        <v>0</v>
      </c>
      <c r="D36" s="233">
        <f>IF(AND(B36&gt;='Client Cost HIDE'!$D$152,B36&lt;='Client Cost HIDE'!$B$14),IF(amortized=1,'Client Cost HIDE'!$B$12/'Client Cost HIDE'!$D$151,-PPMT('Client Cost HIDE'!$B$172,$B36-'Client Cost HIDE'!$D$152+1,'Client Cost HIDE'!$D$151,'Client Cost HIDE'!$B$12)),0)</f>
        <v>0</v>
      </c>
      <c r="E36" s="758">
        <f>IF(OR('Client Cost HIDE'!$E$152&gt;B36,C35&lt;1),0,AB36)</f>
        <v>0</v>
      </c>
      <c r="F36" s="233">
        <f>IF(indexing,D36*(1+'Client Cost HIDE'!$B$175)^(B36-$B$6)-D36,0)</f>
        <v>0</v>
      </c>
      <c r="G36" s="233">
        <f>IF('Client Cost HIDE'!$C$32&lt;1,'Client Cost HIDE'!$C$32*D36,IF(C35&gt;1,'Client Cost HIDE'!$C$32,0))</f>
        <v>0</v>
      </c>
      <c r="H36" s="233">
        <f>SUM(E36:G36)*'Client Cost HIDE'!$B$28</f>
        <v>0</v>
      </c>
      <c r="I36" s="791">
        <f t="shared" si="4"/>
        <v>0</v>
      </c>
      <c r="J36" s="752">
        <f t="shared" si="5"/>
        <v>0</v>
      </c>
      <c r="K36" s="753">
        <f t="shared" si="6"/>
        <v>0</v>
      </c>
      <c r="L36" s="754">
        <f>IF('Client Cost HIDE'!$C$39&lt;1,'Client Cost HIDE'!$C$39*D36,IF(C36&gt;1,'Client Cost HIDE'!$C$39,0))</f>
        <v>0</v>
      </c>
      <c r="M36" s="233">
        <f>IF(O35&gt;0,O35*'Client Cost HIDE'!$A$177,0)</f>
        <v>0</v>
      </c>
      <c r="N36" s="755">
        <f>IF('Client Cost HIDE'!$B$14=B36,O35+L36+M36,0)</f>
        <v>0</v>
      </c>
      <c r="O36" s="755">
        <f t="shared" si="7"/>
        <v>0</v>
      </c>
      <c r="P36" s="792">
        <f t="shared" si="0"/>
        <v>0</v>
      </c>
      <c r="Q36" s="138">
        <f>IF(int_method=1,'Rep Schedule - Basic'!Q35,'Rep Schedule - Basic'!C36)</f>
        <v>0</v>
      </c>
      <c r="R36" s="759" t="e">
        <f t="shared" si="1"/>
        <v>#N/A</v>
      </c>
      <c r="S36" s="759">
        <f>IF(C36=0,0,C36-SUM($G$6:G36)-O35)</f>
        <v>0</v>
      </c>
      <c r="T36" s="759">
        <f t="shared" si="2"/>
        <v>0</v>
      </c>
      <c r="U36" s="760">
        <f t="shared" si="8"/>
        <v>-1523.2136738798367</v>
      </c>
      <c r="V36" s="254"/>
      <c r="W36" s="1" t="b">
        <f t="shared" si="9"/>
        <v>1</v>
      </c>
      <c r="AA36" s="15">
        <f>IF(C35&gt;1,IF(int_method=2,'Client Cost HIDE'!$B$172*C35,'Client Cost HIDE'!$B$172*'Client Cost HIDE'!$B$12),0)</f>
        <v>0</v>
      </c>
      <c r="AB36" s="5">
        <f>IF(B36&gt;'Client Cost HIDE'!$B$22,AA36,0)+AB35-E35</f>
        <v>0</v>
      </c>
    </row>
    <row r="37" spans="2:28" hidden="1">
      <c r="B37" s="392">
        <v>31</v>
      </c>
      <c r="C37" s="794">
        <f t="shared" si="3"/>
        <v>0</v>
      </c>
      <c r="D37" s="233">
        <f>IF(AND(B37&gt;='Client Cost HIDE'!$D$152,B37&lt;='Client Cost HIDE'!$B$14),IF(amortized=1,'Client Cost HIDE'!$B$12/'Client Cost HIDE'!$D$151,-PPMT('Client Cost HIDE'!$B$172,$B37-'Client Cost HIDE'!$D$152+1,'Client Cost HIDE'!$D$151,'Client Cost HIDE'!$B$12)),0)</f>
        <v>0</v>
      </c>
      <c r="E37" s="758">
        <f>IF(OR('Client Cost HIDE'!$E$152&gt;B37,C36&lt;1),0,AB37)</f>
        <v>0</v>
      </c>
      <c r="F37" s="233">
        <f>IF(indexing,D37*(1+'Client Cost HIDE'!$B$175)^(B37-$B$6)-D37,0)</f>
        <v>0</v>
      </c>
      <c r="G37" s="233">
        <f>IF('Client Cost HIDE'!$C$32&lt;1,'Client Cost HIDE'!$C$32*D37,IF(C36&gt;1,'Client Cost HIDE'!$C$32,0))</f>
        <v>0</v>
      </c>
      <c r="H37" s="233">
        <f>SUM(E37:G37)*'Client Cost HIDE'!$B$28</f>
        <v>0</v>
      </c>
      <c r="I37" s="791">
        <f t="shared" si="4"/>
        <v>0</v>
      </c>
      <c r="J37" s="752">
        <f t="shared" si="5"/>
        <v>0</v>
      </c>
      <c r="K37" s="753">
        <f t="shared" si="6"/>
        <v>0</v>
      </c>
      <c r="L37" s="754">
        <f>IF('Client Cost HIDE'!$C$39&lt;1,'Client Cost HIDE'!$C$39*D37,IF(C37&gt;1,'Client Cost HIDE'!$C$39,0))</f>
        <v>0</v>
      </c>
      <c r="M37" s="233">
        <f>IF(O36&gt;0,O36*'Client Cost HIDE'!$A$177,0)</f>
        <v>0</v>
      </c>
      <c r="N37" s="755">
        <f>IF('Client Cost HIDE'!$B$14=B37,O36+L37+M37,0)</f>
        <v>0</v>
      </c>
      <c r="O37" s="755">
        <f t="shared" si="7"/>
        <v>0</v>
      </c>
      <c r="P37" s="792">
        <f t="shared" si="0"/>
        <v>0</v>
      </c>
      <c r="Q37" s="138">
        <f>IF(int_method=1,'Rep Schedule - Basic'!Q36,'Rep Schedule - Basic'!C37)</f>
        <v>0</v>
      </c>
      <c r="R37" s="759" t="e">
        <f t="shared" si="1"/>
        <v>#N/A</v>
      </c>
      <c r="S37" s="759">
        <f>IF(C37=0,0,C37-SUM($G$6:G37)-O36)</f>
        <v>0</v>
      </c>
      <c r="T37" s="759">
        <f t="shared" si="2"/>
        <v>0</v>
      </c>
      <c r="U37" s="760">
        <f t="shared" si="8"/>
        <v>-1523.2136738798367</v>
      </c>
      <c r="V37" s="254"/>
      <c r="W37" s="1" t="b">
        <f t="shared" si="9"/>
        <v>1</v>
      </c>
      <c r="AA37" s="15">
        <f>IF(C36&gt;1,IF(int_method=2,'Client Cost HIDE'!$B$172*C36,'Client Cost HIDE'!$B$172*'Client Cost HIDE'!$B$12),0)</f>
        <v>0</v>
      </c>
      <c r="AB37" s="5">
        <f>IF(B37&gt;'Client Cost HIDE'!$B$22,AA37,0)+AB36-E36</f>
        <v>0</v>
      </c>
    </row>
    <row r="38" spans="2:28" hidden="1">
      <c r="B38" s="392">
        <v>32</v>
      </c>
      <c r="C38" s="794">
        <f t="shared" si="3"/>
        <v>0</v>
      </c>
      <c r="D38" s="233">
        <f>IF(AND(B38&gt;='Client Cost HIDE'!$D$152,B38&lt;='Client Cost HIDE'!$B$14),IF(amortized=1,'Client Cost HIDE'!$B$12/'Client Cost HIDE'!$D$151,-PPMT('Client Cost HIDE'!$B$172,$B38-'Client Cost HIDE'!$D$152+1,'Client Cost HIDE'!$D$151,'Client Cost HIDE'!$B$12)),0)</f>
        <v>0</v>
      </c>
      <c r="E38" s="758">
        <f>IF(OR('Client Cost HIDE'!$E$152&gt;B38,C37&lt;1),0,AB38)</f>
        <v>0</v>
      </c>
      <c r="F38" s="233">
        <f>IF(indexing,D38*(1+'Client Cost HIDE'!$B$175)^(B38-$B$6)-D38,0)</f>
        <v>0</v>
      </c>
      <c r="G38" s="233">
        <f>IF('Client Cost HIDE'!$C$32&lt;1,'Client Cost HIDE'!$C$32*D38,IF(C37&gt;1,'Client Cost HIDE'!$C$32,0))</f>
        <v>0</v>
      </c>
      <c r="H38" s="233">
        <f>SUM(E38:G38)*'Client Cost HIDE'!$B$28</f>
        <v>0</v>
      </c>
      <c r="I38" s="791">
        <f t="shared" si="4"/>
        <v>0</v>
      </c>
      <c r="J38" s="752">
        <f t="shared" si="5"/>
        <v>0</v>
      </c>
      <c r="K38" s="753">
        <f t="shared" si="6"/>
        <v>0</v>
      </c>
      <c r="L38" s="754">
        <f>IF('Client Cost HIDE'!$C$39&lt;1,'Client Cost HIDE'!$C$39*D38,IF(C38&gt;1,'Client Cost HIDE'!$C$39,0))</f>
        <v>0</v>
      </c>
      <c r="M38" s="233">
        <f>IF(O37&gt;0,O37*'Client Cost HIDE'!$A$177,0)</f>
        <v>0</v>
      </c>
      <c r="N38" s="755">
        <f>IF('Client Cost HIDE'!$B$14=B38,O37+L38+M38,0)</f>
        <v>0</v>
      </c>
      <c r="O38" s="755">
        <f t="shared" si="7"/>
        <v>0</v>
      </c>
      <c r="P38" s="792">
        <f t="shared" ref="P38:P69" si="10">+K38-L38+N38</f>
        <v>0</v>
      </c>
      <c r="Q38" s="138">
        <f>IF(int_method=1,'Rep Schedule - Basic'!Q37,'Rep Schedule - Basic'!C38)</f>
        <v>0</v>
      </c>
      <c r="R38" s="759" t="e">
        <f t="shared" ref="R38:R69" si="11">IF(O38&gt;0,O38,NA())</f>
        <v>#N/A</v>
      </c>
      <c r="S38" s="759">
        <f>IF(C38=0,0,C38-SUM($G$6:G38)-O37)</f>
        <v>0</v>
      </c>
      <c r="T38" s="759">
        <f t="shared" ref="T38:T69" si="12">IF(AND(S38&lt;0,B38&lt;=term),1,0)</f>
        <v>0</v>
      </c>
      <c r="U38" s="760">
        <f t="shared" si="8"/>
        <v>-1523.2136738798367</v>
      </c>
      <c r="V38" s="254"/>
      <c r="W38" s="1" t="b">
        <f t="shared" si="9"/>
        <v>1</v>
      </c>
      <c r="AA38" s="15">
        <f>IF(C37&gt;1,IF(int_method=2,'Client Cost HIDE'!$B$172*C37,'Client Cost HIDE'!$B$172*'Client Cost HIDE'!$B$12),0)</f>
        <v>0</v>
      </c>
      <c r="AB38" s="5">
        <f>IF(B38&gt;'Client Cost HIDE'!$B$22,AA38,0)+AB37-E37</f>
        <v>0</v>
      </c>
    </row>
    <row r="39" spans="2:28" hidden="1">
      <c r="B39" s="392">
        <v>33</v>
      </c>
      <c r="C39" s="794">
        <f t="shared" ref="C39:C70" si="13">IF(C38-D39&gt;1,ROUND(+C38-D39,2),0)</f>
        <v>0</v>
      </c>
      <c r="D39" s="233">
        <f>IF(AND(B39&gt;='Client Cost HIDE'!$D$152,B39&lt;='Client Cost HIDE'!$B$14),IF(amortized=1,'Client Cost HIDE'!$B$12/'Client Cost HIDE'!$D$151,-PPMT('Client Cost HIDE'!$B$172,$B39-'Client Cost HIDE'!$D$152+1,'Client Cost HIDE'!$D$151,'Client Cost HIDE'!$B$12)),0)</f>
        <v>0</v>
      </c>
      <c r="E39" s="758">
        <f>IF(OR('Client Cost HIDE'!$E$152&gt;B39,C38&lt;1),0,AB39)</f>
        <v>0</v>
      </c>
      <c r="F39" s="233">
        <f>IF(indexing,D39*(1+'Client Cost HIDE'!$B$175)^(B39-$B$6)-D39,0)</f>
        <v>0</v>
      </c>
      <c r="G39" s="233">
        <f>IF('Client Cost HIDE'!$C$32&lt;1,'Client Cost HIDE'!$C$32*D39,IF(C38&gt;1,'Client Cost HIDE'!$C$32,0))</f>
        <v>0</v>
      </c>
      <c r="H39" s="233">
        <f>SUM(E39:G39)*'Client Cost HIDE'!$B$28</f>
        <v>0</v>
      </c>
      <c r="I39" s="791">
        <f t="shared" ref="I39:I70" si="14">-D39-E39-F39</f>
        <v>0</v>
      </c>
      <c r="J39" s="752">
        <f t="shared" ref="J39:J70" si="15">-D39-E39-F39-G39</f>
        <v>0</v>
      </c>
      <c r="K39" s="753">
        <f t="shared" ref="K39:K70" si="16">-D39-E39-F39-G39-H39</f>
        <v>0</v>
      </c>
      <c r="L39" s="754">
        <f>IF('Client Cost HIDE'!$C$39&lt;1,'Client Cost HIDE'!$C$39*D39,IF(C39&gt;1,'Client Cost HIDE'!$C$39,0))</f>
        <v>0</v>
      </c>
      <c r="M39" s="233">
        <f>IF(O38&gt;0,O38*'Client Cost HIDE'!$A$177,0)</f>
        <v>0</v>
      </c>
      <c r="N39" s="755">
        <f>IF('Client Cost HIDE'!$B$14=B39,O38+L39+M39,0)</f>
        <v>0</v>
      </c>
      <c r="O39" s="755">
        <f t="shared" ref="O39:O70" si="17">+O38+L39+M39-N39</f>
        <v>0</v>
      </c>
      <c r="P39" s="792">
        <f t="shared" si="10"/>
        <v>0</v>
      </c>
      <c r="Q39" s="138">
        <f>IF(int_method=1,'Rep Schedule - Basic'!Q38,'Rep Schedule - Basic'!C39)</f>
        <v>0</v>
      </c>
      <c r="R39" s="759" t="e">
        <f t="shared" si="11"/>
        <v>#N/A</v>
      </c>
      <c r="S39" s="759">
        <f>IF(C39=0,0,C39-SUM($G$6:G39)-O38)</f>
        <v>0</v>
      </c>
      <c r="T39" s="759">
        <f t="shared" si="12"/>
        <v>0</v>
      </c>
      <c r="U39" s="760">
        <f t="shared" ref="U39:U70" si="18">U38+S39</f>
        <v>-1523.2136738798367</v>
      </c>
      <c r="V39" s="254"/>
      <c r="W39" s="1" t="b">
        <f t="shared" si="9"/>
        <v>1</v>
      </c>
      <c r="AA39" s="15">
        <f>IF(C38&gt;1,IF(int_method=2,'Client Cost HIDE'!$B$172*C38,'Client Cost HIDE'!$B$172*'Client Cost HIDE'!$B$12),0)</f>
        <v>0</v>
      </c>
      <c r="AB39" s="5">
        <f>IF(B39&gt;'Client Cost HIDE'!$B$22,AA39,0)+AB38-E38</f>
        <v>0</v>
      </c>
    </row>
    <row r="40" spans="2:28" hidden="1">
      <c r="B40" s="392">
        <v>34</v>
      </c>
      <c r="C40" s="794">
        <f t="shared" si="13"/>
        <v>0</v>
      </c>
      <c r="D40" s="233">
        <f>IF(AND(B40&gt;='Client Cost HIDE'!$D$152,B40&lt;='Client Cost HIDE'!$B$14),IF(amortized=1,'Client Cost HIDE'!$B$12/'Client Cost HIDE'!$D$151,-PPMT('Client Cost HIDE'!$B$172,$B40-'Client Cost HIDE'!$D$152+1,'Client Cost HIDE'!$D$151,'Client Cost HIDE'!$B$12)),0)</f>
        <v>0</v>
      </c>
      <c r="E40" s="758">
        <f>IF(OR('Client Cost HIDE'!$E$152&gt;B40,C39&lt;1),0,AB40)</f>
        <v>0</v>
      </c>
      <c r="F40" s="233">
        <f>IF(indexing,D40*(1+'Client Cost HIDE'!$B$175)^(B40-$B$6)-D40,0)</f>
        <v>0</v>
      </c>
      <c r="G40" s="233">
        <f>IF('Client Cost HIDE'!$C$32&lt;1,'Client Cost HIDE'!$C$32*D40,IF(C39&gt;1,'Client Cost HIDE'!$C$32,0))</f>
        <v>0</v>
      </c>
      <c r="H40" s="233">
        <f>SUM(E40:G40)*'Client Cost HIDE'!$B$28</f>
        <v>0</v>
      </c>
      <c r="I40" s="791">
        <f t="shared" si="14"/>
        <v>0</v>
      </c>
      <c r="J40" s="752">
        <f t="shared" si="15"/>
        <v>0</v>
      </c>
      <c r="K40" s="753">
        <f t="shared" si="16"/>
        <v>0</v>
      </c>
      <c r="L40" s="754">
        <f>IF('Client Cost HIDE'!$C$39&lt;1,'Client Cost HIDE'!$C$39*D40,IF(C40&gt;1,'Client Cost HIDE'!$C$39,0))</f>
        <v>0</v>
      </c>
      <c r="M40" s="233">
        <f>IF(O39&gt;0,O39*'Client Cost HIDE'!$A$177,0)</f>
        <v>0</v>
      </c>
      <c r="N40" s="755">
        <f>IF('Client Cost HIDE'!$B$14=B40,O39+L40+M40,0)</f>
        <v>0</v>
      </c>
      <c r="O40" s="755">
        <f t="shared" si="17"/>
        <v>0</v>
      </c>
      <c r="P40" s="792">
        <f t="shared" si="10"/>
        <v>0</v>
      </c>
      <c r="Q40" s="138">
        <f>IF(int_method=1,'Rep Schedule - Basic'!Q39,'Rep Schedule - Basic'!C40)</f>
        <v>0</v>
      </c>
      <c r="R40" s="759" t="e">
        <f t="shared" si="11"/>
        <v>#N/A</v>
      </c>
      <c r="S40" s="759">
        <f>IF(C40=0,0,C40-SUM($G$6:G40)-O39)</f>
        <v>0</v>
      </c>
      <c r="T40" s="759">
        <f t="shared" si="12"/>
        <v>0</v>
      </c>
      <c r="U40" s="760">
        <f t="shared" si="18"/>
        <v>-1523.2136738798367</v>
      </c>
      <c r="V40" s="254"/>
      <c r="W40" s="1" t="b">
        <f t="shared" ref="W40:W71" si="19">IF(B40&lt;=term,"x",TRUE)</f>
        <v>1</v>
      </c>
      <c r="AA40" s="15">
        <f>IF(C39&gt;1,IF(int_method=2,'Client Cost HIDE'!$B$172*C39,'Client Cost HIDE'!$B$172*'Client Cost HIDE'!$B$12),0)</f>
        <v>0</v>
      </c>
      <c r="AB40" s="5">
        <f>IF(B40&gt;'Client Cost HIDE'!$B$22,AA40,0)+AB39-E39</f>
        <v>0</v>
      </c>
    </row>
    <row r="41" spans="2:28" hidden="1">
      <c r="B41" s="392">
        <v>35</v>
      </c>
      <c r="C41" s="794">
        <f t="shared" si="13"/>
        <v>0</v>
      </c>
      <c r="D41" s="233">
        <f>IF(AND(B41&gt;='Client Cost HIDE'!$D$152,B41&lt;='Client Cost HIDE'!$B$14),IF(amortized=1,'Client Cost HIDE'!$B$12/'Client Cost HIDE'!$D$151,-PPMT('Client Cost HIDE'!$B$172,$B41-'Client Cost HIDE'!$D$152+1,'Client Cost HIDE'!$D$151,'Client Cost HIDE'!$B$12)),0)</f>
        <v>0</v>
      </c>
      <c r="E41" s="758">
        <f>IF(OR('Client Cost HIDE'!$E$152&gt;B41,C40&lt;1),0,AB41)</f>
        <v>0</v>
      </c>
      <c r="F41" s="233">
        <f>IF(indexing,D41*(1+'Client Cost HIDE'!$B$175)^(B41-$B$6)-D41,0)</f>
        <v>0</v>
      </c>
      <c r="G41" s="233">
        <f>IF('Client Cost HIDE'!$C$32&lt;1,'Client Cost HIDE'!$C$32*D41,IF(C40&gt;1,'Client Cost HIDE'!$C$32,0))</f>
        <v>0</v>
      </c>
      <c r="H41" s="233">
        <f>SUM(E41:G41)*'Client Cost HIDE'!$B$28</f>
        <v>0</v>
      </c>
      <c r="I41" s="791">
        <f t="shared" si="14"/>
        <v>0</v>
      </c>
      <c r="J41" s="752">
        <f t="shared" si="15"/>
        <v>0</v>
      </c>
      <c r="K41" s="753">
        <f t="shared" si="16"/>
        <v>0</v>
      </c>
      <c r="L41" s="754">
        <f>IF('Client Cost HIDE'!$C$39&lt;1,'Client Cost HIDE'!$C$39*D41,IF(C41&gt;1,'Client Cost HIDE'!$C$39,0))</f>
        <v>0</v>
      </c>
      <c r="M41" s="233">
        <f>IF(O40&gt;0,O40*'Client Cost HIDE'!$A$177,0)</f>
        <v>0</v>
      </c>
      <c r="N41" s="755">
        <f>IF('Client Cost HIDE'!$B$14=B41,O40+L41+M41,0)</f>
        <v>0</v>
      </c>
      <c r="O41" s="755">
        <f t="shared" si="17"/>
        <v>0</v>
      </c>
      <c r="P41" s="792">
        <f t="shared" si="10"/>
        <v>0</v>
      </c>
      <c r="Q41" s="138">
        <f>IF(int_method=1,'Rep Schedule - Basic'!Q40,'Rep Schedule - Basic'!C41)</f>
        <v>0</v>
      </c>
      <c r="R41" s="759" t="e">
        <f t="shared" si="11"/>
        <v>#N/A</v>
      </c>
      <c r="S41" s="759">
        <f>IF(C41=0,0,C41-SUM($G$6:G41)-O40)</f>
        <v>0</v>
      </c>
      <c r="T41" s="759">
        <f t="shared" si="12"/>
        <v>0</v>
      </c>
      <c r="U41" s="760">
        <f t="shared" si="18"/>
        <v>-1523.2136738798367</v>
      </c>
      <c r="V41" s="254"/>
      <c r="W41" s="1" t="b">
        <f t="shared" si="19"/>
        <v>1</v>
      </c>
      <c r="AA41" s="15">
        <f>IF(C40&gt;1,IF(int_method=2,'Client Cost HIDE'!$B$172*C40,'Client Cost HIDE'!$B$172*'Client Cost HIDE'!$B$12),0)</f>
        <v>0</v>
      </c>
      <c r="AB41" s="5">
        <f>IF(B41&gt;'Client Cost HIDE'!$B$22,AA41,0)+AB40-E40</f>
        <v>0</v>
      </c>
    </row>
    <row r="42" spans="2:28" hidden="1">
      <c r="B42" s="392">
        <v>36</v>
      </c>
      <c r="C42" s="794">
        <f t="shared" si="13"/>
        <v>0</v>
      </c>
      <c r="D42" s="233">
        <f>IF(AND(B42&gt;='Client Cost HIDE'!$D$152,B42&lt;='Client Cost HIDE'!$B$14),IF(amortized=1,'Client Cost HIDE'!$B$12/'Client Cost HIDE'!$D$151,-PPMT('Client Cost HIDE'!$B$172,$B42-'Client Cost HIDE'!$D$152+1,'Client Cost HIDE'!$D$151,'Client Cost HIDE'!$B$12)),0)</f>
        <v>0</v>
      </c>
      <c r="E42" s="758">
        <f>IF(OR('Client Cost HIDE'!$E$152&gt;B42,C41&lt;1),0,AB42)</f>
        <v>0</v>
      </c>
      <c r="F42" s="233">
        <f>IF(indexing,D42*(1+'Client Cost HIDE'!$B$175)^(B42-$B$6)-D42,0)</f>
        <v>0</v>
      </c>
      <c r="G42" s="233">
        <f>IF('Client Cost HIDE'!$C$32&lt;1,'Client Cost HIDE'!$C$32*D42,IF(C41&gt;1,'Client Cost HIDE'!$C$32,0))</f>
        <v>0</v>
      </c>
      <c r="H42" s="233">
        <f>SUM(E42:G42)*'Client Cost HIDE'!$B$28</f>
        <v>0</v>
      </c>
      <c r="I42" s="791">
        <f t="shared" si="14"/>
        <v>0</v>
      </c>
      <c r="J42" s="752">
        <f t="shared" si="15"/>
        <v>0</v>
      </c>
      <c r="K42" s="753">
        <f t="shared" si="16"/>
        <v>0</v>
      </c>
      <c r="L42" s="754">
        <f>IF('Client Cost HIDE'!$C$39&lt;1,'Client Cost HIDE'!$C$39*D42,IF(C42&gt;1,'Client Cost HIDE'!$C$39,0))</f>
        <v>0</v>
      </c>
      <c r="M42" s="233">
        <f>IF(O41&gt;0,O41*'Client Cost HIDE'!$A$177,0)</f>
        <v>0</v>
      </c>
      <c r="N42" s="755">
        <f>IF('Client Cost HIDE'!$B$14=B42,O41+L42+M42,0)</f>
        <v>0</v>
      </c>
      <c r="O42" s="755">
        <f t="shared" si="17"/>
        <v>0</v>
      </c>
      <c r="P42" s="792">
        <f t="shared" si="10"/>
        <v>0</v>
      </c>
      <c r="Q42" s="138">
        <f>IF(int_method=1,'Rep Schedule - Basic'!Q41,'Rep Schedule - Basic'!C42)</f>
        <v>0</v>
      </c>
      <c r="R42" s="759" t="e">
        <f t="shared" si="11"/>
        <v>#N/A</v>
      </c>
      <c r="S42" s="759">
        <f>IF(C42=0,0,C42-SUM($G$6:G42)-O41)</f>
        <v>0</v>
      </c>
      <c r="T42" s="759">
        <f t="shared" si="12"/>
        <v>0</v>
      </c>
      <c r="U42" s="760">
        <f t="shared" si="18"/>
        <v>-1523.2136738798367</v>
      </c>
      <c r="V42" s="254"/>
      <c r="W42" s="1" t="b">
        <f t="shared" si="19"/>
        <v>1</v>
      </c>
      <c r="AA42" s="15">
        <f>IF(C41&gt;1,IF(int_method=2,'Client Cost HIDE'!$B$172*C41,'Client Cost HIDE'!$B$172*'Client Cost HIDE'!$B$12),0)</f>
        <v>0</v>
      </c>
      <c r="AB42" s="5">
        <f>IF(B42&gt;'Client Cost HIDE'!$B$22,AA42,0)+AB41-E41</f>
        <v>0</v>
      </c>
    </row>
    <row r="43" spans="2:28" hidden="1">
      <c r="B43" s="392">
        <v>37</v>
      </c>
      <c r="C43" s="794">
        <f t="shared" si="13"/>
        <v>0</v>
      </c>
      <c r="D43" s="233">
        <f>IF(AND(B43&gt;='Client Cost HIDE'!$D$152,B43&lt;='Client Cost HIDE'!$B$14),IF(amortized=1,'Client Cost HIDE'!$B$12/'Client Cost HIDE'!$D$151,-PPMT('Client Cost HIDE'!$B$172,$B43-'Client Cost HIDE'!$D$152+1,'Client Cost HIDE'!$D$151,'Client Cost HIDE'!$B$12)),0)</f>
        <v>0</v>
      </c>
      <c r="E43" s="758">
        <f>IF(OR('Client Cost HIDE'!$E$152&gt;B43,C42&lt;1),0,AB43)</f>
        <v>0</v>
      </c>
      <c r="F43" s="233">
        <f>IF(indexing,D43*(1+'Client Cost HIDE'!$B$175)^(B43-$B$6)-D43,0)</f>
        <v>0</v>
      </c>
      <c r="G43" s="233">
        <f>IF('Client Cost HIDE'!$C$32&lt;1,'Client Cost HIDE'!$C$32*D43,IF(C42&gt;1,'Client Cost HIDE'!$C$32,0))</f>
        <v>0</v>
      </c>
      <c r="H43" s="233">
        <f>SUM(E43:G43)*'Client Cost HIDE'!$B$28</f>
        <v>0</v>
      </c>
      <c r="I43" s="791">
        <f t="shared" si="14"/>
        <v>0</v>
      </c>
      <c r="J43" s="752">
        <f t="shared" si="15"/>
        <v>0</v>
      </c>
      <c r="K43" s="753">
        <f t="shared" si="16"/>
        <v>0</v>
      </c>
      <c r="L43" s="754">
        <f>IF('Client Cost HIDE'!$C$39&lt;1,'Client Cost HIDE'!$C$39*D43,IF(C43&gt;1,'Client Cost HIDE'!$C$39,0))</f>
        <v>0</v>
      </c>
      <c r="M43" s="233">
        <f>IF(O42&gt;0,O42*'Client Cost HIDE'!$A$177,0)</f>
        <v>0</v>
      </c>
      <c r="N43" s="755">
        <f>IF('Client Cost HIDE'!$B$14=B43,O42+L43+M43,0)</f>
        <v>0</v>
      </c>
      <c r="O43" s="755">
        <f t="shared" si="17"/>
        <v>0</v>
      </c>
      <c r="P43" s="792">
        <f t="shared" si="10"/>
        <v>0</v>
      </c>
      <c r="Q43" s="138">
        <f>IF(int_method=1,'Rep Schedule - Basic'!Q42,'Rep Schedule - Basic'!C43)</f>
        <v>0</v>
      </c>
      <c r="R43" s="759" t="e">
        <f t="shared" si="11"/>
        <v>#N/A</v>
      </c>
      <c r="S43" s="759">
        <f>IF(C43=0,0,C43-SUM($G$6:G43)-O42)</f>
        <v>0</v>
      </c>
      <c r="T43" s="759">
        <f t="shared" si="12"/>
        <v>0</v>
      </c>
      <c r="U43" s="760">
        <f t="shared" si="18"/>
        <v>-1523.2136738798367</v>
      </c>
      <c r="V43" s="254"/>
      <c r="W43" s="1" t="b">
        <f t="shared" si="19"/>
        <v>1</v>
      </c>
      <c r="AA43" s="15">
        <f>IF(C42&gt;1,IF(int_method=2,'Client Cost HIDE'!$B$172*C42,'Client Cost HIDE'!$B$172*'Client Cost HIDE'!$B$12),0)</f>
        <v>0</v>
      </c>
      <c r="AB43" s="5">
        <f>IF(B43&gt;'Client Cost HIDE'!$B$22,AA43,0)+AB42-E42</f>
        <v>0</v>
      </c>
    </row>
    <row r="44" spans="2:28" hidden="1">
      <c r="B44" s="392">
        <v>38</v>
      </c>
      <c r="C44" s="794">
        <f t="shared" si="13"/>
        <v>0</v>
      </c>
      <c r="D44" s="233">
        <f>IF(AND(B44&gt;='Client Cost HIDE'!$D$152,B44&lt;='Client Cost HIDE'!$B$14),IF(amortized=1,'Client Cost HIDE'!$B$12/'Client Cost HIDE'!$D$151,-PPMT('Client Cost HIDE'!$B$172,$B44-'Client Cost HIDE'!$D$152+1,'Client Cost HIDE'!$D$151,'Client Cost HIDE'!$B$12)),0)</f>
        <v>0</v>
      </c>
      <c r="E44" s="758">
        <f>IF(OR('Client Cost HIDE'!$E$152&gt;B44,C43&lt;1),0,AB44)</f>
        <v>0</v>
      </c>
      <c r="F44" s="233">
        <f>IF(indexing,D44*(1+'Client Cost HIDE'!$B$175)^(B44-$B$6)-D44,0)</f>
        <v>0</v>
      </c>
      <c r="G44" s="233">
        <f>IF('Client Cost HIDE'!$C$32&lt;1,'Client Cost HIDE'!$C$32*D44,IF(C43&gt;1,'Client Cost HIDE'!$C$32,0))</f>
        <v>0</v>
      </c>
      <c r="H44" s="233">
        <f>SUM(E44:G44)*'Client Cost HIDE'!$B$28</f>
        <v>0</v>
      </c>
      <c r="I44" s="791">
        <f t="shared" si="14"/>
        <v>0</v>
      </c>
      <c r="J44" s="752">
        <f t="shared" si="15"/>
        <v>0</v>
      </c>
      <c r="K44" s="753">
        <f t="shared" si="16"/>
        <v>0</v>
      </c>
      <c r="L44" s="754">
        <f>IF('Client Cost HIDE'!$C$39&lt;1,'Client Cost HIDE'!$C$39*D44,IF(C44&gt;1,'Client Cost HIDE'!$C$39,0))</f>
        <v>0</v>
      </c>
      <c r="M44" s="233">
        <f>IF(O43&gt;0,O43*'Client Cost HIDE'!$A$177,0)</f>
        <v>0</v>
      </c>
      <c r="N44" s="755">
        <f>IF('Client Cost HIDE'!$B$14=B44,O43+L44+M44,0)</f>
        <v>0</v>
      </c>
      <c r="O44" s="755">
        <f t="shared" si="17"/>
        <v>0</v>
      </c>
      <c r="P44" s="792">
        <f t="shared" si="10"/>
        <v>0</v>
      </c>
      <c r="Q44" s="138">
        <f>IF(int_method=1,'Rep Schedule - Basic'!Q43,'Rep Schedule - Basic'!C44)</f>
        <v>0</v>
      </c>
      <c r="R44" s="759" t="e">
        <f t="shared" si="11"/>
        <v>#N/A</v>
      </c>
      <c r="S44" s="759">
        <f>IF(C44=0,0,C44-SUM($G$6:G44)-O43)</f>
        <v>0</v>
      </c>
      <c r="T44" s="759">
        <f t="shared" si="12"/>
        <v>0</v>
      </c>
      <c r="U44" s="760">
        <f t="shared" si="18"/>
        <v>-1523.2136738798367</v>
      </c>
      <c r="V44" s="254"/>
      <c r="W44" s="1" t="b">
        <f t="shared" si="19"/>
        <v>1</v>
      </c>
      <c r="AA44" s="15">
        <f>IF(C43&gt;1,IF(int_method=2,'Client Cost HIDE'!$B$172*C43,'Client Cost HIDE'!$B$172*'Client Cost HIDE'!$B$12),0)</f>
        <v>0</v>
      </c>
      <c r="AB44" s="5">
        <f>IF(B44&gt;'Client Cost HIDE'!$B$22,AA44,0)+AB43-E43</f>
        <v>0</v>
      </c>
    </row>
    <row r="45" spans="2:28" hidden="1">
      <c r="B45" s="392">
        <v>39</v>
      </c>
      <c r="C45" s="794">
        <f t="shared" si="13"/>
        <v>0</v>
      </c>
      <c r="D45" s="233">
        <f>IF(AND(B45&gt;='Client Cost HIDE'!$D$152,B45&lt;='Client Cost HIDE'!$B$14),IF(amortized=1,'Client Cost HIDE'!$B$12/'Client Cost HIDE'!$D$151,-PPMT('Client Cost HIDE'!$B$172,$B45-'Client Cost HIDE'!$D$152+1,'Client Cost HIDE'!$D$151,'Client Cost HIDE'!$B$12)),0)</f>
        <v>0</v>
      </c>
      <c r="E45" s="758">
        <f>IF(OR('Client Cost HIDE'!$E$152&gt;B45,C44&lt;1),0,AB45)</f>
        <v>0</v>
      </c>
      <c r="F45" s="233">
        <f>IF(indexing,D45*(1+'Client Cost HIDE'!$B$175)^(B45-$B$6)-D45,0)</f>
        <v>0</v>
      </c>
      <c r="G45" s="233">
        <f>IF('Client Cost HIDE'!$C$32&lt;1,'Client Cost HIDE'!$C$32*D45,IF(C44&gt;1,'Client Cost HIDE'!$C$32,0))</f>
        <v>0</v>
      </c>
      <c r="H45" s="233">
        <f>SUM(E45:G45)*'Client Cost HIDE'!$B$28</f>
        <v>0</v>
      </c>
      <c r="I45" s="791">
        <f t="shared" si="14"/>
        <v>0</v>
      </c>
      <c r="J45" s="752">
        <f t="shared" si="15"/>
        <v>0</v>
      </c>
      <c r="K45" s="753">
        <f t="shared" si="16"/>
        <v>0</v>
      </c>
      <c r="L45" s="754">
        <f>IF('Client Cost HIDE'!$C$39&lt;1,'Client Cost HIDE'!$C$39*D45,IF(C45&gt;1,'Client Cost HIDE'!$C$39,0))</f>
        <v>0</v>
      </c>
      <c r="M45" s="233">
        <f>IF(O44&gt;0,O44*'Client Cost HIDE'!$A$177,0)</f>
        <v>0</v>
      </c>
      <c r="N45" s="755">
        <f>IF('Client Cost HIDE'!$B$14=B45,O44+L45+M45,0)</f>
        <v>0</v>
      </c>
      <c r="O45" s="755">
        <f t="shared" si="17"/>
        <v>0</v>
      </c>
      <c r="P45" s="792">
        <f t="shared" si="10"/>
        <v>0</v>
      </c>
      <c r="Q45" s="138">
        <f>IF(int_method=1,'Rep Schedule - Basic'!Q44,'Rep Schedule - Basic'!C45)</f>
        <v>0</v>
      </c>
      <c r="R45" s="759" t="e">
        <f t="shared" si="11"/>
        <v>#N/A</v>
      </c>
      <c r="S45" s="759">
        <f>IF(C45=0,0,C45-SUM($G$6:G45)-O44)</f>
        <v>0</v>
      </c>
      <c r="T45" s="759">
        <f t="shared" si="12"/>
        <v>0</v>
      </c>
      <c r="U45" s="760">
        <f t="shared" si="18"/>
        <v>-1523.2136738798367</v>
      </c>
      <c r="V45" s="254"/>
      <c r="W45" s="1" t="b">
        <f t="shared" si="19"/>
        <v>1</v>
      </c>
      <c r="AA45" s="15">
        <f>IF(C44&gt;1,IF(int_method=2,'Client Cost HIDE'!$B$172*C44,'Client Cost HIDE'!$B$172*'Client Cost HIDE'!$B$12),0)</f>
        <v>0</v>
      </c>
      <c r="AB45" s="5">
        <f>IF(B45&gt;'Client Cost HIDE'!$B$22,AA45,0)+AB44-E44</f>
        <v>0</v>
      </c>
    </row>
    <row r="46" spans="2:28" hidden="1">
      <c r="B46" s="392">
        <v>40</v>
      </c>
      <c r="C46" s="794">
        <f t="shared" si="13"/>
        <v>0</v>
      </c>
      <c r="D46" s="233">
        <f>IF(AND(B46&gt;='Client Cost HIDE'!$D$152,B46&lt;='Client Cost HIDE'!$B$14),IF(amortized=1,'Client Cost HIDE'!$B$12/'Client Cost HIDE'!$D$151,-PPMT('Client Cost HIDE'!$B$172,$B46-'Client Cost HIDE'!$D$152+1,'Client Cost HIDE'!$D$151,'Client Cost HIDE'!$B$12)),0)</f>
        <v>0</v>
      </c>
      <c r="E46" s="758">
        <f>IF(OR('Client Cost HIDE'!$E$152&gt;B46,C45&lt;1),0,AB46)</f>
        <v>0</v>
      </c>
      <c r="F46" s="233">
        <f>IF(indexing,D46*(1+'Client Cost HIDE'!$B$175)^(B46-$B$6)-D46,0)</f>
        <v>0</v>
      </c>
      <c r="G46" s="233">
        <f>IF('Client Cost HIDE'!$C$32&lt;1,'Client Cost HIDE'!$C$32*D46,IF(C45&gt;1,'Client Cost HIDE'!$C$32,0))</f>
        <v>0</v>
      </c>
      <c r="H46" s="233">
        <f>SUM(E46:G46)*'Client Cost HIDE'!$B$28</f>
        <v>0</v>
      </c>
      <c r="I46" s="791">
        <f t="shared" si="14"/>
        <v>0</v>
      </c>
      <c r="J46" s="752">
        <f t="shared" si="15"/>
        <v>0</v>
      </c>
      <c r="K46" s="753">
        <f t="shared" si="16"/>
        <v>0</v>
      </c>
      <c r="L46" s="754">
        <f>IF('Client Cost HIDE'!$C$39&lt;1,'Client Cost HIDE'!$C$39*D46,IF(C46&gt;1,'Client Cost HIDE'!$C$39,0))</f>
        <v>0</v>
      </c>
      <c r="M46" s="233">
        <f>IF(O45&gt;0,O45*'Client Cost HIDE'!$A$177,0)</f>
        <v>0</v>
      </c>
      <c r="N46" s="755">
        <f>IF('Client Cost HIDE'!$B$14=B46,O45+L46+M46,0)</f>
        <v>0</v>
      </c>
      <c r="O46" s="755">
        <f t="shared" si="17"/>
        <v>0</v>
      </c>
      <c r="P46" s="792">
        <f t="shared" si="10"/>
        <v>0</v>
      </c>
      <c r="Q46" s="138">
        <f>IF(int_method=1,'Rep Schedule - Basic'!Q45,'Rep Schedule - Basic'!C46)</f>
        <v>0</v>
      </c>
      <c r="R46" s="759" t="e">
        <f t="shared" si="11"/>
        <v>#N/A</v>
      </c>
      <c r="S46" s="759">
        <f>IF(C46=0,0,C46-SUM($G$6:G46)-O45)</f>
        <v>0</v>
      </c>
      <c r="T46" s="759">
        <f t="shared" si="12"/>
        <v>0</v>
      </c>
      <c r="U46" s="760">
        <f t="shared" si="18"/>
        <v>-1523.2136738798367</v>
      </c>
      <c r="V46" s="254"/>
      <c r="W46" s="1" t="b">
        <f t="shared" si="19"/>
        <v>1</v>
      </c>
      <c r="AA46" s="15">
        <f>IF(C45&gt;1,IF(int_method=2,'Client Cost HIDE'!$B$172*C45,'Client Cost HIDE'!$B$172*'Client Cost HIDE'!$B$12),0)</f>
        <v>0</v>
      </c>
      <c r="AB46" s="5">
        <f>IF(B46&gt;'Client Cost HIDE'!$B$22,AA46,0)+AB45-E45</f>
        <v>0</v>
      </c>
    </row>
    <row r="47" spans="2:28" hidden="1">
      <c r="B47" s="392">
        <v>41</v>
      </c>
      <c r="C47" s="794">
        <f t="shared" si="13"/>
        <v>0</v>
      </c>
      <c r="D47" s="233">
        <f>IF(AND(B47&gt;='Client Cost HIDE'!$D$152,B47&lt;='Client Cost HIDE'!$B$14),IF(amortized=1,'Client Cost HIDE'!$B$12/'Client Cost HIDE'!$D$151,-PPMT('Client Cost HIDE'!$B$172,$B47-'Client Cost HIDE'!$D$152+1,'Client Cost HIDE'!$D$151,'Client Cost HIDE'!$B$12)),0)</f>
        <v>0</v>
      </c>
      <c r="E47" s="758">
        <f>IF(OR('Client Cost HIDE'!$E$152&gt;B47,C46&lt;1),0,AB47)</f>
        <v>0</v>
      </c>
      <c r="F47" s="233">
        <f>IF(indexing,D47*(1+'Client Cost HIDE'!$B$175)^(B47-$B$6)-D47,0)</f>
        <v>0</v>
      </c>
      <c r="G47" s="233">
        <f>IF('Client Cost HIDE'!$C$32&lt;1,'Client Cost HIDE'!$C$32*D47,IF(C46&gt;1,'Client Cost HIDE'!$C$32,0))</f>
        <v>0</v>
      </c>
      <c r="H47" s="233">
        <f>SUM(E47:G47)*'Client Cost HIDE'!$B$28</f>
        <v>0</v>
      </c>
      <c r="I47" s="791">
        <f t="shared" si="14"/>
        <v>0</v>
      </c>
      <c r="J47" s="752">
        <f t="shared" si="15"/>
        <v>0</v>
      </c>
      <c r="K47" s="753">
        <f t="shared" si="16"/>
        <v>0</v>
      </c>
      <c r="L47" s="754">
        <f>IF('Client Cost HIDE'!$C$39&lt;1,'Client Cost HIDE'!$C$39*D47,IF(C47&gt;1,'Client Cost HIDE'!$C$39,0))</f>
        <v>0</v>
      </c>
      <c r="M47" s="233">
        <f>IF(O46&gt;0,O46*'Client Cost HIDE'!$A$177,0)</f>
        <v>0</v>
      </c>
      <c r="N47" s="755">
        <f>IF('Client Cost HIDE'!$B$14=B47,O46+L47+M47,0)</f>
        <v>0</v>
      </c>
      <c r="O47" s="755">
        <f t="shared" si="17"/>
        <v>0</v>
      </c>
      <c r="P47" s="792">
        <f t="shared" si="10"/>
        <v>0</v>
      </c>
      <c r="Q47" s="138">
        <f>IF(int_method=1,'Rep Schedule - Basic'!Q46,'Rep Schedule - Basic'!C47)</f>
        <v>0</v>
      </c>
      <c r="R47" s="759" t="e">
        <f t="shared" si="11"/>
        <v>#N/A</v>
      </c>
      <c r="S47" s="759">
        <f>IF(C47=0,0,C47-SUM($G$6:G47)-O46)</f>
        <v>0</v>
      </c>
      <c r="T47" s="759">
        <f t="shared" si="12"/>
        <v>0</v>
      </c>
      <c r="U47" s="760">
        <f t="shared" si="18"/>
        <v>-1523.2136738798367</v>
      </c>
      <c r="V47" s="254"/>
      <c r="W47" s="1" t="b">
        <f t="shared" si="19"/>
        <v>1</v>
      </c>
      <c r="AA47" s="15">
        <f>IF(C46&gt;1,IF(int_method=2,'Client Cost HIDE'!$B$172*C46,'Client Cost HIDE'!$B$172*'Client Cost HIDE'!$B$12),0)</f>
        <v>0</v>
      </c>
      <c r="AB47" s="5">
        <f>IF(B47&gt;'Client Cost HIDE'!$B$22,AA47,0)+AB46-E46</f>
        <v>0</v>
      </c>
    </row>
    <row r="48" spans="2:28" hidden="1">
      <c r="B48" s="392">
        <v>42</v>
      </c>
      <c r="C48" s="794">
        <f t="shared" si="13"/>
        <v>0</v>
      </c>
      <c r="D48" s="233">
        <f>IF(AND(B48&gt;='Client Cost HIDE'!$D$152,B48&lt;='Client Cost HIDE'!$B$14),IF(amortized=1,'Client Cost HIDE'!$B$12/'Client Cost HIDE'!$D$151,-PPMT('Client Cost HIDE'!$B$172,$B48-'Client Cost HIDE'!$D$152+1,'Client Cost HIDE'!$D$151,'Client Cost HIDE'!$B$12)),0)</f>
        <v>0</v>
      </c>
      <c r="E48" s="758">
        <f>IF(OR('Client Cost HIDE'!$E$152&gt;B48,C47&lt;1),0,AB48)</f>
        <v>0</v>
      </c>
      <c r="F48" s="233">
        <f>IF(indexing,D48*(1+'Client Cost HIDE'!$B$175)^(B48-$B$6)-D48,0)</f>
        <v>0</v>
      </c>
      <c r="G48" s="233">
        <f>IF('Client Cost HIDE'!$C$32&lt;1,'Client Cost HIDE'!$C$32*D48,IF(C47&gt;1,'Client Cost HIDE'!$C$32,0))</f>
        <v>0</v>
      </c>
      <c r="H48" s="233">
        <f>SUM(E48:G48)*'Client Cost HIDE'!$B$28</f>
        <v>0</v>
      </c>
      <c r="I48" s="791">
        <f t="shared" si="14"/>
        <v>0</v>
      </c>
      <c r="J48" s="752">
        <f t="shared" si="15"/>
        <v>0</v>
      </c>
      <c r="K48" s="753">
        <f t="shared" si="16"/>
        <v>0</v>
      </c>
      <c r="L48" s="754">
        <f>IF('Client Cost HIDE'!$C$39&lt;1,'Client Cost HIDE'!$C$39*D48,IF(C48&gt;1,'Client Cost HIDE'!$C$39,0))</f>
        <v>0</v>
      </c>
      <c r="M48" s="233">
        <f>IF(O47&gt;0,O47*'Client Cost HIDE'!$A$177,0)</f>
        <v>0</v>
      </c>
      <c r="N48" s="755">
        <f>IF('Client Cost HIDE'!$B$14=B48,O47+L48+M48,0)</f>
        <v>0</v>
      </c>
      <c r="O48" s="755">
        <f t="shared" si="17"/>
        <v>0</v>
      </c>
      <c r="P48" s="792">
        <f t="shared" si="10"/>
        <v>0</v>
      </c>
      <c r="Q48" s="138">
        <f>IF(int_method=1,'Rep Schedule - Basic'!Q47,'Rep Schedule - Basic'!C48)</f>
        <v>0</v>
      </c>
      <c r="R48" s="759" t="e">
        <f t="shared" si="11"/>
        <v>#N/A</v>
      </c>
      <c r="S48" s="759">
        <f>IF(C48=0,0,C48-SUM($G$6:G48)-O47)</f>
        <v>0</v>
      </c>
      <c r="T48" s="759">
        <f t="shared" si="12"/>
        <v>0</v>
      </c>
      <c r="U48" s="760">
        <f t="shared" si="18"/>
        <v>-1523.2136738798367</v>
      </c>
      <c r="V48" s="254"/>
      <c r="W48" s="1" t="b">
        <f t="shared" si="19"/>
        <v>1</v>
      </c>
      <c r="AA48" s="15">
        <f>IF(C47&gt;1,IF(int_method=2,'Client Cost HIDE'!$B$172*C47,'Client Cost HIDE'!$B$172*'Client Cost HIDE'!$B$12),0)</f>
        <v>0</v>
      </c>
      <c r="AB48" s="5">
        <f>IF(B48&gt;'Client Cost HIDE'!$B$22,AA48,0)+AB47-E47</f>
        <v>0</v>
      </c>
    </row>
    <row r="49" spans="2:28" hidden="1">
      <c r="B49" s="392">
        <v>43</v>
      </c>
      <c r="C49" s="794">
        <f t="shared" si="13"/>
        <v>0</v>
      </c>
      <c r="D49" s="233">
        <f>IF(AND(B49&gt;='Client Cost HIDE'!$D$152,B49&lt;='Client Cost HIDE'!$B$14),IF(amortized=1,'Client Cost HIDE'!$B$12/'Client Cost HIDE'!$D$151,-PPMT('Client Cost HIDE'!$B$172,$B49-'Client Cost HIDE'!$D$152+1,'Client Cost HIDE'!$D$151,'Client Cost HIDE'!$B$12)),0)</f>
        <v>0</v>
      </c>
      <c r="E49" s="758">
        <f>IF(OR('Client Cost HIDE'!$E$152&gt;B49,C48&lt;1),0,AB49)</f>
        <v>0</v>
      </c>
      <c r="F49" s="233">
        <f>IF(indexing,D49*(1+'Client Cost HIDE'!$B$175)^(B49-$B$6)-D49,0)</f>
        <v>0</v>
      </c>
      <c r="G49" s="233">
        <f>IF('Client Cost HIDE'!$C$32&lt;1,'Client Cost HIDE'!$C$32*D49,IF(C48&gt;1,'Client Cost HIDE'!$C$32,0))</f>
        <v>0</v>
      </c>
      <c r="H49" s="233">
        <f>SUM(E49:G49)*'Client Cost HIDE'!$B$28</f>
        <v>0</v>
      </c>
      <c r="I49" s="791">
        <f t="shared" si="14"/>
        <v>0</v>
      </c>
      <c r="J49" s="752">
        <f t="shared" si="15"/>
        <v>0</v>
      </c>
      <c r="K49" s="753">
        <f t="shared" si="16"/>
        <v>0</v>
      </c>
      <c r="L49" s="754">
        <f>IF('Client Cost HIDE'!$C$39&lt;1,'Client Cost HIDE'!$C$39*D49,IF(C49&gt;1,'Client Cost HIDE'!$C$39,0))</f>
        <v>0</v>
      </c>
      <c r="M49" s="233">
        <f>IF(O48&gt;0,O48*'Client Cost HIDE'!$A$177,0)</f>
        <v>0</v>
      </c>
      <c r="N49" s="755">
        <f>IF('Client Cost HIDE'!$B$14=B49,O48+L49+M49,0)</f>
        <v>0</v>
      </c>
      <c r="O49" s="755">
        <f t="shared" si="17"/>
        <v>0</v>
      </c>
      <c r="P49" s="792">
        <f t="shared" si="10"/>
        <v>0</v>
      </c>
      <c r="Q49" s="138">
        <f>IF(int_method=1,'Rep Schedule - Basic'!Q48,'Rep Schedule - Basic'!C49)</f>
        <v>0</v>
      </c>
      <c r="R49" s="759" t="e">
        <f t="shared" si="11"/>
        <v>#N/A</v>
      </c>
      <c r="S49" s="759">
        <f>IF(C49=0,0,C49-SUM($G$6:G49)-O48)</f>
        <v>0</v>
      </c>
      <c r="T49" s="759">
        <f t="shared" si="12"/>
        <v>0</v>
      </c>
      <c r="U49" s="760">
        <f t="shared" si="18"/>
        <v>-1523.2136738798367</v>
      </c>
      <c r="V49" s="254"/>
      <c r="W49" s="1" t="b">
        <f t="shared" si="19"/>
        <v>1</v>
      </c>
      <c r="AA49" s="15">
        <f>IF(C48&gt;1,IF(int_method=2,'Client Cost HIDE'!$B$172*C48,'Client Cost HIDE'!$B$172*'Client Cost HIDE'!$B$12),0)</f>
        <v>0</v>
      </c>
      <c r="AB49" s="5">
        <f>IF(B49&gt;'Client Cost HIDE'!$B$22,AA49,0)+AB48-E48</f>
        <v>0</v>
      </c>
    </row>
    <row r="50" spans="2:28" hidden="1">
      <c r="B50" s="392">
        <v>44</v>
      </c>
      <c r="C50" s="794">
        <f t="shared" si="13"/>
        <v>0</v>
      </c>
      <c r="D50" s="233">
        <f>IF(AND(B50&gt;='Client Cost HIDE'!$D$152,B50&lt;='Client Cost HIDE'!$B$14),IF(amortized=1,'Client Cost HIDE'!$B$12/'Client Cost HIDE'!$D$151,-PPMT('Client Cost HIDE'!$B$172,$B50-'Client Cost HIDE'!$D$152+1,'Client Cost HIDE'!$D$151,'Client Cost HIDE'!$B$12)),0)</f>
        <v>0</v>
      </c>
      <c r="E50" s="758">
        <f>IF(OR('Client Cost HIDE'!$E$152&gt;B50,C49&lt;1),0,AB50)</f>
        <v>0</v>
      </c>
      <c r="F50" s="233">
        <f>IF(indexing,D50*(1+'Client Cost HIDE'!$B$175)^(B50-$B$6)-D50,0)</f>
        <v>0</v>
      </c>
      <c r="G50" s="233">
        <f>IF('Client Cost HIDE'!$C$32&lt;1,'Client Cost HIDE'!$C$32*D50,IF(C49&gt;1,'Client Cost HIDE'!$C$32,0))</f>
        <v>0</v>
      </c>
      <c r="H50" s="233">
        <f>SUM(E50:G50)*'Client Cost HIDE'!$B$28</f>
        <v>0</v>
      </c>
      <c r="I50" s="791">
        <f t="shared" si="14"/>
        <v>0</v>
      </c>
      <c r="J50" s="752">
        <f t="shared" si="15"/>
        <v>0</v>
      </c>
      <c r="K50" s="753">
        <f t="shared" si="16"/>
        <v>0</v>
      </c>
      <c r="L50" s="754">
        <f>IF('Client Cost HIDE'!$C$39&lt;1,'Client Cost HIDE'!$C$39*D50,IF(C50&gt;1,'Client Cost HIDE'!$C$39,0))</f>
        <v>0</v>
      </c>
      <c r="M50" s="233">
        <f>IF(O49&gt;0,O49*'Client Cost HIDE'!$A$177,0)</f>
        <v>0</v>
      </c>
      <c r="N50" s="755">
        <f>IF('Client Cost HIDE'!$B$14=B50,O49+L50+M50,0)</f>
        <v>0</v>
      </c>
      <c r="O50" s="755">
        <f t="shared" si="17"/>
        <v>0</v>
      </c>
      <c r="P50" s="792">
        <f t="shared" si="10"/>
        <v>0</v>
      </c>
      <c r="Q50" s="138">
        <f>IF(int_method=1,'Rep Schedule - Basic'!Q49,'Rep Schedule - Basic'!C50)</f>
        <v>0</v>
      </c>
      <c r="R50" s="759" t="e">
        <f t="shared" si="11"/>
        <v>#N/A</v>
      </c>
      <c r="S50" s="759">
        <f>IF(C50=0,0,C50-SUM($G$6:G50)-O49)</f>
        <v>0</v>
      </c>
      <c r="T50" s="759">
        <f t="shared" si="12"/>
        <v>0</v>
      </c>
      <c r="U50" s="760">
        <f t="shared" si="18"/>
        <v>-1523.2136738798367</v>
      </c>
      <c r="V50" s="254"/>
      <c r="W50" s="1" t="b">
        <f t="shared" si="19"/>
        <v>1</v>
      </c>
      <c r="AA50" s="15">
        <f>IF(C49&gt;1,IF(int_method=2,'Client Cost HIDE'!$B$172*C49,'Client Cost HIDE'!$B$172*'Client Cost HIDE'!$B$12),0)</f>
        <v>0</v>
      </c>
      <c r="AB50" s="5">
        <f>IF(B50&gt;'Client Cost HIDE'!$B$22,AA50,0)+AB49-E49</f>
        <v>0</v>
      </c>
    </row>
    <row r="51" spans="2:28" hidden="1">
      <c r="B51" s="392">
        <v>45</v>
      </c>
      <c r="C51" s="794">
        <f t="shared" si="13"/>
        <v>0</v>
      </c>
      <c r="D51" s="233">
        <f>IF(AND(B51&gt;='Client Cost HIDE'!$D$152,B51&lt;='Client Cost HIDE'!$B$14),IF(amortized=1,'Client Cost HIDE'!$B$12/'Client Cost HIDE'!$D$151,-PPMT('Client Cost HIDE'!$B$172,$B51-'Client Cost HIDE'!$D$152+1,'Client Cost HIDE'!$D$151,'Client Cost HIDE'!$B$12)),0)</f>
        <v>0</v>
      </c>
      <c r="E51" s="758">
        <f>IF(OR('Client Cost HIDE'!$E$152&gt;B51,C50&lt;1),0,AB51)</f>
        <v>0</v>
      </c>
      <c r="F51" s="233">
        <f>IF(indexing,D51*(1+'Client Cost HIDE'!$B$175)^(B51-$B$6)-D51,0)</f>
        <v>0</v>
      </c>
      <c r="G51" s="233">
        <f>IF('Client Cost HIDE'!$C$32&lt;1,'Client Cost HIDE'!$C$32*D51,IF(C50&gt;1,'Client Cost HIDE'!$C$32,0))</f>
        <v>0</v>
      </c>
      <c r="H51" s="233">
        <f>SUM(E51:G51)*'Client Cost HIDE'!$B$28</f>
        <v>0</v>
      </c>
      <c r="I51" s="791">
        <f t="shared" si="14"/>
        <v>0</v>
      </c>
      <c r="J51" s="752">
        <f t="shared" si="15"/>
        <v>0</v>
      </c>
      <c r="K51" s="753">
        <f t="shared" si="16"/>
        <v>0</v>
      </c>
      <c r="L51" s="754">
        <f>IF('Client Cost HIDE'!$C$39&lt;1,'Client Cost HIDE'!$C$39*D51,IF(C51&gt;1,'Client Cost HIDE'!$C$39,0))</f>
        <v>0</v>
      </c>
      <c r="M51" s="233">
        <f>IF(O50&gt;0,O50*'Client Cost HIDE'!$A$177,0)</f>
        <v>0</v>
      </c>
      <c r="N51" s="755">
        <f>IF('Client Cost HIDE'!$B$14=B51,O50+L51+M51,0)</f>
        <v>0</v>
      </c>
      <c r="O51" s="755">
        <f t="shared" si="17"/>
        <v>0</v>
      </c>
      <c r="P51" s="792">
        <f t="shared" si="10"/>
        <v>0</v>
      </c>
      <c r="Q51" s="138">
        <f>IF(int_method=1,'Rep Schedule - Basic'!Q50,'Rep Schedule - Basic'!C51)</f>
        <v>0</v>
      </c>
      <c r="R51" s="759" t="e">
        <f t="shared" si="11"/>
        <v>#N/A</v>
      </c>
      <c r="S51" s="759">
        <f>IF(C51=0,0,C51-SUM($G$6:G51)-O50)</f>
        <v>0</v>
      </c>
      <c r="T51" s="759">
        <f t="shared" si="12"/>
        <v>0</v>
      </c>
      <c r="U51" s="760">
        <f t="shared" si="18"/>
        <v>-1523.2136738798367</v>
      </c>
      <c r="V51" s="254"/>
      <c r="W51" s="1" t="b">
        <f t="shared" si="19"/>
        <v>1</v>
      </c>
      <c r="AA51" s="15">
        <f>IF(C50&gt;1,IF(int_method=2,'Client Cost HIDE'!$B$172*C50,'Client Cost HIDE'!$B$172*'Client Cost HIDE'!$B$12),0)</f>
        <v>0</v>
      </c>
      <c r="AB51" s="5">
        <f>IF(B51&gt;'Client Cost HIDE'!$B$22,AA51,0)+AB50-E50</f>
        <v>0</v>
      </c>
    </row>
    <row r="52" spans="2:28" hidden="1">
      <c r="B52" s="392">
        <v>46</v>
      </c>
      <c r="C52" s="794">
        <f t="shared" si="13"/>
        <v>0</v>
      </c>
      <c r="D52" s="233">
        <f>IF(AND(B52&gt;='Client Cost HIDE'!$D$152,B52&lt;='Client Cost HIDE'!$B$14),IF(amortized=1,'Client Cost HIDE'!$B$12/'Client Cost HIDE'!$D$151,-PPMT('Client Cost HIDE'!$B$172,$B52-'Client Cost HIDE'!$D$152+1,'Client Cost HIDE'!$D$151,'Client Cost HIDE'!$B$12)),0)</f>
        <v>0</v>
      </c>
      <c r="E52" s="758">
        <f>IF(OR('Client Cost HIDE'!$E$152&gt;B52,C51&lt;1),0,AB52)</f>
        <v>0</v>
      </c>
      <c r="F52" s="233">
        <f>IF(indexing,D52*(1+'Client Cost HIDE'!$B$175)^(B52-$B$6)-D52,0)</f>
        <v>0</v>
      </c>
      <c r="G52" s="233">
        <f>IF('Client Cost HIDE'!$C$32&lt;1,'Client Cost HIDE'!$C$32*D52,IF(C51&gt;1,'Client Cost HIDE'!$C$32,0))</f>
        <v>0</v>
      </c>
      <c r="H52" s="233">
        <f>SUM(E52:G52)*'Client Cost HIDE'!$B$28</f>
        <v>0</v>
      </c>
      <c r="I52" s="791">
        <f t="shared" si="14"/>
        <v>0</v>
      </c>
      <c r="J52" s="752">
        <f t="shared" si="15"/>
        <v>0</v>
      </c>
      <c r="K52" s="753">
        <f t="shared" si="16"/>
        <v>0</v>
      </c>
      <c r="L52" s="754">
        <f>IF('Client Cost HIDE'!$C$39&lt;1,'Client Cost HIDE'!$C$39*D52,IF(C52&gt;1,'Client Cost HIDE'!$C$39,0))</f>
        <v>0</v>
      </c>
      <c r="M52" s="233">
        <f>IF(O51&gt;0,O51*'Client Cost HIDE'!$A$177,0)</f>
        <v>0</v>
      </c>
      <c r="N52" s="755">
        <f>IF('Client Cost HIDE'!$B$14=B52,O51+L52+M52,0)</f>
        <v>0</v>
      </c>
      <c r="O52" s="755">
        <f t="shared" si="17"/>
        <v>0</v>
      </c>
      <c r="P52" s="792">
        <f t="shared" si="10"/>
        <v>0</v>
      </c>
      <c r="Q52" s="138">
        <f>IF(int_method=1,'Rep Schedule - Basic'!Q51,'Rep Schedule - Basic'!C52)</f>
        <v>0</v>
      </c>
      <c r="R52" s="759" t="e">
        <f t="shared" si="11"/>
        <v>#N/A</v>
      </c>
      <c r="S52" s="759">
        <f>IF(C52=0,0,C52-SUM($G$6:G52)-O51)</f>
        <v>0</v>
      </c>
      <c r="T52" s="759">
        <f t="shared" si="12"/>
        <v>0</v>
      </c>
      <c r="U52" s="760">
        <f t="shared" si="18"/>
        <v>-1523.2136738798367</v>
      </c>
      <c r="V52" s="254"/>
      <c r="W52" s="1" t="b">
        <f t="shared" si="19"/>
        <v>1</v>
      </c>
      <c r="AA52" s="15">
        <f>IF(C51&gt;1,IF(int_method=2,'Client Cost HIDE'!$B$172*C51,'Client Cost HIDE'!$B$172*'Client Cost HIDE'!$B$12),0)</f>
        <v>0</v>
      </c>
      <c r="AB52" s="5">
        <f>IF(B52&gt;'Client Cost HIDE'!$B$22,AA52,0)+AB51-E51</f>
        <v>0</v>
      </c>
    </row>
    <row r="53" spans="2:28" hidden="1">
      <c r="B53" s="392">
        <v>47</v>
      </c>
      <c r="C53" s="794">
        <f t="shared" si="13"/>
        <v>0</v>
      </c>
      <c r="D53" s="233">
        <f>IF(AND(B53&gt;='Client Cost HIDE'!$D$152,B53&lt;='Client Cost HIDE'!$B$14),IF(amortized=1,'Client Cost HIDE'!$B$12/'Client Cost HIDE'!$D$151,-PPMT('Client Cost HIDE'!$B$172,$B53-'Client Cost HIDE'!$D$152+1,'Client Cost HIDE'!$D$151,'Client Cost HIDE'!$B$12)),0)</f>
        <v>0</v>
      </c>
      <c r="E53" s="758">
        <f>IF(OR('Client Cost HIDE'!$E$152&gt;B53,C52&lt;1),0,AB53)</f>
        <v>0</v>
      </c>
      <c r="F53" s="233">
        <f>IF(indexing,D53*(1+'Client Cost HIDE'!$B$175)^(B53-$B$6)-D53,0)</f>
        <v>0</v>
      </c>
      <c r="G53" s="233">
        <f>IF('Client Cost HIDE'!$C$32&lt;1,'Client Cost HIDE'!$C$32*D53,IF(C52&gt;1,'Client Cost HIDE'!$C$32,0))</f>
        <v>0</v>
      </c>
      <c r="H53" s="233">
        <f>SUM(E53:G53)*'Client Cost HIDE'!$B$28</f>
        <v>0</v>
      </c>
      <c r="I53" s="791">
        <f t="shared" si="14"/>
        <v>0</v>
      </c>
      <c r="J53" s="752">
        <f t="shared" si="15"/>
        <v>0</v>
      </c>
      <c r="K53" s="753">
        <f t="shared" si="16"/>
        <v>0</v>
      </c>
      <c r="L53" s="754">
        <f>IF('Client Cost HIDE'!$C$39&lt;1,'Client Cost HIDE'!$C$39*D53,IF(C53&gt;1,'Client Cost HIDE'!$C$39,0))</f>
        <v>0</v>
      </c>
      <c r="M53" s="233">
        <f>IF(O52&gt;0,O52*'Client Cost HIDE'!$A$177,0)</f>
        <v>0</v>
      </c>
      <c r="N53" s="755">
        <f>IF('Client Cost HIDE'!$B$14=B53,O52+L53+M53,0)</f>
        <v>0</v>
      </c>
      <c r="O53" s="755">
        <f t="shared" si="17"/>
        <v>0</v>
      </c>
      <c r="P53" s="792">
        <f t="shared" si="10"/>
        <v>0</v>
      </c>
      <c r="Q53" s="138">
        <f>IF(int_method=1,'Rep Schedule - Basic'!Q52,'Rep Schedule - Basic'!C53)</f>
        <v>0</v>
      </c>
      <c r="R53" s="759" t="e">
        <f t="shared" si="11"/>
        <v>#N/A</v>
      </c>
      <c r="S53" s="759">
        <f>IF(C53=0,0,C53-SUM($G$6:G53)-O52)</f>
        <v>0</v>
      </c>
      <c r="T53" s="759">
        <f t="shared" si="12"/>
        <v>0</v>
      </c>
      <c r="U53" s="760">
        <f t="shared" si="18"/>
        <v>-1523.2136738798367</v>
      </c>
      <c r="V53" s="254"/>
      <c r="W53" s="1" t="b">
        <f t="shared" si="19"/>
        <v>1</v>
      </c>
      <c r="AA53" s="15">
        <f>IF(C52&gt;1,IF(int_method=2,'Client Cost HIDE'!$B$172*C52,'Client Cost HIDE'!$B$172*'Client Cost HIDE'!$B$12),0)</f>
        <v>0</v>
      </c>
      <c r="AB53" s="5">
        <f>IF(B53&gt;'Client Cost HIDE'!$B$22,AA53,0)+AB52-E52</f>
        <v>0</v>
      </c>
    </row>
    <row r="54" spans="2:28" hidden="1">
      <c r="B54" s="392">
        <v>48</v>
      </c>
      <c r="C54" s="794">
        <f t="shared" si="13"/>
        <v>0</v>
      </c>
      <c r="D54" s="233">
        <f>IF(AND(B54&gt;='Client Cost HIDE'!$D$152,B54&lt;='Client Cost HIDE'!$B$14),IF(amortized=1,'Client Cost HIDE'!$B$12/'Client Cost HIDE'!$D$151,-PPMT('Client Cost HIDE'!$B$172,$B54-'Client Cost HIDE'!$D$152+1,'Client Cost HIDE'!$D$151,'Client Cost HIDE'!$B$12)),0)</f>
        <v>0</v>
      </c>
      <c r="E54" s="758">
        <f>IF(OR('Client Cost HIDE'!$E$152&gt;B54,C53&lt;1),0,AB54)</f>
        <v>0</v>
      </c>
      <c r="F54" s="233">
        <f>IF(indexing,D54*(1+'Client Cost HIDE'!$B$175)^(B54-$B$6)-D54,0)</f>
        <v>0</v>
      </c>
      <c r="G54" s="233">
        <f>IF('Client Cost HIDE'!$C$32&lt;1,'Client Cost HIDE'!$C$32*D54,IF(C53&gt;1,'Client Cost HIDE'!$C$32,0))</f>
        <v>0</v>
      </c>
      <c r="H54" s="233">
        <f>SUM(E54:G54)*'Client Cost HIDE'!$B$28</f>
        <v>0</v>
      </c>
      <c r="I54" s="791">
        <f t="shared" si="14"/>
        <v>0</v>
      </c>
      <c r="J54" s="752">
        <f t="shared" si="15"/>
        <v>0</v>
      </c>
      <c r="K54" s="753">
        <f t="shared" si="16"/>
        <v>0</v>
      </c>
      <c r="L54" s="754">
        <f>IF('Client Cost HIDE'!$C$39&lt;1,'Client Cost HIDE'!$C$39*D54,IF(C54&gt;1,'Client Cost HIDE'!$C$39,0))</f>
        <v>0</v>
      </c>
      <c r="M54" s="233">
        <f>IF(O53&gt;0,O53*'Client Cost HIDE'!$A$177,0)</f>
        <v>0</v>
      </c>
      <c r="N54" s="755">
        <f>IF('Client Cost HIDE'!$B$14=B54,O53+L54+M54,0)</f>
        <v>0</v>
      </c>
      <c r="O54" s="755">
        <f t="shared" si="17"/>
        <v>0</v>
      </c>
      <c r="P54" s="792">
        <f t="shared" si="10"/>
        <v>0</v>
      </c>
      <c r="Q54" s="138">
        <f>IF(int_method=1,'Rep Schedule - Basic'!Q53,'Rep Schedule - Basic'!C54)</f>
        <v>0</v>
      </c>
      <c r="R54" s="759" t="e">
        <f t="shared" si="11"/>
        <v>#N/A</v>
      </c>
      <c r="S54" s="759">
        <f>IF(C54=0,0,C54-SUM($G$6:G54)-O53)</f>
        <v>0</v>
      </c>
      <c r="T54" s="759">
        <f t="shared" si="12"/>
        <v>0</v>
      </c>
      <c r="U54" s="760">
        <f t="shared" si="18"/>
        <v>-1523.2136738798367</v>
      </c>
      <c r="V54" s="254"/>
      <c r="W54" s="1" t="b">
        <f t="shared" si="19"/>
        <v>1</v>
      </c>
      <c r="AA54" s="15">
        <f>IF(C53&gt;1,IF(int_method=2,'Client Cost HIDE'!$B$172*C53,'Client Cost HIDE'!$B$172*'Client Cost HIDE'!$B$12),0)</f>
        <v>0</v>
      </c>
      <c r="AB54" s="5">
        <f>IF(B54&gt;'Client Cost HIDE'!$B$22,AA54,0)+AB53-E53</f>
        <v>0</v>
      </c>
    </row>
    <row r="55" spans="2:28" hidden="1">
      <c r="B55" s="392">
        <v>49</v>
      </c>
      <c r="C55" s="794">
        <f t="shared" si="13"/>
        <v>0</v>
      </c>
      <c r="D55" s="233">
        <f>IF(AND(B55&gt;='Client Cost HIDE'!$D$152,B55&lt;='Client Cost HIDE'!$B$14),IF(amortized=1,'Client Cost HIDE'!$B$12/'Client Cost HIDE'!$D$151,-PPMT('Client Cost HIDE'!$B$172,$B55-'Client Cost HIDE'!$D$152+1,'Client Cost HIDE'!$D$151,'Client Cost HIDE'!$B$12)),0)</f>
        <v>0</v>
      </c>
      <c r="E55" s="758">
        <f>IF(OR('Client Cost HIDE'!$E$152&gt;B55,C54&lt;1),0,AB55)</f>
        <v>0</v>
      </c>
      <c r="F55" s="233">
        <f>IF(indexing,D55*(1+'Client Cost HIDE'!$B$175)^(B55-$B$6)-D55,0)</f>
        <v>0</v>
      </c>
      <c r="G55" s="233">
        <f>IF('Client Cost HIDE'!$C$32&lt;1,'Client Cost HIDE'!$C$32*D55,IF(C54&gt;1,'Client Cost HIDE'!$C$32,0))</f>
        <v>0</v>
      </c>
      <c r="H55" s="233">
        <f>SUM(E55:G55)*'Client Cost HIDE'!$B$28</f>
        <v>0</v>
      </c>
      <c r="I55" s="791">
        <f t="shared" si="14"/>
        <v>0</v>
      </c>
      <c r="J55" s="752">
        <f t="shared" si="15"/>
        <v>0</v>
      </c>
      <c r="K55" s="753">
        <f t="shared" si="16"/>
        <v>0</v>
      </c>
      <c r="L55" s="754">
        <f>IF('Client Cost HIDE'!$C$39&lt;1,'Client Cost HIDE'!$C$39*D55,IF(C55&gt;1,'Client Cost HIDE'!$C$39,0))</f>
        <v>0</v>
      </c>
      <c r="M55" s="233">
        <f>IF(O54&gt;0,O54*'Client Cost HIDE'!$A$177,0)</f>
        <v>0</v>
      </c>
      <c r="N55" s="755">
        <f>IF('Client Cost HIDE'!$B$14=B55,O54+L55+M55,0)</f>
        <v>0</v>
      </c>
      <c r="O55" s="755">
        <f t="shared" si="17"/>
        <v>0</v>
      </c>
      <c r="P55" s="792">
        <f t="shared" si="10"/>
        <v>0</v>
      </c>
      <c r="Q55" s="138">
        <f>IF(int_method=1,'Rep Schedule - Basic'!Q54,'Rep Schedule - Basic'!C55)</f>
        <v>0</v>
      </c>
      <c r="R55" s="759" t="e">
        <f t="shared" si="11"/>
        <v>#N/A</v>
      </c>
      <c r="S55" s="759">
        <f>IF(C55=0,0,C55-SUM($G$6:G55)-O54)</f>
        <v>0</v>
      </c>
      <c r="T55" s="759">
        <f t="shared" si="12"/>
        <v>0</v>
      </c>
      <c r="U55" s="760">
        <f t="shared" si="18"/>
        <v>-1523.2136738798367</v>
      </c>
      <c r="V55" s="254"/>
      <c r="W55" s="1" t="b">
        <f t="shared" si="19"/>
        <v>1</v>
      </c>
      <c r="AA55" s="15">
        <f>IF(C54&gt;1,IF(int_method=2,'Client Cost HIDE'!$B$172*C54,'Client Cost HIDE'!$B$172*'Client Cost HIDE'!$B$12),0)</f>
        <v>0</v>
      </c>
      <c r="AB55" s="5">
        <f>IF(B55&gt;'Client Cost HIDE'!$B$22,AA55,0)+AB54-E54</f>
        <v>0</v>
      </c>
    </row>
    <row r="56" spans="2:28" hidden="1">
      <c r="B56" s="392">
        <v>50</v>
      </c>
      <c r="C56" s="794">
        <f t="shared" si="13"/>
        <v>0</v>
      </c>
      <c r="D56" s="233">
        <f>IF(AND(B56&gt;='Client Cost HIDE'!$D$152,B56&lt;='Client Cost HIDE'!$B$14),IF(amortized=1,'Client Cost HIDE'!$B$12/'Client Cost HIDE'!$D$151,-PPMT('Client Cost HIDE'!$B$172,$B56-'Client Cost HIDE'!$D$152+1,'Client Cost HIDE'!$D$151,'Client Cost HIDE'!$B$12)),0)</f>
        <v>0</v>
      </c>
      <c r="E56" s="758">
        <f>IF(OR('Client Cost HIDE'!$E$152&gt;B56,C55&lt;1),0,AB56)</f>
        <v>0</v>
      </c>
      <c r="F56" s="233">
        <f>IF(indexing,D56*(1+'Client Cost HIDE'!$B$175)^(B56-$B$6)-D56,0)</f>
        <v>0</v>
      </c>
      <c r="G56" s="233">
        <f>IF('Client Cost HIDE'!$C$32&lt;1,'Client Cost HIDE'!$C$32*D56,IF(C55&gt;1,'Client Cost HIDE'!$C$32,0))</f>
        <v>0</v>
      </c>
      <c r="H56" s="233">
        <f>SUM(E56:G56)*'Client Cost HIDE'!$B$28</f>
        <v>0</v>
      </c>
      <c r="I56" s="791">
        <f t="shared" si="14"/>
        <v>0</v>
      </c>
      <c r="J56" s="752">
        <f t="shared" si="15"/>
        <v>0</v>
      </c>
      <c r="K56" s="753">
        <f t="shared" si="16"/>
        <v>0</v>
      </c>
      <c r="L56" s="754">
        <f>IF('Client Cost HIDE'!$C$39&lt;1,'Client Cost HIDE'!$C$39*D56,IF(C56&gt;1,'Client Cost HIDE'!$C$39,0))</f>
        <v>0</v>
      </c>
      <c r="M56" s="233">
        <f>IF(O55&gt;0,O55*'Client Cost HIDE'!$A$177,0)</f>
        <v>0</v>
      </c>
      <c r="N56" s="755">
        <f>IF('Client Cost HIDE'!$B$14=B56,O55+L56+M56,0)</f>
        <v>0</v>
      </c>
      <c r="O56" s="755">
        <f t="shared" si="17"/>
        <v>0</v>
      </c>
      <c r="P56" s="792">
        <f t="shared" si="10"/>
        <v>0</v>
      </c>
      <c r="Q56" s="138">
        <f>IF(int_method=1,'Rep Schedule - Basic'!Q55,'Rep Schedule - Basic'!C56)</f>
        <v>0</v>
      </c>
      <c r="R56" s="759" t="e">
        <f t="shared" si="11"/>
        <v>#N/A</v>
      </c>
      <c r="S56" s="759">
        <f>IF(C56=0,0,C56-SUM($G$6:G56)-O55)</f>
        <v>0</v>
      </c>
      <c r="T56" s="759">
        <f t="shared" si="12"/>
        <v>0</v>
      </c>
      <c r="U56" s="760">
        <f t="shared" si="18"/>
        <v>-1523.2136738798367</v>
      </c>
      <c r="V56" s="254"/>
      <c r="W56" s="1" t="b">
        <f t="shared" si="19"/>
        <v>1</v>
      </c>
      <c r="AA56" s="15">
        <f>IF(C55&gt;1,IF(int_method=2,'Client Cost HIDE'!$B$172*C55,'Client Cost HIDE'!$B$172*'Client Cost HIDE'!$B$12),0)</f>
        <v>0</v>
      </c>
      <c r="AB56" s="5">
        <f>IF(B56&gt;'Client Cost HIDE'!$B$22,AA56,0)+AB55-E55</f>
        <v>0</v>
      </c>
    </row>
    <row r="57" spans="2:28" hidden="1">
      <c r="B57" s="392">
        <v>51</v>
      </c>
      <c r="C57" s="794">
        <f t="shared" si="13"/>
        <v>0</v>
      </c>
      <c r="D57" s="233">
        <f>IF(AND(B57&gt;='Client Cost HIDE'!$D$152,B57&lt;='Client Cost HIDE'!$B$14),IF(amortized=1,'Client Cost HIDE'!$B$12/'Client Cost HIDE'!$D$151,-PPMT('Client Cost HIDE'!$B$172,$B57-'Client Cost HIDE'!$D$152+1,'Client Cost HIDE'!$D$151,'Client Cost HIDE'!$B$12)),0)</f>
        <v>0</v>
      </c>
      <c r="E57" s="758">
        <f>IF(OR('Client Cost HIDE'!$E$152&gt;B57,C56&lt;1),0,AB57)</f>
        <v>0</v>
      </c>
      <c r="F57" s="233">
        <f>IF(indexing,D57*(1+'Client Cost HIDE'!$B$175)^(B57-$B$6)-D57,0)</f>
        <v>0</v>
      </c>
      <c r="G57" s="233">
        <f>IF('Client Cost HIDE'!$C$32&lt;1,'Client Cost HIDE'!$C$32*D57,IF(C56&gt;1,'Client Cost HIDE'!$C$32,0))</f>
        <v>0</v>
      </c>
      <c r="H57" s="233">
        <f>SUM(E57:G57)*'Client Cost HIDE'!$B$28</f>
        <v>0</v>
      </c>
      <c r="I57" s="791">
        <f t="shared" si="14"/>
        <v>0</v>
      </c>
      <c r="J57" s="752">
        <f t="shared" si="15"/>
        <v>0</v>
      </c>
      <c r="K57" s="753">
        <f t="shared" si="16"/>
        <v>0</v>
      </c>
      <c r="L57" s="754">
        <f>IF('Client Cost HIDE'!$C$39&lt;1,'Client Cost HIDE'!$C$39*D57,IF(C57&gt;1,'Client Cost HIDE'!$C$39,0))</f>
        <v>0</v>
      </c>
      <c r="M57" s="233">
        <f>IF(O56&gt;0,O56*'Client Cost HIDE'!$A$177,0)</f>
        <v>0</v>
      </c>
      <c r="N57" s="755">
        <f>IF('Client Cost HIDE'!$B$14=B57,O56+L57+M57,0)</f>
        <v>0</v>
      </c>
      <c r="O57" s="755">
        <f t="shared" si="17"/>
        <v>0</v>
      </c>
      <c r="P57" s="792">
        <f t="shared" si="10"/>
        <v>0</v>
      </c>
      <c r="Q57" s="138">
        <f>IF(int_method=1,'Rep Schedule - Basic'!Q56,'Rep Schedule - Basic'!C57)</f>
        <v>0</v>
      </c>
      <c r="R57" s="759" t="e">
        <f t="shared" si="11"/>
        <v>#N/A</v>
      </c>
      <c r="S57" s="759">
        <f>IF(C57=0,0,C57-SUM($G$6:G57)-O56)</f>
        <v>0</v>
      </c>
      <c r="T57" s="759">
        <f t="shared" si="12"/>
        <v>0</v>
      </c>
      <c r="U57" s="760">
        <f t="shared" si="18"/>
        <v>-1523.2136738798367</v>
      </c>
      <c r="V57" s="254"/>
      <c r="W57" s="1" t="b">
        <f t="shared" si="19"/>
        <v>1</v>
      </c>
      <c r="AA57" s="15">
        <f>IF(C56&gt;1,IF(int_method=2,'Client Cost HIDE'!$B$172*C56,'Client Cost HIDE'!$B$172*'Client Cost HIDE'!$B$12),0)</f>
        <v>0</v>
      </c>
      <c r="AB57" s="5">
        <f>IF(B57&gt;'Client Cost HIDE'!$B$22,AA57,0)+AB56-E56</f>
        <v>0</v>
      </c>
    </row>
    <row r="58" spans="2:28" hidden="1">
      <c r="B58" s="392">
        <v>52</v>
      </c>
      <c r="C58" s="794">
        <f t="shared" si="13"/>
        <v>0</v>
      </c>
      <c r="D58" s="233">
        <f>IF(AND(B58&gt;='Client Cost HIDE'!$D$152,B58&lt;='Client Cost HIDE'!$B$14),IF(amortized=1,'Client Cost HIDE'!$B$12/'Client Cost HIDE'!$D$151,-PPMT('Client Cost HIDE'!$B$172,$B58-'Client Cost HIDE'!$D$152+1,'Client Cost HIDE'!$D$151,'Client Cost HIDE'!$B$12)),0)</f>
        <v>0</v>
      </c>
      <c r="E58" s="758">
        <f>IF(OR('Client Cost HIDE'!$E$152&gt;B58,C57&lt;1),0,AB58)</f>
        <v>0</v>
      </c>
      <c r="F58" s="233">
        <f>IF(indexing,D58*(1+'Client Cost HIDE'!$B$175)^(B58-$B$6)-D58,0)</f>
        <v>0</v>
      </c>
      <c r="G58" s="233">
        <f>IF('Client Cost HIDE'!$C$32&lt;1,'Client Cost HIDE'!$C$32*D58,IF(C57&gt;1,'Client Cost HIDE'!$C$32,0))</f>
        <v>0</v>
      </c>
      <c r="H58" s="233">
        <f>SUM(E58:G58)*'Client Cost HIDE'!$B$28</f>
        <v>0</v>
      </c>
      <c r="I58" s="791">
        <f t="shared" si="14"/>
        <v>0</v>
      </c>
      <c r="J58" s="752">
        <f t="shared" si="15"/>
        <v>0</v>
      </c>
      <c r="K58" s="753">
        <f t="shared" si="16"/>
        <v>0</v>
      </c>
      <c r="L58" s="754">
        <f>IF('Client Cost HIDE'!$C$39&lt;1,'Client Cost HIDE'!$C$39*D58,IF(C58&gt;1,'Client Cost HIDE'!$C$39,0))</f>
        <v>0</v>
      </c>
      <c r="M58" s="233">
        <f>IF(O57&gt;0,O57*'Client Cost HIDE'!$A$177,0)</f>
        <v>0</v>
      </c>
      <c r="N58" s="755">
        <f>IF('Client Cost HIDE'!$B$14=B58,O57+L58+M58,0)</f>
        <v>0</v>
      </c>
      <c r="O58" s="755">
        <f t="shared" si="17"/>
        <v>0</v>
      </c>
      <c r="P58" s="792">
        <f t="shared" si="10"/>
        <v>0</v>
      </c>
      <c r="Q58" s="138">
        <f>IF(int_method=1,'Rep Schedule - Basic'!Q57,'Rep Schedule - Basic'!C58)</f>
        <v>0</v>
      </c>
      <c r="R58" s="759" t="e">
        <f t="shared" si="11"/>
        <v>#N/A</v>
      </c>
      <c r="S58" s="759">
        <f>IF(C58=0,0,C58-SUM($G$6:G58)-O57)</f>
        <v>0</v>
      </c>
      <c r="T58" s="759">
        <f t="shared" si="12"/>
        <v>0</v>
      </c>
      <c r="U58" s="760">
        <f t="shared" si="18"/>
        <v>-1523.2136738798367</v>
      </c>
      <c r="V58" s="254"/>
      <c r="W58" s="1" t="b">
        <f t="shared" si="19"/>
        <v>1</v>
      </c>
      <c r="AA58" s="15">
        <f>IF(C57&gt;1,IF(int_method=2,'Client Cost HIDE'!$B$172*C57,'Client Cost HIDE'!$B$172*'Client Cost HIDE'!$B$12),0)</f>
        <v>0</v>
      </c>
      <c r="AB58" s="5">
        <f>IF(B58&gt;'Client Cost HIDE'!$B$22,AA58,0)+AB57-E57</f>
        <v>0</v>
      </c>
    </row>
    <row r="59" spans="2:28" hidden="1">
      <c r="B59" s="392">
        <v>53</v>
      </c>
      <c r="C59" s="794">
        <f t="shared" si="13"/>
        <v>0</v>
      </c>
      <c r="D59" s="233">
        <f>IF(AND(B59&gt;='Client Cost HIDE'!$D$152,B59&lt;='Client Cost HIDE'!$B$14),IF(amortized=1,'Client Cost HIDE'!$B$12/'Client Cost HIDE'!$D$151,-PPMT('Client Cost HIDE'!$B$172,$B59-'Client Cost HIDE'!$D$152+1,'Client Cost HIDE'!$D$151,'Client Cost HIDE'!$B$12)),0)</f>
        <v>0</v>
      </c>
      <c r="E59" s="758">
        <f>IF(OR('Client Cost HIDE'!$E$152&gt;B59,C58&lt;1),0,AB59)</f>
        <v>0</v>
      </c>
      <c r="F59" s="233">
        <f>IF(indexing,D59*(1+'Client Cost HIDE'!$B$175)^(B59-$B$6)-D59,0)</f>
        <v>0</v>
      </c>
      <c r="G59" s="233">
        <f>IF('Client Cost HIDE'!$C$32&lt;1,'Client Cost HIDE'!$C$32*D59,IF(C58&gt;1,'Client Cost HIDE'!$C$32,0))</f>
        <v>0</v>
      </c>
      <c r="H59" s="233">
        <f>SUM(E59:G59)*'Client Cost HIDE'!$B$28</f>
        <v>0</v>
      </c>
      <c r="I59" s="791">
        <f t="shared" si="14"/>
        <v>0</v>
      </c>
      <c r="J59" s="752">
        <f t="shared" si="15"/>
        <v>0</v>
      </c>
      <c r="K59" s="753">
        <f t="shared" si="16"/>
        <v>0</v>
      </c>
      <c r="L59" s="754">
        <f>IF('Client Cost HIDE'!$C$39&lt;1,'Client Cost HIDE'!$C$39*D59,IF(C59&gt;1,'Client Cost HIDE'!$C$39,0))</f>
        <v>0</v>
      </c>
      <c r="M59" s="233">
        <f>IF(O58&gt;0,O58*'Client Cost HIDE'!$A$177,0)</f>
        <v>0</v>
      </c>
      <c r="N59" s="755">
        <f>IF('Client Cost HIDE'!$B$14=B59,O58+L59+M59,0)</f>
        <v>0</v>
      </c>
      <c r="O59" s="755">
        <f t="shared" si="17"/>
        <v>0</v>
      </c>
      <c r="P59" s="792">
        <f t="shared" si="10"/>
        <v>0</v>
      </c>
      <c r="Q59" s="138">
        <f>IF(int_method=1,'Rep Schedule - Basic'!Q58,'Rep Schedule - Basic'!C59)</f>
        <v>0</v>
      </c>
      <c r="R59" s="759" t="e">
        <f t="shared" si="11"/>
        <v>#N/A</v>
      </c>
      <c r="S59" s="759">
        <f>IF(C59=0,0,C59-SUM($G$6:G59)-O58)</f>
        <v>0</v>
      </c>
      <c r="T59" s="759">
        <f t="shared" si="12"/>
        <v>0</v>
      </c>
      <c r="U59" s="760">
        <f t="shared" si="18"/>
        <v>-1523.2136738798367</v>
      </c>
      <c r="V59" s="254"/>
      <c r="W59" s="1" t="b">
        <f t="shared" si="19"/>
        <v>1</v>
      </c>
      <c r="AA59" s="15">
        <f>IF(C58&gt;1,IF(int_method=2,'Client Cost HIDE'!$B$172*C58,'Client Cost HIDE'!$B$172*'Client Cost HIDE'!$B$12),0)</f>
        <v>0</v>
      </c>
      <c r="AB59" s="5">
        <f>IF(B59&gt;'Client Cost HIDE'!$B$22,AA59,0)+AB58-E58</f>
        <v>0</v>
      </c>
    </row>
    <row r="60" spans="2:28" hidden="1">
      <c r="B60" s="392">
        <v>54</v>
      </c>
      <c r="C60" s="794">
        <f t="shared" si="13"/>
        <v>0</v>
      </c>
      <c r="D60" s="233">
        <f>IF(AND(B60&gt;='Client Cost HIDE'!$D$152,B60&lt;='Client Cost HIDE'!$B$14),IF(amortized=1,'Client Cost HIDE'!$B$12/'Client Cost HIDE'!$D$151,-PPMT('Client Cost HIDE'!$B$172,$B60-'Client Cost HIDE'!$D$152+1,'Client Cost HIDE'!$D$151,'Client Cost HIDE'!$B$12)),0)</f>
        <v>0</v>
      </c>
      <c r="E60" s="758">
        <f>IF(OR('Client Cost HIDE'!$E$152&gt;B60,C59&lt;1),0,AB60)</f>
        <v>0</v>
      </c>
      <c r="F60" s="233">
        <f>IF(indexing,D60*(1+'Client Cost HIDE'!$B$175)^(B60-$B$6)-D60,0)</f>
        <v>0</v>
      </c>
      <c r="G60" s="233">
        <f>IF('Client Cost HIDE'!$C$32&lt;1,'Client Cost HIDE'!$C$32*D60,IF(C59&gt;1,'Client Cost HIDE'!$C$32,0))</f>
        <v>0</v>
      </c>
      <c r="H60" s="233">
        <f>SUM(E60:G60)*'Client Cost HIDE'!$B$28</f>
        <v>0</v>
      </c>
      <c r="I60" s="791">
        <f t="shared" si="14"/>
        <v>0</v>
      </c>
      <c r="J60" s="752">
        <f t="shared" si="15"/>
        <v>0</v>
      </c>
      <c r="K60" s="753">
        <f t="shared" si="16"/>
        <v>0</v>
      </c>
      <c r="L60" s="754">
        <f>IF('Client Cost HIDE'!$C$39&lt;1,'Client Cost HIDE'!$C$39*D60,IF(C60&gt;1,'Client Cost HIDE'!$C$39,0))</f>
        <v>0</v>
      </c>
      <c r="M60" s="233">
        <f>IF(O59&gt;0,O59*'Client Cost HIDE'!$A$177,0)</f>
        <v>0</v>
      </c>
      <c r="N60" s="755">
        <f>IF('Client Cost HIDE'!$B$14=B60,O59+L60+M60,0)</f>
        <v>0</v>
      </c>
      <c r="O60" s="755">
        <f t="shared" si="17"/>
        <v>0</v>
      </c>
      <c r="P60" s="792">
        <f t="shared" si="10"/>
        <v>0</v>
      </c>
      <c r="Q60" s="138">
        <f>IF(int_method=1,'Rep Schedule - Basic'!Q59,'Rep Schedule - Basic'!C60)</f>
        <v>0</v>
      </c>
      <c r="R60" s="759" t="e">
        <f t="shared" si="11"/>
        <v>#N/A</v>
      </c>
      <c r="S60" s="759">
        <f>IF(C60=0,0,C60-SUM($G$6:G60)-O59)</f>
        <v>0</v>
      </c>
      <c r="T60" s="759">
        <f t="shared" si="12"/>
        <v>0</v>
      </c>
      <c r="U60" s="760">
        <f t="shared" si="18"/>
        <v>-1523.2136738798367</v>
      </c>
      <c r="V60" s="254"/>
      <c r="W60" s="1" t="b">
        <f t="shared" si="19"/>
        <v>1</v>
      </c>
      <c r="AA60" s="15">
        <f>IF(C59&gt;1,IF(int_method=2,'Client Cost HIDE'!$B$172*C59,'Client Cost HIDE'!$B$172*'Client Cost HIDE'!$B$12),0)</f>
        <v>0</v>
      </c>
      <c r="AB60" s="5">
        <f>IF(B60&gt;'Client Cost HIDE'!$B$22,AA60,0)+AB59-E59</f>
        <v>0</v>
      </c>
    </row>
    <row r="61" spans="2:28" hidden="1">
      <c r="B61" s="392">
        <v>55</v>
      </c>
      <c r="C61" s="794">
        <f t="shared" si="13"/>
        <v>0</v>
      </c>
      <c r="D61" s="233">
        <f>IF(AND(B61&gt;='Client Cost HIDE'!$D$152,B61&lt;='Client Cost HIDE'!$B$14),IF(amortized=1,'Client Cost HIDE'!$B$12/'Client Cost HIDE'!$D$151,-PPMT('Client Cost HIDE'!$B$172,$B61-'Client Cost HIDE'!$D$152+1,'Client Cost HIDE'!$D$151,'Client Cost HIDE'!$B$12)),0)</f>
        <v>0</v>
      </c>
      <c r="E61" s="758">
        <f>IF(OR('Client Cost HIDE'!$E$152&gt;B61,C60&lt;1),0,AB61)</f>
        <v>0</v>
      </c>
      <c r="F61" s="233">
        <f>IF(indexing,D61*(1+'Client Cost HIDE'!$B$175)^(B61-$B$6)-D61,0)</f>
        <v>0</v>
      </c>
      <c r="G61" s="233">
        <f>IF('Client Cost HIDE'!$C$32&lt;1,'Client Cost HIDE'!$C$32*D61,IF(C60&gt;1,'Client Cost HIDE'!$C$32,0))</f>
        <v>0</v>
      </c>
      <c r="H61" s="233">
        <f>SUM(E61:G61)*'Client Cost HIDE'!$B$28</f>
        <v>0</v>
      </c>
      <c r="I61" s="791">
        <f t="shared" si="14"/>
        <v>0</v>
      </c>
      <c r="J61" s="752">
        <f t="shared" si="15"/>
        <v>0</v>
      </c>
      <c r="K61" s="753">
        <f t="shared" si="16"/>
        <v>0</v>
      </c>
      <c r="L61" s="754">
        <f>IF('Client Cost HIDE'!$C$39&lt;1,'Client Cost HIDE'!$C$39*D61,IF(C61&gt;1,'Client Cost HIDE'!$C$39,0))</f>
        <v>0</v>
      </c>
      <c r="M61" s="233">
        <f>IF(O60&gt;0,O60*'Client Cost HIDE'!$A$177,0)</f>
        <v>0</v>
      </c>
      <c r="N61" s="755">
        <f>IF('Client Cost HIDE'!$B$14=B61,O60+L61+M61,0)</f>
        <v>0</v>
      </c>
      <c r="O61" s="755">
        <f t="shared" si="17"/>
        <v>0</v>
      </c>
      <c r="P61" s="792">
        <f t="shared" si="10"/>
        <v>0</v>
      </c>
      <c r="Q61" s="138">
        <f>IF(int_method=1,'Rep Schedule - Basic'!Q60,'Rep Schedule - Basic'!C61)</f>
        <v>0</v>
      </c>
      <c r="R61" s="759" t="e">
        <f t="shared" si="11"/>
        <v>#N/A</v>
      </c>
      <c r="S61" s="759">
        <f>IF(C61=0,0,C61-SUM($G$6:G61)-O60)</f>
        <v>0</v>
      </c>
      <c r="T61" s="759">
        <f t="shared" si="12"/>
        <v>0</v>
      </c>
      <c r="U61" s="760">
        <f t="shared" si="18"/>
        <v>-1523.2136738798367</v>
      </c>
      <c r="V61" s="254"/>
      <c r="W61" s="1" t="b">
        <f t="shared" si="19"/>
        <v>1</v>
      </c>
      <c r="AA61" s="15">
        <f>IF(C60&gt;1,IF(int_method=2,'Client Cost HIDE'!$B$172*C60,'Client Cost HIDE'!$B$172*'Client Cost HIDE'!$B$12),0)</f>
        <v>0</v>
      </c>
      <c r="AB61" s="5">
        <f>IF(B61&gt;'Client Cost HIDE'!$B$22,AA61,0)+AB60-E60</f>
        <v>0</v>
      </c>
    </row>
    <row r="62" spans="2:28" hidden="1">
      <c r="B62" s="392">
        <v>56</v>
      </c>
      <c r="C62" s="794">
        <f t="shared" si="13"/>
        <v>0</v>
      </c>
      <c r="D62" s="233">
        <f>IF(AND(B62&gt;='Client Cost HIDE'!$D$152,B62&lt;='Client Cost HIDE'!$B$14),IF(amortized=1,'Client Cost HIDE'!$B$12/'Client Cost HIDE'!$D$151,-PPMT('Client Cost HIDE'!$B$172,$B62-'Client Cost HIDE'!$D$152+1,'Client Cost HIDE'!$D$151,'Client Cost HIDE'!$B$12)),0)</f>
        <v>0</v>
      </c>
      <c r="E62" s="758">
        <f>IF(OR('Client Cost HIDE'!$E$152&gt;B62,C61&lt;1),0,AB62)</f>
        <v>0</v>
      </c>
      <c r="F62" s="233">
        <f>IF(indexing,D62*(1+'Client Cost HIDE'!$B$175)^(B62-$B$6)-D62,0)</f>
        <v>0</v>
      </c>
      <c r="G62" s="233">
        <f>IF('Client Cost HIDE'!$C$32&lt;1,'Client Cost HIDE'!$C$32*D62,IF(C61&gt;1,'Client Cost HIDE'!$C$32,0))</f>
        <v>0</v>
      </c>
      <c r="H62" s="233">
        <f>SUM(E62:G62)*'Client Cost HIDE'!$B$28</f>
        <v>0</v>
      </c>
      <c r="I62" s="791">
        <f t="shared" si="14"/>
        <v>0</v>
      </c>
      <c r="J62" s="752">
        <f t="shared" si="15"/>
        <v>0</v>
      </c>
      <c r="K62" s="753">
        <f t="shared" si="16"/>
        <v>0</v>
      </c>
      <c r="L62" s="754">
        <f>IF('Client Cost HIDE'!$C$39&lt;1,'Client Cost HIDE'!$C$39*D62,IF(C62&gt;1,'Client Cost HIDE'!$C$39,0))</f>
        <v>0</v>
      </c>
      <c r="M62" s="233">
        <f>IF(O61&gt;0,O61*'Client Cost HIDE'!$A$177,0)</f>
        <v>0</v>
      </c>
      <c r="N62" s="755">
        <f>IF('Client Cost HIDE'!$B$14=B62,O61+L62+M62,0)</f>
        <v>0</v>
      </c>
      <c r="O62" s="755">
        <f t="shared" si="17"/>
        <v>0</v>
      </c>
      <c r="P62" s="792">
        <f t="shared" si="10"/>
        <v>0</v>
      </c>
      <c r="Q62" s="138">
        <f>IF(int_method=1,'Rep Schedule - Basic'!Q61,'Rep Schedule - Basic'!C62)</f>
        <v>0</v>
      </c>
      <c r="R62" s="759" t="e">
        <f t="shared" si="11"/>
        <v>#N/A</v>
      </c>
      <c r="S62" s="759">
        <f>IF(C62=0,0,C62-SUM($G$6:G62)-O61)</f>
        <v>0</v>
      </c>
      <c r="T62" s="759">
        <f t="shared" si="12"/>
        <v>0</v>
      </c>
      <c r="U62" s="760">
        <f t="shared" si="18"/>
        <v>-1523.2136738798367</v>
      </c>
      <c r="V62" s="254"/>
      <c r="W62" s="1" t="b">
        <f t="shared" si="19"/>
        <v>1</v>
      </c>
      <c r="AA62" s="15">
        <f>IF(C61&gt;1,IF(int_method=2,'Client Cost HIDE'!$B$172*C61,'Client Cost HIDE'!$B$172*'Client Cost HIDE'!$B$12),0)</f>
        <v>0</v>
      </c>
      <c r="AB62" s="5">
        <f>IF(B62&gt;'Client Cost HIDE'!$B$22,AA62,0)+AB61-E61</f>
        <v>0</v>
      </c>
    </row>
    <row r="63" spans="2:28" hidden="1">
      <c r="B63" s="392">
        <v>57</v>
      </c>
      <c r="C63" s="794">
        <f t="shared" si="13"/>
        <v>0</v>
      </c>
      <c r="D63" s="233">
        <f>IF(AND(B63&gt;='Client Cost HIDE'!$D$152,B63&lt;='Client Cost HIDE'!$B$14),IF(amortized=1,'Client Cost HIDE'!$B$12/'Client Cost HIDE'!$D$151,-PPMT('Client Cost HIDE'!$B$172,$B63-'Client Cost HIDE'!$D$152+1,'Client Cost HIDE'!$D$151,'Client Cost HIDE'!$B$12)),0)</f>
        <v>0</v>
      </c>
      <c r="E63" s="758">
        <f>IF(OR('Client Cost HIDE'!$E$152&gt;B63,C62&lt;1),0,AB63)</f>
        <v>0</v>
      </c>
      <c r="F63" s="233">
        <f>IF(indexing,D63*(1+'Client Cost HIDE'!$B$175)^(B63-$B$6)-D63,0)</f>
        <v>0</v>
      </c>
      <c r="G63" s="233">
        <f>IF('Client Cost HIDE'!$C$32&lt;1,'Client Cost HIDE'!$C$32*D63,IF(C62&gt;1,'Client Cost HIDE'!$C$32,0))</f>
        <v>0</v>
      </c>
      <c r="H63" s="233">
        <f>SUM(E63:G63)*'Client Cost HIDE'!$B$28</f>
        <v>0</v>
      </c>
      <c r="I63" s="791">
        <f t="shared" si="14"/>
        <v>0</v>
      </c>
      <c r="J63" s="752">
        <f t="shared" si="15"/>
        <v>0</v>
      </c>
      <c r="K63" s="753">
        <f t="shared" si="16"/>
        <v>0</v>
      </c>
      <c r="L63" s="754">
        <f>IF('Client Cost HIDE'!$C$39&lt;1,'Client Cost HIDE'!$C$39*D63,IF(C63&gt;1,'Client Cost HIDE'!$C$39,0))</f>
        <v>0</v>
      </c>
      <c r="M63" s="233">
        <f>IF(O62&gt;0,O62*'Client Cost HIDE'!$A$177,0)</f>
        <v>0</v>
      </c>
      <c r="N63" s="755">
        <f>IF('Client Cost HIDE'!$B$14=B63,O62+L63+M63,0)</f>
        <v>0</v>
      </c>
      <c r="O63" s="755">
        <f t="shared" si="17"/>
        <v>0</v>
      </c>
      <c r="P63" s="792">
        <f t="shared" si="10"/>
        <v>0</v>
      </c>
      <c r="Q63" s="138">
        <f>IF(int_method=1,'Rep Schedule - Basic'!Q62,'Rep Schedule - Basic'!C63)</f>
        <v>0</v>
      </c>
      <c r="R63" s="759" t="e">
        <f t="shared" si="11"/>
        <v>#N/A</v>
      </c>
      <c r="S63" s="759">
        <f>IF(C63=0,0,C63-SUM($G$6:G63)-O62)</f>
        <v>0</v>
      </c>
      <c r="T63" s="759">
        <f t="shared" si="12"/>
        <v>0</v>
      </c>
      <c r="U63" s="760">
        <f t="shared" si="18"/>
        <v>-1523.2136738798367</v>
      </c>
      <c r="V63" s="254"/>
      <c r="W63" s="1" t="b">
        <f t="shared" si="19"/>
        <v>1</v>
      </c>
      <c r="AA63" s="15">
        <f>IF(C62&gt;1,IF(int_method=2,'Client Cost HIDE'!$B$172*C62,'Client Cost HIDE'!$B$172*'Client Cost HIDE'!$B$12),0)</f>
        <v>0</v>
      </c>
      <c r="AB63" s="5">
        <f>IF(B63&gt;'Client Cost HIDE'!$B$22,AA63,0)+AB62-E62</f>
        <v>0</v>
      </c>
    </row>
    <row r="64" spans="2:28" hidden="1">
      <c r="B64" s="392">
        <v>58</v>
      </c>
      <c r="C64" s="794">
        <f t="shared" si="13"/>
        <v>0</v>
      </c>
      <c r="D64" s="233">
        <f>IF(AND(B64&gt;='Client Cost HIDE'!$D$152,B64&lt;='Client Cost HIDE'!$B$14),IF(amortized=1,'Client Cost HIDE'!$B$12/'Client Cost HIDE'!$D$151,-PPMT('Client Cost HIDE'!$B$172,$B64-'Client Cost HIDE'!$D$152+1,'Client Cost HIDE'!$D$151,'Client Cost HIDE'!$B$12)),0)</f>
        <v>0</v>
      </c>
      <c r="E64" s="758">
        <f>IF(OR('Client Cost HIDE'!$E$152&gt;B64,C63&lt;1),0,AB64)</f>
        <v>0</v>
      </c>
      <c r="F64" s="233">
        <f>IF(indexing,D64*(1+'Client Cost HIDE'!$B$175)^(B64-$B$6)-D64,0)</f>
        <v>0</v>
      </c>
      <c r="G64" s="233">
        <f>IF('Client Cost HIDE'!$C$32&lt;1,'Client Cost HIDE'!$C$32*D64,IF(C63&gt;1,'Client Cost HIDE'!$C$32,0))</f>
        <v>0</v>
      </c>
      <c r="H64" s="233">
        <f>SUM(E64:G64)*'Client Cost HIDE'!$B$28</f>
        <v>0</v>
      </c>
      <c r="I64" s="791">
        <f t="shared" si="14"/>
        <v>0</v>
      </c>
      <c r="J64" s="752">
        <f t="shared" si="15"/>
        <v>0</v>
      </c>
      <c r="K64" s="753">
        <f t="shared" si="16"/>
        <v>0</v>
      </c>
      <c r="L64" s="754">
        <f>IF('Client Cost HIDE'!$C$39&lt;1,'Client Cost HIDE'!$C$39*D64,IF(C64&gt;1,'Client Cost HIDE'!$C$39,0))</f>
        <v>0</v>
      </c>
      <c r="M64" s="233">
        <f>IF(O63&gt;0,O63*'Client Cost HIDE'!$A$177,0)</f>
        <v>0</v>
      </c>
      <c r="N64" s="755">
        <f>IF('Client Cost HIDE'!$B$14=B64,O63+L64+M64,0)</f>
        <v>0</v>
      </c>
      <c r="O64" s="755">
        <f t="shared" si="17"/>
        <v>0</v>
      </c>
      <c r="P64" s="792">
        <f t="shared" si="10"/>
        <v>0</v>
      </c>
      <c r="Q64" s="138">
        <f>IF(int_method=1,'Rep Schedule - Basic'!Q63,'Rep Schedule - Basic'!C64)</f>
        <v>0</v>
      </c>
      <c r="R64" s="759" t="e">
        <f t="shared" si="11"/>
        <v>#N/A</v>
      </c>
      <c r="S64" s="759">
        <f>IF(C64=0,0,C64-SUM($G$6:G64)-O63)</f>
        <v>0</v>
      </c>
      <c r="T64" s="759">
        <f t="shared" si="12"/>
        <v>0</v>
      </c>
      <c r="U64" s="760">
        <f t="shared" si="18"/>
        <v>-1523.2136738798367</v>
      </c>
      <c r="V64" s="254"/>
      <c r="W64" s="1" t="b">
        <f t="shared" si="19"/>
        <v>1</v>
      </c>
      <c r="AA64" s="15">
        <f>IF(C63&gt;1,IF(int_method=2,'Client Cost HIDE'!$B$172*C63,'Client Cost HIDE'!$B$172*'Client Cost HIDE'!$B$12),0)</f>
        <v>0</v>
      </c>
      <c r="AB64" s="5">
        <f>IF(B64&gt;'Client Cost HIDE'!$B$22,AA64,0)+AB63-E63</f>
        <v>0</v>
      </c>
    </row>
    <row r="65" spans="2:28" hidden="1">
      <c r="B65" s="392">
        <v>59</v>
      </c>
      <c r="C65" s="794">
        <f t="shared" si="13"/>
        <v>0</v>
      </c>
      <c r="D65" s="233">
        <f>IF(AND(B65&gt;='Client Cost HIDE'!$D$152,B65&lt;='Client Cost HIDE'!$B$14),IF(amortized=1,'Client Cost HIDE'!$B$12/'Client Cost HIDE'!$D$151,-PPMT('Client Cost HIDE'!$B$172,$B65-'Client Cost HIDE'!$D$152+1,'Client Cost HIDE'!$D$151,'Client Cost HIDE'!$B$12)),0)</f>
        <v>0</v>
      </c>
      <c r="E65" s="758">
        <f>IF(OR('Client Cost HIDE'!$E$152&gt;B65,C64&lt;1),0,AB65)</f>
        <v>0</v>
      </c>
      <c r="F65" s="233">
        <f>IF(indexing,D65*(1+'Client Cost HIDE'!$B$175)^(B65-$B$6)-D65,0)</f>
        <v>0</v>
      </c>
      <c r="G65" s="233">
        <f>IF('Client Cost HIDE'!$C$32&lt;1,'Client Cost HIDE'!$C$32*D65,IF(C64&gt;1,'Client Cost HIDE'!$C$32,0))</f>
        <v>0</v>
      </c>
      <c r="H65" s="233">
        <f>SUM(E65:G65)*'Client Cost HIDE'!$B$28</f>
        <v>0</v>
      </c>
      <c r="I65" s="791">
        <f t="shared" si="14"/>
        <v>0</v>
      </c>
      <c r="J65" s="752">
        <f t="shared" si="15"/>
        <v>0</v>
      </c>
      <c r="K65" s="753">
        <f t="shared" si="16"/>
        <v>0</v>
      </c>
      <c r="L65" s="754">
        <f>IF('Client Cost HIDE'!$C$39&lt;1,'Client Cost HIDE'!$C$39*D65,IF(C65&gt;1,'Client Cost HIDE'!$C$39,0))</f>
        <v>0</v>
      </c>
      <c r="M65" s="233">
        <f>IF(O64&gt;0,O64*'Client Cost HIDE'!$A$177,0)</f>
        <v>0</v>
      </c>
      <c r="N65" s="755">
        <f>IF('Client Cost HIDE'!$B$14=B65,O64+L65+M65,0)</f>
        <v>0</v>
      </c>
      <c r="O65" s="755">
        <f t="shared" si="17"/>
        <v>0</v>
      </c>
      <c r="P65" s="792">
        <f t="shared" si="10"/>
        <v>0</v>
      </c>
      <c r="Q65" s="138">
        <f>IF(int_method=1,'Rep Schedule - Basic'!Q64,'Rep Schedule - Basic'!C65)</f>
        <v>0</v>
      </c>
      <c r="R65" s="759" t="e">
        <f t="shared" si="11"/>
        <v>#N/A</v>
      </c>
      <c r="S65" s="759">
        <f>IF(C65=0,0,C65-SUM($G$6:G65)-O64)</f>
        <v>0</v>
      </c>
      <c r="T65" s="759">
        <f t="shared" si="12"/>
        <v>0</v>
      </c>
      <c r="U65" s="760">
        <f t="shared" si="18"/>
        <v>-1523.2136738798367</v>
      </c>
      <c r="V65" s="254"/>
      <c r="W65" s="1" t="b">
        <f t="shared" si="19"/>
        <v>1</v>
      </c>
      <c r="AA65" s="15">
        <f>IF(C64&gt;1,IF(int_method=2,'Client Cost HIDE'!$B$172*C64,'Client Cost HIDE'!$B$172*'Client Cost HIDE'!$B$12),0)</f>
        <v>0</v>
      </c>
      <c r="AB65" s="5">
        <f>IF(B65&gt;'Client Cost HIDE'!$B$22,AA65,0)+AB64-E64</f>
        <v>0</v>
      </c>
    </row>
    <row r="66" spans="2:28" hidden="1">
      <c r="B66" s="392">
        <v>60</v>
      </c>
      <c r="C66" s="794">
        <f t="shared" si="13"/>
        <v>0</v>
      </c>
      <c r="D66" s="233">
        <f>IF(AND(B66&gt;='Client Cost HIDE'!$D$152,B66&lt;='Client Cost HIDE'!$B$14),IF(amortized=1,'Client Cost HIDE'!$B$12/'Client Cost HIDE'!$D$151,-PPMT('Client Cost HIDE'!$B$172,$B66-'Client Cost HIDE'!$D$152+1,'Client Cost HIDE'!$D$151,'Client Cost HIDE'!$B$12)),0)</f>
        <v>0</v>
      </c>
      <c r="E66" s="758">
        <f>IF(OR('Client Cost HIDE'!$E$152&gt;B66,C65&lt;1),0,AB66)</f>
        <v>0</v>
      </c>
      <c r="F66" s="233">
        <f>IF(indexing,D66*(1+'Client Cost HIDE'!$B$175)^(B66-$B$6)-D66,0)</f>
        <v>0</v>
      </c>
      <c r="G66" s="233">
        <f>IF('Client Cost HIDE'!$C$32&lt;1,'Client Cost HIDE'!$C$32*D66,IF(C65&gt;1,'Client Cost HIDE'!$C$32,0))</f>
        <v>0</v>
      </c>
      <c r="H66" s="233">
        <f>SUM(E66:G66)*'Client Cost HIDE'!$B$28</f>
        <v>0</v>
      </c>
      <c r="I66" s="791">
        <f t="shared" si="14"/>
        <v>0</v>
      </c>
      <c r="J66" s="752">
        <f t="shared" si="15"/>
        <v>0</v>
      </c>
      <c r="K66" s="753">
        <f t="shared" si="16"/>
        <v>0</v>
      </c>
      <c r="L66" s="754">
        <f>IF('Client Cost HIDE'!$C$39&lt;1,'Client Cost HIDE'!$C$39*D66,IF(C66&gt;1,'Client Cost HIDE'!$C$39,0))</f>
        <v>0</v>
      </c>
      <c r="M66" s="233">
        <f>IF(O65&gt;0,O65*'Client Cost HIDE'!$A$177,0)</f>
        <v>0</v>
      </c>
      <c r="N66" s="755">
        <f>IF('Client Cost HIDE'!$B$14=B66,O65+L66+M66,0)</f>
        <v>0</v>
      </c>
      <c r="O66" s="755">
        <f t="shared" si="17"/>
        <v>0</v>
      </c>
      <c r="P66" s="792">
        <f t="shared" si="10"/>
        <v>0</v>
      </c>
      <c r="Q66" s="138">
        <f>IF(int_method=1,'Rep Schedule - Basic'!Q65,'Rep Schedule - Basic'!C66)</f>
        <v>0</v>
      </c>
      <c r="R66" s="759" t="e">
        <f t="shared" si="11"/>
        <v>#N/A</v>
      </c>
      <c r="S66" s="759">
        <f>IF(C66=0,0,C66-SUM($G$6:G66)-O65)</f>
        <v>0</v>
      </c>
      <c r="T66" s="759">
        <f t="shared" si="12"/>
        <v>0</v>
      </c>
      <c r="U66" s="760">
        <f t="shared" si="18"/>
        <v>-1523.2136738798367</v>
      </c>
      <c r="V66" s="254"/>
      <c r="W66" s="1" t="b">
        <f t="shared" si="19"/>
        <v>1</v>
      </c>
      <c r="AA66" s="15">
        <f>IF(C65&gt;1,IF(int_method=2,'Client Cost HIDE'!$B$172*C65,'Client Cost HIDE'!$B$172*'Client Cost HIDE'!$B$12),0)</f>
        <v>0</v>
      </c>
      <c r="AB66" s="5">
        <f>IF(B66&gt;'Client Cost HIDE'!$B$22,AA66,0)+AB65-E65</f>
        <v>0</v>
      </c>
    </row>
    <row r="67" spans="2:28" hidden="1">
      <c r="B67" s="392">
        <v>61</v>
      </c>
      <c r="C67" s="794">
        <f t="shared" si="13"/>
        <v>0</v>
      </c>
      <c r="D67" s="233">
        <f>IF(AND(B67&gt;='Client Cost HIDE'!$D$152,B67&lt;='Client Cost HIDE'!$B$14),IF(amortized=1,'Client Cost HIDE'!$B$12/'Client Cost HIDE'!$D$151,-PPMT('Client Cost HIDE'!$B$172,$B67-'Client Cost HIDE'!$D$152+1,'Client Cost HIDE'!$D$151,'Client Cost HIDE'!$B$12)),0)</f>
        <v>0</v>
      </c>
      <c r="E67" s="758">
        <f>IF(OR('Client Cost HIDE'!$E$152&gt;B67,C66&lt;1),0,AB67)</f>
        <v>0</v>
      </c>
      <c r="F67" s="233">
        <f>IF(indexing,D67*(1+'Client Cost HIDE'!$B$175)^(B67-$B$6)-D67,0)</f>
        <v>0</v>
      </c>
      <c r="G67" s="233">
        <f>IF('Client Cost HIDE'!$C$32&lt;1,'Client Cost HIDE'!$C$32*D67,IF(C66&gt;1,'Client Cost HIDE'!$C$32,0))</f>
        <v>0</v>
      </c>
      <c r="H67" s="233">
        <f>SUM(E67:G67)*'Client Cost HIDE'!$B$28</f>
        <v>0</v>
      </c>
      <c r="I67" s="791">
        <f t="shared" si="14"/>
        <v>0</v>
      </c>
      <c r="J67" s="752">
        <f t="shared" si="15"/>
        <v>0</v>
      </c>
      <c r="K67" s="753">
        <f t="shared" si="16"/>
        <v>0</v>
      </c>
      <c r="L67" s="754">
        <f>IF('Client Cost HIDE'!$C$39&lt;1,'Client Cost HIDE'!$C$39*D67,IF(C67&gt;1,'Client Cost HIDE'!$C$39,0))</f>
        <v>0</v>
      </c>
      <c r="M67" s="233">
        <f>IF(O66&gt;0,O66*'Client Cost HIDE'!$A$177,0)</f>
        <v>0</v>
      </c>
      <c r="N67" s="755">
        <f>IF('Client Cost HIDE'!$B$14=B67,O66+L67+M67,0)</f>
        <v>0</v>
      </c>
      <c r="O67" s="755">
        <f t="shared" si="17"/>
        <v>0</v>
      </c>
      <c r="P67" s="792">
        <f t="shared" si="10"/>
        <v>0</v>
      </c>
      <c r="Q67" s="138">
        <f>IF(int_method=1,'Rep Schedule - Basic'!Q66,'Rep Schedule - Basic'!C67)</f>
        <v>0</v>
      </c>
      <c r="R67" s="759" t="e">
        <f t="shared" si="11"/>
        <v>#N/A</v>
      </c>
      <c r="S67" s="759">
        <f>IF(C67=0,0,C67-SUM($G$6:G67)-O66)</f>
        <v>0</v>
      </c>
      <c r="T67" s="759">
        <f t="shared" si="12"/>
        <v>0</v>
      </c>
      <c r="U67" s="760">
        <f t="shared" si="18"/>
        <v>-1523.2136738798367</v>
      </c>
      <c r="V67" s="254"/>
      <c r="W67" s="1" t="b">
        <f t="shared" si="19"/>
        <v>1</v>
      </c>
      <c r="AA67" s="15">
        <f>IF(C66&gt;1,IF(int_method=2,'Client Cost HIDE'!$B$172*C66,'Client Cost HIDE'!$B$172*'Client Cost HIDE'!$B$12),0)</f>
        <v>0</v>
      </c>
      <c r="AB67" s="5">
        <f>IF(B67&gt;'Client Cost HIDE'!$B$22,AA67,0)+AB66-E66</f>
        <v>0</v>
      </c>
    </row>
    <row r="68" spans="2:28" hidden="1">
      <c r="B68" s="392">
        <v>62</v>
      </c>
      <c r="C68" s="794">
        <f t="shared" si="13"/>
        <v>0</v>
      </c>
      <c r="D68" s="233">
        <f>IF(AND(B68&gt;='Client Cost HIDE'!$D$152,B68&lt;='Client Cost HIDE'!$B$14),IF(amortized=1,'Client Cost HIDE'!$B$12/'Client Cost HIDE'!$D$151,-PPMT('Client Cost HIDE'!$B$172,$B68-'Client Cost HIDE'!$D$152+1,'Client Cost HIDE'!$D$151,'Client Cost HIDE'!$B$12)),0)</f>
        <v>0</v>
      </c>
      <c r="E68" s="758">
        <f>IF(OR('Client Cost HIDE'!$E$152&gt;B68,C67&lt;1),0,AB68)</f>
        <v>0</v>
      </c>
      <c r="F68" s="233">
        <f>IF(indexing,D68*(1+'Client Cost HIDE'!$B$175)^(B68-$B$6)-D68,0)</f>
        <v>0</v>
      </c>
      <c r="G68" s="233">
        <f>IF('Client Cost HIDE'!$C$32&lt;1,'Client Cost HIDE'!$C$32*D68,IF(C67&gt;1,'Client Cost HIDE'!$C$32,0))</f>
        <v>0</v>
      </c>
      <c r="H68" s="233">
        <f>SUM(E68:G68)*'Client Cost HIDE'!$B$28</f>
        <v>0</v>
      </c>
      <c r="I68" s="791">
        <f t="shared" si="14"/>
        <v>0</v>
      </c>
      <c r="J68" s="752">
        <f t="shared" si="15"/>
        <v>0</v>
      </c>
      <c r="K68" s="753">
        <f t="shared" si="16"/>
        <v>0</v>
      </c>
      <c r="L68" s="754">
        <f>IF('Client Cost HIDE'!$C$39&lt;1,'Client Cost HIDE'!$C$39*D68,IF(C68&gt;1,'Client Cost HIDE'!$C$39,0))</f>
        <v>0</v>
      </c>
      <c r="M68" s="233">
        <f>IF(O67&gt;0,O67*'Client Cost HIDE'!$A$177,0)</f>
        <v>0</v>
      </c>
      <c r="N68" s="755">
        <f>IF('Client Cost HIDE'!$B$14=B68,O67+L68+M68,0)</f>
        <v>0</v>
      </c>
      <c r="O68" s="755">
        <f t="shared" si="17"/>
        <v>0</v>
      </c>
      <c r="P68" s="792">
        <f t="shared" si="10"/>
        <v>0</v>
      </c>
      <c r="Q68" s="138">
        <f>IF(int_method=1,'Rep Schedule - Basic'!Q67,'Rep Schedule - Basic'!C68)</f>
        <v>0</v>
      </c>
      <c r="R68" s="759" t="e">
        <f t="shared" si="11"/>
        <v>#N/A</v>
      </c>
      <c r="S68" s="759">
        <f>IF(C68=0,0,C68-SUM($G$6:G68)-O67)</f>
        <v>0</v>
      </c>
      <c r="T68" s="759">
        <f t="shared" si="12"/>
        <v>0</v>
      </c>
      <c r="U68" s="760">
        <f t="shared" si="18"/>
        <v>-1523.2136738798367</v>
      </c>
      <c r="V68" s="254"/>
      <c r="W68" s="1" t="b">
        <f t="shared" si="19"/>
        <v>1</v>
      </c>
      <c r="AA68" s="15">
        <f>IF(C67&gt;1,IF(int_method=2,'Client Cost HIDE'!$B$172*C67,'Client Cost HIDE'!$B$172*'Client Cost HIDE'!$B$12),0)</f>
        <v>0</v>
      </c>
      <c r="AB68" s="5">
        <f>IF(B68&gt;'Client Cost HIDE'!$B$22,AA68,0)+AB67-E67</f>
        <v>0</v>
      </c>
    </row>
    <row r="69" spans="2:28" hidden="1">
      <c r="B69" s="392">
        <v>63</v>
      </c>
      <c r="C69" s="794">
        <f t="shared" si="13"/>
        <v>0</v>
      </c>
      <c r="D69" s="233">
        <f>IF(AND(B69&gt;='Client Cost HIDE'!$D$152,B69&lt;='Client Cost HIDE'!$B$14),IF(amortized=1,'Client Cost HIDE'!$B$12/'Client Cost HIDE'!$D$151,-PPMT('Client Cost HIDE'!$B$172,$B69-'Client Cost HIDE'!$D$152+1,'Client Cost HIDE'!$D$151,'Client Cost HIDE'!$B$12)),0)</f>
        <v>0</v>
      </c>
      <c r="E69" s="758">
        <f>IF(OR('Client Cost HIDE'!$E$152&gt;B69,C68&lt;1),0,AB69)</f>
        <v>0</v>
      </c>
      <c r="F69" s="233">
        <f>IF(indexing,D69*(1+'Client Cost HIDE'!$B$175)^(B69-$B$6)-D69,0)</f>
        <v>0</v>
      </c>
      <c r="G69" s="233">
        <f>IF('Client Cost HIDE'!$C$32&lt;1,'Client Cost HIDE'!$C$32*D69,IF(C68&gt;1,'Client Cost HIDE'!$C$32,0))</f>
        <v>0</v>
      </c>
      <c r="H69" s="233">
        <f>SUM(E69:G69)*'Client Cost HIDE'!$B$28</f>
        <v>0</v>
      </c>
      <c r="I69" s="791">
        <f t="shared" si="14"/>
        <v>0</v>
      </c>
      <c r="J69" s="752">
        <f t="shared" si="15"/>
        <v>0</v>
      </c>
      <c r="K69" s="753">
        <f t="shared" si="16"/>
        <v>0</v>
      </c>
      <c r="L69" s="754">
        <f>IF('Client Cost HIDE'!$C$39&lt;1,'Client Cost HIDE'!$C$39*D69,IF(C69&gt;1,'Client Cost HIDE'!$C$39,0))</f>
        <v>0</v>
      </c>
      <c r="M69" s="233">
        <f>IF(O68&gt;0,O68*'Client Cost HIDE'!$A$177,0)</f>
        <v>0</v>
      </c>
      <c r="N69" s="755">
        <f>IF('Client Cost HIDE'!$B$14=B69,O68+L69+M69,0)</f>
        <v>0</v>
      </c>
      <c r="O69" s="755">
        <f t="shared" si="17"/>
        <v>0</v>
      </c>
      <c r="P69" s="792">
        <f t="shared" si="10"/>
        <v>0</v>
      </c>
      <c r="Q69" s="138">
        <f>IF(int_method=1,'Rep Schedule - Basic'!Q68,'Rep Schedule - Basic'!C69)</f>
        <v>0</v>
      </c>
      <c r="R69" s="759" t="e">
        <f t="shared" si="11"/>
        <v>#N/A</v>
      </c>
      <c r="S69" s="759">
        <f>IF(C69=0,0,C69-SUM($G$6:G69)-O68)</f>
        <v>0</v>
      </c>
      <c r="T69" s="759">
        <f t="shared" si="12"/>
        <v>0</v>
      </c>
      <c r="U69" s="760">
        <f t="shared" si="18"/>
        <v>-1523.2136738798367</v>
      </c>
      <c r="V69" s="254"/>
      <c r="W69" s="1" t="b">
        <f t="shared" si="19"/>
        <v>1</v>
      </c>
      <c r="AA69" s="15">
        <f>IF(C68&gt;1,IF(int_method=2,'Client Cost HIDE'!$B$172*C68,'Client Cost HIDE'!$B$172*'Client Cost HIDE'!$B$12),0)</f>
        <v>0</v>
      </c>
      <c r="AB69" s="5">
        <f>IF(B69&gt;'Client Cost HIDE'!$B$22,AA69,0)+AB68-E68</f>
        <v>0</v>
      </c>
    </row>
    <row r="70" spans="2:28" hidden="1">
      <c r="B70" s="392">
        <v>64</v>
      </c>
      <c r="C70" s="794">
        <f t="shared" si="13"/>
        <v>0</v>
      </c>
      <c r="D70" s="233">
        <f>IF(AND(B70&gt;='Client Cost HIDE'!$D$152,B70&lt;='Client Cost HIDE'!$B$14),IF(amortized=1,'Client Cost HIDE'!$B$12/'Client Cost HIDE'!$D$151,-PPMT('Client Cost HIDE'!$B$172,$B70-'Client Cost HIDE'!$D$152+1,'Client Cost HIDE'!$D$151,'Client Cost HIDE'!$B$12)),0)</f>
        <v>0</v>
      </c>
      <c r="E70" s="758">
        <f>IF(OR('Client Cost HIDE'!$E$152&gt;B70,C69&lt;1),0,AB70)</f>
        <v>0</v>
      </c>
      <c r="F70" s="233">
        <f>IF(indexing,D70*(1+'Client Cost HIDE'!$B$175)^(B70-$B$6)-D70,0)</f>
        <v>0</v>
      </c>
      <c r="G70" s="233">
        <f>IF('Client Cost HIDE'!$C$32&lt;1,'Client Cost HIDE'!$C$32*D70,IF(C69&gt;1,'Client Cost HIDE'!$C$32,0))</f>
        <v>0</v>
      </c>
      <c r="H70" s="233">
        <f>SUM(E70:G70)*'Client Cost HIDE'!$B$28</f>
        <v>0</v>
      </c>
      <c r="I70" s="791">
        <f t="shared" si="14"/>
        <v>0</v>
      </c>
      <c r="J70" s="752">
        <f t="shared" si="15"/>
        <v>0</v>
      </c>
      <c r="K70" s="753">
        <f t="shared" si="16"/>
        <v>0</v>
      </c>
      <c r="L70" s="754">
        <f>IF('Client Cost HIDE'!$C$39&lt;1,'Client Cost HIDE'!$C$39*D70,IF(C70&gt;1,'Client Cost HIDE'!$C$39,0))</f>
        <v>0</v>
      </c>
      <c r="M70" s="233">
        <f>IF(O69&gt;0,O69*'Client Cost HIDE'!$A$177,0)</f>
        <v>0</v>
      </c>
      <c r="N70" s="755">
        <f>IF('Client Cost HIDE'!$B$14=B70,O69+L70+M70,0)</f>
        <v>0</v>
      </c>
      <c r="O70" s="755">
        <f t="shared" si="17"/>
        <v>0</v>
      </c>
      <c r="P70" s="792">
        <f t="shared" ref="P70:P101" si="20">+K70-L70+N70</f>
        <v>0</v>
      </c>
      <c r="Q70" s="138">
        <f>IF(int_method=1,'Rep Schedule - Basic'!Q69,'Rep Schedule - Basic'!C70)</f>
        <v>0</v>
      </c>
      <c r="R70" s="759" t="e">
        <f t="shared" ref="R70:R101" si="21">IF(O70&gt;0,O70,NA())</f>
        <v>#N/A</v>
      </c>
      <c r="S70" s="759">
        <f>IF(C70=0,0,C70-SUM($G$6:G70)-O69)</f>
        <v>0</v>
      </c>
      <c r="T70" s="759">
        <f t="shared" ref="T70:T101" si="22">IF(AND(S70&lt;0,B70&lt;=term),1,0)</f>
        <v>0</v>
      </c>
      <c r="U70" s="760">
        <f t="shared" si="18"/>
        <v>-1523.2136738798367</v>
      </c>
      <c r="V70" s="254"/>
      <c r="W70" s="1" t="b">
        <f t="shared" si="19"/>
        <v>1</v>
      </c>
      <c r="AA70" s="15">
        <f>IF(C69&gt;1,IF(int_method=2,'Client Cost HIDE'!$B$172*C69,'Client Cost HIDE'!$B$172*'Client Cost HIDE'!$B$12),0)</f>
        <v>0</v>
      </c>
      <c r="AB70" s="5">
        <f>IF(B70&gt;'Client Cost HIDE'!$B$22,AA70,0)+AB69-E69</f>
        <v>0</v>
      </c>
    </row>
    <row r="71" spans="2:28" hidden="1">
      <c r="B71" s="392">
        <v>65</v>
      </c>
      <c r="C71" s="794">
        <f t="shared" ref="C71:C102" si="23">IF(C70-D71&gt;1,ROUND(+C70-D71,2),0)</f>
        <v>0</v>
      </c>
      <c r="D71" s="233">
        <f>IF(AND(B71&gt;='Client Cost HIDE'!$D$152,B71&lt;='Client Cost HIDE'!$B$14),IF(amortized=1,'Client Cost HIDE'!$B$12/'Client Cost HIDE'!$D$151,-PPMT('Client Cost HIDE'!$B$172,$B71-'Client Cost HIDE'!$D$152+1,'Client Cost HIDE'!$D$151,'Client Cost HIDE'!$B$12)),0)</f>
        <v>0</v>
      </c>
      <c r="E71" s="758">
        <f>IF(OR('Client Cost HIDE'!$E$152&gt;B71,C70&lt;1),0,AB71)</f>
        <v>0</v>
      </c>
      <c r="F71" s="233">
        <f>IF(indexing,D71*(1+'Client Cost HIDE'!$B$175)^(B71-$B$6)-D71,0)</f>
        <v>0</v>
      </c>
      <c r="G71" s="233">
        <f>IF('Client Cost HIDE'!$C$32&lt;1,'Client Cost HIDE'!$C$32*D71,IF(C70&gt;1,'Client Cost HIDE'!$C$32,0))</f>
        <v>0</v>
      </c>
      <c r="H71" s="233">
        <f>SUM(E71:G71)*'Client Cost HIDE'!$B$28</f>
        <v>0</v>
      </c>
      <c r="I71" s="791">
        <f t="shared" ref="I71:I102" si="24">-D71-E71-F71</f>
        <v>0</v>
      </c>
      <c r="J71" s="752">
        <f t="shared" ref="J71:J102" si="25">-D71-E71-F71-G71</f>
        <v>0</v>
      </c>
      <c r="K71" s="753">
        <f t="shared" ref="K71:K102" si="26">-D71-E71-F71-G71-H71</f>
        <v>0</v>
      </c>
      <c r="L71" s="754">
        <f>IF('Client Cost HIDE'!$C$39&lt;1,'Client Cost HIDE'!$C$39*D71,IF(C71&gt;1,'Client Cost HIDE'!$C$39,0))</f>
        <v>0</v>
      </c>
      <c r="M71" s="233">
        <f>IF(O70&gt;0,O70*'Client Cost HIDE'!$A$177,0)</f>
        <v>0</v>
      </c>
      <c r="N71" s="755">
        <f>IF('Client Cost HIDE'!$B$14=B71,O70+L71+M71,0)</f>
        <v>0</v>
      </c>
      <c r="O71" s="755">
        <f t="shared" ref="O71:O102" si="27">+O70+L71+M71-N71</f>
        <v>0</v>
      </c>
      <c r="P71" s="792">
        <f t="shared" si="20"/>
        <v>0</v>
      </c>
      <c r="Q71" s="138">
        <f>IF(int_method=1,'Rep Schedule - Basic'!Q70,'Rep Schedule - Basic'!C71)</f>
        <v>0</v>
      </c>
      <c r="R71" s="759" t="e">
        <f t="shared" si="21"/>
        <v>#N/A</v>
      </c>
      <c r="S71" s="759">
        <f>IF(C71=0,0,C71-SUM($G$6:G71)-O70)</f>
        <v>0</v>
      </c>
      <c r="T71" s="759">
        <f t="shared" si="22"/>
        <v>0</v>
      </c>
      <c r="U71" s="760">
        <f t="shared" ref="U71:U102" si="28">U70+S71</f>
        <v>-1523.2136738798367</v>
      </c>
      <c r="V71" s="254"/>
      <c r="W71" s="1" t="b">
        <f t="shared" si="19"/>
        <v>1</v>
      </c>
      <c r="AA71" s="15">
        <f>IF(C70&gt;1,IF(int_method=2,'Client Cost HIDE'!$B$172*C70,'Client Cost HIDE'!$B$172*'Client Cost HIDE'!$B$12),0)</f>
        <v>0</v>
      </c>
      <c r="AB71" s="5">
        <f>IF(B71&gt;'Client Cost HIDE'!$B$22,AA71,0)+AB70-E70</f>
        <v>0</v>
      </c>
    </row>
    <row r="72" spans="2:28" hidden="1">
      <c r="B72" s="392">
        <v>66</v>
      </c>
      <c r="C72" s="794">
        <f t="shared" si="23"/>
        <v>0</v>
      </c>
      <c r="D72" s="233">
        <f>IF(AND(B72&gt;='Client Cost HIDE'!$D$152,B72&lt;='Client Cost HIDE'!$B$14),IF(amortized=1,'Client Cost HIDE'!$B$12/'Client Cost HIDE'!$D$151,-PPMT('Client Cost HIDE'!$B$172,$B72-'Client Cost HIDE'!$D$152+1,'Client Cost HIDE'!$D$151,'Client Cost HIDE'!$B$12)),0)</f>
        <v>0</v>
      </c>
      <c r="E72" s="758">
        <f>IF(OR('Client Cost HIDE'!$E$152&gt;B72,C71&lt;1),0,AB72)</f>
        <v>0</v>
      </c>
      <c r="F72" s="233">
        <f>IF(indexing,D72*(1+'Client Cost HIDE'!$B$175)^(B72-$B$6)-D72,0)</f>
        <v>0</v>
      </c>
      <c r="G72" s="233">
        <f>IF('Client Cost HIDE'!$C$32&lt;1,'Client Cost HIDE'!$C$32*D72,IF(C71&gt;1,'Client Cost HIDE'!$C$32,0))</f>
        <v>0</v>
      </c>
      <c r="H72" s="233">
        <f>SUM(E72:G72)*'Client Cost HIDE'!$B$28</f>
        <v>0</v>
      </c>
      <c r="I72" s="791">
        <f t="shared" si="24"/>
        <v>0</v>
      </c>
      <c r="J72" s="752">
        <f t="shared" si="25"/>
        <v>0</v>
      </c>
      <c r="K72" s="753">
        <f t="shared" si="26"/>
        <v>0</v>
      </c>
      <c r="L72" s="754">
        <f>IF('Client Cost HIDE'!$C$39&lt;1,'Client Cost HIDE'!$C$39*D72,IF(C72&gt;1,'Client Cost HIDE'!$C$39,0))</f>
        <v>0</v>
      </c>
      <c r="M72" s="233">
        <f>IF(O71&gt;0,O71*'Client Cost HIDE'!$A$177,0)</f>
        <v>0</v>
      </c>
      <c r="N72" s="755">
        <f>IF('Client Cost HIDE'!$B$14=B72,O71+L72+M72,0)</f>
        <v>0</v>
      </c>
      <c r="O72" s="755">
        <f t="shared" si="27"/>
        <v>0</v>
      </c>
      <c r="P72" s="792">
        <f t="shared" si="20"/>
        <v>0</v>
      </c>
      <c r="Q72" s="138">
        <f>IF(int_method=1,'Rep Schedule - Basic'!Q71,'Rep Schedule - Basic'!C72)</f>
        <v>0</v>
      </c>
      <c r="R72" s="759" t="e">
        <f t="shared" si="21"/>
        <v>#N/A</v>
      </c>
      <c r="S72" s="759">
        <f>IF(C72=0,0,C72-SUM($G$6:G72)-O71)</f>
        <v>0</v>
      </c>
      <c r="T72" s="759">
        <f t="shared" si="22"/>
        <v>0</v>
      </c>
      <c r="U72" s="760">
        <f t="shared" si="28"/>
        <v>-1523.2136738798367</v>
      </c>
      <c r="V72" s="254"/>
      <c r="W72" s="1" t="b">
        <f t="shared" ref="W72:W103" si="29">IF(B72&lt;=term,"x",TRUE)</f>
        <v>1</v>
      </c>
      <c r="AA72" s="15">
        <f>IF(C71&gt;1,IF(int_method=2,'Client Cost HIDE'!$B$172*C71,'Client Cost HIDE'!$B$172*'Client Cost HIDE'!$B$12),0)</f>
        <v>0</v>
      </c>
      <c r="AB72" s="5">
        <f>IF(B72&gt;'Client Cost HIDE'!$B$22,AA72,0)+AB71-E71</f>
        <v>0</v>
      </c>
    </row>
    <row r="73" spans="2:28" hidden="1">
      <c r="B73" s="392">
        <v>67</v>
      </c>
      <c r="C73" s="794">
        <f t="shared" si="23"/>
        <v>0</v>
      </c>
      <c r="D73" s="233">
        <f>IF(AND(B73&gt;='Client Cost HIDE'!$D$152,B73&lt;='Client Cost HIDE'!$B$14),IF(amortized=1,'Client Cost HIDE'!$B$12/'Client Cost HIDE'!$D$151,-PPMT('Client Cost HIDE'!$B$172,$B73-'Client Cost HIDE'!$D$152+1,'Client Cost HIDE'!$D$151,'Client Cost HIDE'!$B$12)),0)</f>
        <v>0</v>
      </c>
      <c r="E73" s="758">
        <f>IF(OR('Client Cost HIDE'!$E$152&gt;B73,C72&lt;1),0,AB73)</f>
        <v>0</v>
      </c>
      <c r="F73" s="233">
        <f>IF(indexing,D73*(1+'Client Cost HIDE'!$B$175)^(B73-$B$6)-D73,0)</f>
        <v>0</v>
      </c>
      <c r="G73" s="233">
        <f>IF('Client Cost HIDE'!$C$32&lt;1,'Client Cost HIDE'!$C$32*D73,IF(C72&gt;1,'Client Cost HIDE'!$C$32,0))</f>
        <v>0</v>
      </c>
      <c r="H73" s="233">
        <f>SUM(E73:G73)*'Client Cost HIDE'!$B$28</f>
        <v>0</v>
      </c>
      <c r="I73" s="791">
        <f t="shared" si="24"/>
        <v>0</v>
      </c>
      <c r="J73" s="752">
        <f t="shared" si="25"/>
        <v>0</v>
      </c>
      <c r="K73" s="753">
        <f t="shared" si="26"/>
        <v>0</v>
      </c>
      <c r="L73" s="754">
        <f>IF('Client Cost HIDE'!$C$39&lt;1,'Client Cost HIDE'!$C$39*D73,IF(C73&gt;1,'Client Cost HIDE'!$C$39,0))</f>
        <v>0</v>
      </c>
      <c r="M73" s="233">
        <f>IF(O72&gt;0,O72*'Client Cost HIDE'!$A$177,0)</f>
        <v>0</v>
      </c>
      <c r="N73" s="755">
        <f>IF('Client Cost HIDE'!$B$14=B73,O72+L73+M73,0)</f>
        <v>0</v>
      </c>
      <c r="O73" s="755">
        <f t="shared" si="27"/>
        <v>0</v>
      </c>
      <c r="P73" s="792">
        <f t="shared" si="20"/>
        <v>0</v>
      </c>
      <c r="Q73" s="138">
        <f>IF(int_method=1,'Rep Schedule - Basic'!Q72,'Rep Schedule - Basic'!C73)</f>
        <v>0</v>
      </c>
      <c r="R73" s="759" t="e">
        <f t="shared" si="21"/>
        <v>#N/A</v>
      </c>
      <c r="S73" s="759">
        <f>IF(C73=0,0,C73-SUM($G$6:G73)-O72)</f>
        <v>0</v>
      </c>
      <c r="T73" s="759">
        <f t="shared" si="22"/>
        <v>0</v>
      </c>
      <c r="U73" s="760">
        <f t="shared" si="28"/>
        <v>-1523.2136738798367</v>
      </c>
      <c r="V73" s="254"/>
      <c r="W73" s="1" t="b">
        <f t="shared" si="29"/>
        <v>1</v>
      </c>
      <c r="AA73" s="15">
        <f>IF(C72&gt;1,IF(int_method=2,'Client Cost HIDE'!$B$172*C72,'Client Cost HIDE'!$B$172*'Client Cost HIDE'!$B$12),0)</f>
        <v>0</v>
      </c>
      <c r="AB73" s="5">
        <f>IF(B73&gt;'Client Cost HIDE'!$B$22,AA73,0)+AB72-E72</f>
        <v>0</v>
      </c>
    </row>
    <row r="74" spans="2:28" hidden="1">
      <c r="B74" s="392">
        <v>68</v>
      </c>
      <c r="C74" s="794">
        <f t="shared" si="23"/>
        <v>0</v>
      </c>
      <c r="D74" s="233">
        <f>IF(AND(B74&gt;='Client Cost HIDE'!$D$152,B74&lt;='Client Cost HIDE'!$B$14),IF(amortized=1,'Client Cost HIDE'!$B$12/'Client Cost HIDE'!$D$151,-PPMT('Client Cost HIDE'!$B$172,$B74-'Client Cost HIDE'!$D$152+1,'Client Cost HIDE'!$D$151,'Client Cost HIDE'!$B$12)),0)</f>
        <v>0</v>
      </c>
      <c r="E74" s="758">
        <f>IF(OR('Client Cost HIDE'!$E$152&gt;B74,C73&lt;1),0,AB74)</f>
        <v>0</v>
      </c>
      <c r="F74" s="233">
        <f>IF(indexing,D74*(1+'Client Cost HIDE'!$B$175)^(B74-$B$6)-D74,0)</f>
        <v>0</v>
      </c>
      <c r="G74" s="233">
        <f>IF('Client Cost HIDE'!$C$32&lt;1,'Client Cost HIDE'!$C$32*D74,IF(C73&gt;1,'Client Cost HIDE'!$C$32,0))</f>
        <v>0</v>
      </c>
      <c r="H74" s="233">
        <f>SUM(E74:G74)*'Client Cost HIDE'!$B$28</f>
        <v>0</v>
      </c>
      <c r="I74" s="791">
        <f t="shared" si="24"/>
        <v>0</v>
      </c>
      <c r="J74" s="752">
        <f t="shared" si="25"/>
        <v>0</v>
      </c>
      <c r="K74" s="753">
        <f t="shared" si="26"/>
        <v>0</v>
      </c>
      <c r="L74" s="754">
        <f>IF('Client Cost HIDE'!$C$39&lt;1,'Client Cost HIDE'!$C$39*D74,IF(C74&gt;1,'Client Cost HIDE'!$C$39,0))</f>
        <v>0</v>
      </c>
      <c r="M74" s="233">
        <f>IF(O73&gt;0,O73*'Client Cost HIDE'!$A$177,0)</f>
        <v>0</v>
      </c>
      <c r="N74" s="755">
        <f>IF('Client Cost HIDE'!$B$14=B74,O73+L74+M74,0)</f>
        <v>0</v>
      </c>
      <c r="O74" s="755">
        <f t="shared" si="27"/>
        <v>0</v>
      </c>
      <c r="P74" s="792">
        <f t="shared" si="20"/>
        <v>0</v>
      </c>
      <c r="Q74" s="138">
        <f>IF(int_method=1,'Rep Schedule - Basic'!Q73,'Rep Schedule - Basic'!C74)</f>
        <v>0</v>
      </c>
      <c r="R74" s="759" t="e">
        <f t="shared" si="21"/>
        <v>#N/A</v>
      </c>
      <c r="S74" s="759">
        <f>IF(C74=0,0,C74-SUM($G$6:G74)-O73)</f>
        <v>0</v>
      </c>
      <c r="T74" s="759">
        <f t="shared" si="22"/>
        <v>0</v>
      </c>
      <c r="U74" s="760">
        <f t="shared" si="28"/>
        <v>-1523.2136738798367</v>
      </c>
      <c r="V74" s="254"/>
      <c r="W74" s="1" t="b">
        <f t="shared" si="29"/>
        <v>1</v>
      </c>
      <c r="AA74" s="15">
        <f>IF(C73&gt;1,IF(int_method=2,'Client Cost HIDE'!$B$172*C73,'Client Cost HIDE'!$B$172*'Client Cost HIDE'!$B$12),0)</f>
        <v>0</v>
      </c>
      <c r="AB74" s="5">
        <f>IF(B74&gt;'Client Cost HIDE'!$B$22,AA74,0)+AB73-E73</f>
        <v>0</v>
      </c>
    </row>
    <row r="75" spans="2:28" hidden="1">
      <c r="B75" s="392">
        <v>69</v>
      </c>
      <c r="C75" s="794">
        <f t="shared" si="23"/>
        <v>0</v>
      </c>
      <c r="D75" s="233">
        <f>IF(AND(B75&gt;='Client Cost HIDE'!$D$152,B75&lt;='Client Cost HIDE'!$B$14),IF(amortized=1,'Client Cost HIDE'!$B$12/'Client Cost HIDE'!$D$151,-PPMT('Client Cost HIDE'!$B$172,$B75-'Client Cost HIDE'!$D$152+1,'Client Cost HIDE'!$D$151,'Client Cost HIDE'!$B$12)),0)</f>
        <v>0</v>
      </c>
      <c r="E75" s="758">
        <f>IF(OR('Client Cost HIDE'!$E$152&gt;B75,C74&lt;1),0,AB75)</f>
        <v>0</v>
      </c>
      <c r="F75" s="233">
        <f>IF(indexing,D75*(1+'Client Cost HIDE'!$B$175)^(B75-$B$6)-D75,0)</f>
        <v>0</v>
      </c>
      <c r="G75" s="233">
        <f>IF('Client Cost HIDE'!$C$32&lt;1,'Client Cost HIDE'!$C$32*D75,IF(C74&gt;1,'Client Cost HIDE'!$C$32,0))</f>
        <v>0</v>
      </c>
      <c r="H75" s="233">
        <f>SUM(E75:G75)*'Client Cost HIDE'!$B$28</f>
        <v>0</v>
      </c>
      <c r="I75" s="791">
        <f t="shared" si="24"/>
        <v>0</v>
      </c>
      <c r="J75" s="752">
        <f t="shared" si="25"/>
        <v>0</v>
      </c>
      <c r="K75" s="753">
        <f t="shared" si="26"/>
        <v>0</v>
      </c>
      <c r="L75" s="754">
        <f>IF('Client Cost HIDE'!$C$39&lt;1,'Client Cost HIDE'!$C$39*D75,IF(C75&gt;1,'Client Cost HIDE'!$C$39,0))</f>
        <v>0</v>
      </c>
      <c r="M75" s="233">
        <f>IF(O74&gt;0,O74*'Client Cost HIDE'!$A$177,0)</f>
        <v>0</v>
      </c>
      <c r="N75" s="755">
        <f>IF('Client Cost HIDE'!$B$14=B75,O74+L75+M75,0)</f>
        <v>0</v>
      </c>
      <c r="O75" s="755">
        <f t="shared" si="27"/>
        <v>0</v>
      </c>
      <c r="P75" s="792">
        <f t="shared" si="20"/>
        <v>0</v>
      </c>
      <c r="Q75" s="138">
        <f>IF(int_method=1,'Rep Schedule - Basic'!Q74,'Rep Schedule - Basic'!C75)</f>
        <v>0</v>
      </c>
      <c r="R75" s="759" t="e">
        <f t="shared" si="21"/>
        <v>#N/A</v>
      </c>
      <c r="S75" s="759">
        <f>IF(C75=0,0,C75-SUM($G$6:G75)-O74)</f>
        <v>0</v>
      </c>
      <c r="T75" s="759">
        <f t="shared" si="22"/>
        <v>0</v>
      </c>
      <c r="U75" s="760">
        <f t="shared" si="28"/>
        <v>-1523.2136738798367</v>
      </c>
      <c r="V75" s="254"/>
      <c r="W75" s="1" t="b">
        <f t="shared" si="29"/>
        <v>1</v>
      </c>
      <c r="AA75" s="15">
        <f>IF(C74&gt;1,IF(int_method=2,'Client Cost HIDE'!$B$172*C74,'Client Cost HIDE'!$B$172*'Client Cost HIDE'!$B$12),0)</f>
        <v>0</v>
      </c>
      <c r="AB75" s="5">
        <f>IF(B75&gt;'Client Cost HIDE'!$B$22,AA75,0)+AB74-E74</f>
        <v>0</v>
      </c>
    </row>
    <row r="76" spans="2:28" hidden="1">
      <c r="B76" s="392">
        <v>70</v>
      </c>
      <c r="C76" s="794">
        <f t="shared" si="23"/>
        <v>0</v>
      </c>
      <c r="D76" s="233">
        <f>IF(AND(B76&gt;='Client Cost HIDE'!$D$152,B76&lt;='Client Cost HIDE'!$B$14),IF(amortized=1,'Client Cost HIDE'!$B$12/'Client Cost HIDE'!$D$151,-PPMT('Client Cost HIDE'!$B$172,$B76-'Client Cost HIDE'!$D$152+1,'Client Cost HIDE'!$D$151,'Client Cost HIDE'!$B$12)),0)</f>
        <v>0</v>
      </c>
      <c r="E76" s="758">
        <f>IF(OR('Client Cost HIDE'!$E$152&gt;B76,C75&lt;1),0,AB76)</f>
        <v>0</v>
      </c>
      <c r="F76" s="233">
        <f>IF(indexing,D76*(1+'Client Cost HIDE'!$B$175)^(B76-$B$6)-D76,0)</f>
        <v>0</v>
      </c>
      <c r="G76" s="233">
        <f>IF('Client Cost HIDE'!$C$32&lt;1,'Client Cost HIDE'!$C$32*D76,IF(C75&gt;1,'Client Cost HIDE'!$C$32,0))</f>
        <v>0</v>
      </c>
      <c r="H76" s="233">
        <f>SUM(E76:G76)*'Client Cost HIDE'!$B$28</f>
        <v>0</v>
      </c>
      <c r="I76" s="791">
        <f t="shared" si="24"/>
        <v>0</v>
      </c>
      <c r="J76" s="752">
        <f t="shared" si="25"/>
        <v>0</v>
      </c>
      <c r="K76" s="753">
        <f t="shared" si="26"/>
        <v>0</v>
      </c>
      <c r="L76" s="754">
        <f>IF('Client Cost HIDE'!$C$39&lt;1,'Client Cost HIDE'!$C$39*D76,IF(C76&gt;1,'Client Cost HIDE'!$C$39,0))</f>
        <v>0</v>
      </c>
      <c r="M76" s="233">
        <f>IF(O75&gt;0,O75*'Client Cost HIDE'!$A$177,0)</f>
        <v>0</v>
      </c>
      <c r="N76" s="755">
        <f>IF('Client Cost HIDE'!$B$14=B76,O75+L76+M76,0)</f>
        <v>0</v>
      </c>
      <c r="O76" s="755">
        <f t="shared" si="27"/>
        <v>0</v>
      </c>
      <c r="P76" s="792">
        <f t="shared" si="20"/>
        <v>0</v>
      </c>
      <c r="Q76" s="138">
        <f>IF(int_method=1,'Rep Schedule - Basic'!Q75,'Rep Schedule - Basic'!C76)</f>
        <v>0</v>
      </c>
      <c r="R76" s="759" t="e">
        <f t="shared" si="21"/>
        <v>#N/A</v>
      </c>
      <c r="S76" s="759">
        <f>IF(C76=0,0,C76-SUM($G$6:G76)-O75)</f>
        <v>0</v>
      </c>
      <c r="T76" s="759">
        <f t="shared" si="22"/>
        <v>0</v>
      </c>
      <c r="U76" s="760">
        <f t="shared" si="28"/>
        <v>-1523.2136738798367</v>
      </c>
      <c r="V76" s="254"/>
      <c r="W76" s="1" t="b">
        <f t="shared" si="29"/>
        <v>1</v>
      </c>
      <c r="AA76" s="15">
        <f>IF(C75&gt;1,IF(int_method=2,'Client Cost HIDE'!$B$172*C75,'Client Cost HIDE'!$B$172*'Client Cost HIDE'!$B$12),0)</f>
        <v>0</v>
      </c>
      <c r="AB76" s="5">
        <f>IF(B76&gt;'Client Cost HIDE'!$B$22,AA76,0)+AB75-E75</f>
        <v>0</v>
      </c>
    </row>
    <row r="77" spans="2:28" hidden="1">
      <c r="B77" s="392">
        <v>71</v>
      </c>
      <c r="C77" s="794">
        <f t="shared" si="23"/>
        <v>0</v>
      </c>
      <c r="D77" s="233">
        <f>IF(AND(B77&gt;='Client Cost HIDE'!$D$152,B77&lt;='Client Cost HIDE'!$B$14),IF(amortized=1,'Client Cost HIDE'!$B$12/'Client Cost HIDE'!$D$151,-PPMT('Client Cost HIDE'!$B$172,$B77-'Client Cost HIDE'!$D$152+1,'Client Cost HIDE'!$D$151,'Client Cost HIDE'!$B$12)),0)</f>
        <v>0</v>
      </c>
      <c r="E77" s="758">
        <f>IF(OR('Client Cost HIDE'!$E$152&gt;B77,C76&lt;1),0,AB77)</f>
        <v>0</v>
      </c>
      <c r="F77" s="233">
        <f>IF(indexing,D77*(1+'Client Cost HIDE'!$B$175)^(B77-$B$6)-D77,0)</f>
        <v>0</v>
      </c>
      <c r="G77" s="233">
        <f>IF('Client Cost HIDE'!$C$32&lt;1,'Client Cost HIDE'!$C$32*D77,IF(C76&gt;1,'Client Cost HIDE'!$C$32,0))</f>
        <v>0</v>
      </c>
      <c r="H77" s="233">
        <f>SUM(E77:G77)*'Client Cost HIDE'!$B$28</f>
        <v>0</v>
      </c>
      <c r="I77" s="791">
        <f t="shared" si="24"/>
        <v>0</v>
      </c>
      <c r="J77" s="752">
        <f t="shared" si="25"/>
        <v>0</v>
      </c>
      <c r="K77" s="753">
        <f t="shared" si="26"/>
        <v>0</v>
      </c>
      <c r="L77" s="754">
        <f>IF('Client Cost HIDE'!$C$39&lt;1,'Client Cost HIDE'!$C$39*D77,IF(C77&gt;1,'Client Cost HIDE'!$C$39,0))</f>
        <v>0</v>
      </c>
      <c r="M77" s="233">
        <f>IF(O76&gt;0,O76*'Client Cost HIDE'!$A$177,0)</f>
        <v>0</v>
      </c>
      <c r="N77" s="755">
        <f>IF('Client Cost HIDE'!$B$14=B77,O76+L77+M77,0)</f>
        <v>0</v>
      </c>
      <c r="O77" s="755">
        <f t="shared" si="27"/>
        <v>0</v>
      </c>
      <c r="P77" s="792">
        <f t="shared" si="20"/>
        <v>0</v>
      </c>
      <c r="Q77" s="138">
        <f>IF(int_method=1,'Rep Schedule - Basic'!Q76,'Rep Schedule - Basic'!C77)</f>
        <v>0</v>
      </c>
      <c r="R77" s="759" t="e">
        <f t="shared" si="21"/>
        <v>#N/A</v>
      </c>
      <c r="S77" s="759">
        <f>IF(C77=0,0,C77-SUM($G$6:G77)-O76)</f>
        <v>0</v>
      </c>
      <c r="T77" s="759">
        <f t="shared" si="22"/>
        <v>0</v>
      </c>
      <c r="U77" s="760">
        <f t="shared" si="28"/>
        <v>-1523.2136738798367</v>
      </c>
      <c r="V77" s="254"/>
      <c r="W77" s="1" t="b">
        <f t="shared" si="29"/>
        <v>1</v>
      </c>
      <c r="AA77" s="15">
        <f>IF(C76&gt;1,IF(int_method=2,'Client Cost HIDE'!$B$172*C76,'Client Cost HIDE'!$B$172*'Client Cost HIDE'!$B$12),0)</f>
        <v>0</v>
      </c>
      <c r="AB77" s="5">
        <f>IF(B77&gt;'Client Cost HIDE'!$B$22,AA77,0)+AB76-E76</f>
        <v>0</v>
      </c>
    </row>
    <row r="78" spans="2:28" hidden="1">
      <c r="B78" s="392">
        <v>72</v>
      </c>
      <c r="C78" s="794">
        <f t="shared" si="23"/>
        <v>0</v>
      </c>
      <c r="D78" s="233">
        <f>IF(AND(B78&gt;='Client Cost HIDE'!$D$152,B78&lt;='Client Cost HIDE'!$B$14),IF(amortized=1,'Client Cost HIDE'!$B$12/'Client Cost HIDE'!$D$151,-PPMT('Client Cost HIDE'!$B$172,$B78-'Client Cost HIDE'!$D$152+1,'Client Cost HIDE'!$D$151,'Client Cost HIDE'!$B$12)),0)</f>
        <v>0</v>
      </c>
      <c r="E78" s="758">
        <f>IF(OR('Client Cost HIDE'!$E$152&gt;B78,C77&lt;1),0,AB78)</f>
        <v>0</v>
      </c>
      <c r="F78" s="233">
        <f>IF(indexing,D78*(1+'Client Cost HIDE'!$B$175)^(B78-$B$6)-D78,0)</f>
        <v>0</v>
      </c>
      <c r="G78" s="233">
        <f>IF('Client Cost HIDE'!$C$32&lt;1,'Client Cost HIDE'!$C$32*D78,IF(C77&gt;1,'Client Cost HIDE'!$C$32,0))</f>
        <v>0</v>
      </c>
      <c r="H78" s="233">
        <f>SUM(E78:G78)*'Client Cost HIDE'!$B$28</f>
        <v>0</v>
      </c>
      <c r="I78" s="791">
        <f t="shared" si="24"/>
        <v>0</v>
      </c>
      <c r="J78" s="752">
        <f t="shared" si="25"/>
        <v>0</v>
      </c>
      <c r="K78" s="753">
        <f t="shared" si="26"/>
        <v>0</v>
      </c>
      <c r="L78" s="754">
        <f>IF('Client Cost HIDE'!$C$39&lt;1,'Client Cost HIDE'!$C$39*D78,IF(C78&gt;1,'Client Cost HIDE'!$C$39,0))</f>
        <v>0</v>
      </c>
      <c r="M78" s="233">
        <f>IF(O77&gt;0,O77*'Client Cost HIDE'!$A$177,0)</f>
        <v>0</v>
      </c>
      <c r="N78" s="755">
        <f>IF('Client Cost HIDE'!$B$14=B78,O77+L78+M78,0)</f>
        <v>0</v>
      </c>
      <c r="O78" s="755">
        <f t="shared" si="27"/>
        <v>0</v>
      </c>
      <c r="P78" s="792">
        <f t="shared" si="20"/>
        <v>0</v>
      </c>
      <c r="Q78" s="138">
        <f>IF(int_method=1,'Rep Schedule - Basic'!Q77,'Rep Schedule - Basic'!C78)</f>
        <v>0</v>
      </c>
      <c r="R78" s="759" t="e">
        <f t="shared" si="21"/>
        <v>#N/A</v>
      </c>
      <c r="S78" s="759">
        <f>IF(C78=0,0,C78-SUM($G$6:G78)-O77)</f>
        <v>0</v>
      </c>
      <c r="T78" s="759">
        <f t="shared" si="22"/>
        <v>0</v>
      </c>
      <c r="U78" s="760">
        <f t="shared" si="28"/>
        <v>-1523.2136738798367</v>
      </c>
      <c r="V78" s="254"/>
      <c r="W78" s="1" t="b">
        <f t="shared" si="29"/>
        <v>1</v>
      </c>
      <c r="AA78" s="15">
        <f>IF(C77&gt;1,IF(int_method=2,'Client Cost HIDE'!$B$172*C77,'Client Cost HIDE'!$B$172*'Client Cost HIDE'!$B$12),0)</f>
        <v>0</v>
      </c>
      <c r="AB78" s="5">
        <f>IF(B78&gt;'Client Cost HIDE'!$B$22,AA78,0)+AB77-E77</f>
        <v>0</v>
      </c>
    </row>
    <row r="79" spans="2:28" hidden="1">
      <c r="B79" s="392">
        <v>73</v>
      </c>
      <c r="C79" s="794">
        <f t="shared" si="23"/>
        <v>0</v>
      </c>
      <c r="D79" s="233">
        <f>IF(AND(B79&gt;='Client Cost HIDE'!$D$152,B79&lt;='Client Cost HIDE'!$B$14),IF(amortized=1,'Client Cost HIDE'!$B$12/'Client Cost HIDE'!$D$151,-PPMT('Client Cost HIDE'!$B$172,$B79-'Client Cost HIDE'!$D$152+1,'Client Cost HIDE'!$D$151,'Client Cost HIDE'!$B$12)),0)</f>
        <v>0</v>
      </c>
      <c r="E79" s="758">
        <f>IF(OR('Client Cost HIDE'!$E$152&gt;B79,C78&lt;1),0,AB79)</f>
        <v>0</v>
      </c>
      <c r="F79" s="233">
        <f>IF(indexing,D79*(1+'Client Cost HIDE'!$B$175)^(B79-$B$6)-D79,0)</f>
        <v>0</v>
      </c>
      <c r="G79" s="233">
        <f>IF('Client Cost HIDE'!$C$32&lt;1,'Client Cost HIDE'!$C$32*D79,IF(C78&gt;1,'Client Cost HIDE'!$C$32,0))</f>
        <v>0</v>
      </c>
      <c r="H79" s="233">
        <f>SUM(E79:G79)*'Client Cost HIDE'!$B$28</f>
        <v>0</v>
      </c>
      <c r="I79" s="791">
        <f t="shared" si="24"/>
        <v>0</v>
      </c>
      <c r="J79" s="752">
        <f t="shared" si="25"/>
        <v>0</v>
      </c>
      <c r="K79" s="753">
        <f t="shared" si="26"/>
        <v>0</v>
      </c>
      <c r="L79" s="754">
        <f>IF('Client Cost HIDE'!$C$39&lt;1,'Client Cost HIDE'!$C$39*D79,IF(C79&gt;1,'Client Cost HIDE'!$C$39,0))</f>
        <v>0</v>
      </c>
      <c r="M79" s="233">
        <f>IF(O78&gt;0,O78*'Client Cost HIDE'!$A$177,0)</f>
        <v>0</v>
      </c>
      <c r="N79" s="755">
        <f>IF('Client Cost HIDE'!$B$14=B79,O78+L79+M79,0)</f>
        <v>0</v>
      </c>
      <c r="O79" s="755">
        <f t="shared" si="27"/>
        <v>0</v>
      </c>
      <c r="P79" s="792">
        <f t="shared" si="20"/>
        <v>0</v>
      </c>
      <c r="Q79" s="138">
        <f>IF(int_method=1,'Rep Schedule - Basic'!Q78,'Rep Schedule - Basic'!C79)</f>
        <v>0</v>
      </c>
      <c r="R79" s="759" t="e">
        <f t="shared" si="21"/>
        <v>#N/A</v>
      </c>
      <c r="S79" s="759">
        <f>IF(C79=0,0,C79-SUM($G$6:G79)-O78)</f>
        <v>0</v>
      </c>
      <c r="T79" s="759">
        <f t="shared" si="22"/>
        <v>0</v>
      </c>
      <c r="U79" s="760">
        <f t="shared" si="28"/>
        <v>-1523.2136738798367</v>
      </c>
      <c r="V79" s="254"/>
      <c r="W79" s="1" t="b">
        <f t="shared" si="29"/>
        <v>1</v>
      </c>
      <c r="AA79" s="15">
        <f>IF(C78&gt;1,IF(int_method=2,'Client Cost HIDE'!$B$172*C78,'Client Cost HIDE'!$B$172*'Client Cost HIDE'!$B$12),0)</f>
        <v>0</v>
      </c>
      <c r="AB79" s="5">
        <f>IF(B79&gt;'Client Cost HIDE'!$B$22,AA79,0)+AB78-E78</f>
        <v>0</v>
      </c>
    </row>
    <row r="80" spans="2:28" hidden="1">
      <c r="B80" s="392">
        <v>74</v>
      </c>
      <c r="C80" s="794">
        <f t="shared" si="23"/>
        <v>0</v>
      </c>
      <c r="D80" s="233">
        <f>IF(AND(B80&gt;='Client Cost HIDE'!$D$152,B80&lt;='Client Cost HIDE'!$B$14),IF(amortized=1,'Client Cost HIDE'!$B$12/'Client Cost HIDE'!$D$151,-PPMT('Client Cost HIDE'!$B$172,$B80-'Client Cost HIDE'!$D$152+1,'Client Cost HIDE'!$D$151,'Client Cost HIDE'!$B$12)),0)</f>
        <v>0</v>
      </c>
      <c r="E80" s="758">
        <f>IF(OR('Client Cost HIDE'!$E$152&gt;B80,C79&lt;1),0,AB80)</f>
        <v>0</v>
      </c>
      <c r="F80" s="233">
        <f>IF(indexing,D80*(1+'Client Cost HIDE'!$B$175)^(B80-$B$6)-D80,0)</f>
        <v>0</v>
      </c>
      <c r="G80" s="233">
        <f>IF('Client Cost HIDE'!$C$32&lt;1,'Client Cost HIDE'!$C$32*D80,IF(C79&gt;1,'Client Cost HIDE'!$C$32,0))</f>
        <v>0</v>
      </c>
      <c r="H80" s="233">
        <f>SUM(E80:G80)*'Client Cost HIDE'!$B$28</f>
        <v>0</v>
      </c>
      <c r="I80" s="791">
        <f t="shared" si="24"/>
        <v>0</v>
      </c>
      <c r="J80" s="752">
        <f t="shared" si="25"/>
        <v>0</v>
      </c>
      <c r="K80" s="753">
        <f t="shared" si="26"/>
        <v>0</v>
      </c>
      <c r="L80" s="754">
        <f>IF('Client Cost HIDE'!$C$39&lt;1,'Client Cost HIDE'!$C$39*D80,IF(C80&gt;1,'Client Cost HIDE'!$C$39,0))</f>
        <v>0</v>
      </c>
      <c r="M80" s="233">
        <f>IF(O79&gt;0,O79*'Client Cost HIDE'!$A$177,0)</f>
        <v>0</v>
      </c>
      <c r="N80" s="755">
        <f>IF('Client Cost HIDE'!$B$14=B80,O79+L80+M80,0)</f>
        <v>0</v>
      </c>
      <c r="O80" s="755">
        <f t="shared" si="27"/>
        <v>0</v>
      </c>
      <c r="P80" s="792">
        <f t="shared" si="20"/>
        <v>0</v>
      </c>
      <c r="Q80" s="138">
        <f>IF(int_method=1,'Rep Schedule - Basic'!Q79,'Rep Schedule - Basic'!C80)</f>
        <v>0</v>
      </c>
      <c r="R80" s="759" t="e">
        <f t="shared" si="21"/>
        <v>#N/A</v>
      </c>
      <c r="S80" s="759">
        <f>IF(C80=0,0,C80-SUM($G$6:G80)-O79)</f>
        <v>0</v>
      </c>
      <c r="T80" s="759">
        <f t="shared" si="22"/>
        <v>0</v>
      </c>
      <c r="U80" s="760">
        <f t="shared" si="28"/>
        <v>-1523.2136738798367</v>
      </c>
      <c r="V80" s="254"/>
      <c r="W80" s="1" t="b">
        <f t="shared" si="29"/>
        <v>1</v>
      </c>
      <c r="AA80" s="15">
        <f>IF(C79&gt;1,IF(int_method=2,'Client Cost HIDE'!$B$172*C79,'Client Cost HIDE'!$B$172*'Client Cost HIDE'!$B$12),0)</f>
        <v>0</v>
      </c>
      <c r="AB80" s="5">
        <f>IF(B80&gt;'Client Cost HIDE'!$B$22,AA80,0)+AB79-E79</f>
        <v>0</v>
      </c>
    </row>
    <row r="81" spans="2:28" hidden="1">
      <c r="B81" s="392">
        <v>75</v>
      </c>
      <c r="C81" s="794">
        <f t="shared" si="23"/>
        <v>0</v>
      </c>
      <c r="D81" s="233">
        <f>IF(AND(B81&gt;='Client Cost HIDE'!$D$152,B81&lt;='Client Cost HIDE'!$B$14),IF(amortized=1,'Client Cost HIDE'!$B$12/'Client Cost HIDE'!$D$151,-PPMT('Client Cost HIDE'!$B$172,$B81-'Client Cost HIDE'!$D$152+1,'Client Cost HIDE'!$D$151,'Client Cost HIDE'!$B$12)),0)</f>
        <v>0</v>
      </c>
      <c r="E81" s="758">
        <f>IF(OR('Client Cost HIDE'!$E$152&gt;B81,C80&lt;1),0,AB81)</f>
        <v>0</v>
      </c>
      <c r="F81" s="233">
        <f>IF(indexing,D81*(1+'Client Cost HIDE'!$B$175)^(B81-$B$6)-D81,0)</f>
        <v>0</v>
      </c>
      <c r="G81" s="233">
        <f>IF('Client Cost HIDE'!$C$32&lt;1,'Client Cost HIDE'!$C$32*D81,IF(C80&gt;1,'Client Cost HIDE'!$C$32,0))</f>
        <v>0</v>
      </c>
      <c r="H81" s="233">
        <f>SUM(E81:G81)*'Client Cost HIDE'!$B$28</f>
        <v>0</v>
      </c>
      <c r="I81" s="791">
        <f t="shared" si="24"/>
        <v>0</v>
      </c>
      <c r="J81" s="752">
        <f t="shared" si="25"/>
        <v>0</v>
      </c>
      <c r="K81" s="753">
        <f t="shared" si="26"/>
        <v>0</v>
      </c>
      <c r="L81" s="754">
        <f>IF('Client Cost HIDE'!$C$39&lt;1,'Client Cost HIDE'!$C$39*D81,IF(C81&gt;1,'Client Cost HIDE'!$C$39,0))</f>
        <v>0</v>
      </c>
      <c r="M81" s="233">
        <f>IF(O80&gt;0,O80*'Client Cost HIDE'!$A$177,0)</f>
        <v>0</v>
      </c>
      <c r="N81" s="755">
        <f>IF('Client Cost HIDE'!$B$14=B81,O80+L81+M81,0)</f>
        <v>0</v>
      </c>
      <c r="O81" s="755">
        <f t="shared" si="27"/>
        <v>0</v>
      </c>
      <c r="P81" s="792">
        <f t="shared" si="20"/>
        <v>0</v>
      </c>
      <c r="Q81" s="138">
        <f>IF(int_method=1,'Rep Schedule - Basic'!Q80,'Rep Schedule - Basic'!C81)</f>
        <v>0</v>
      </c>
      <c r="R81" s="759" t="e">
        <f t="shared" si="21"/>
        <v>#N/A</v>
      </c>
      <c r="S81" s="759">
        <f>IF(C81=0,0,C81-SUM($G$6:G81)-O80)</f>
        <v>0</v>
      </c>
      <c r="T81" s="759">
        <f t="shared" si="22"/>
        <v>0</v>
      </c>
      <c r="U81" s="760">
        <f t="shared" si="28"/>
        <v>-1523.2136738798367</v>
      </c>
      <c r="V81" s="254"/>
      <c r="W81" s="1" t="b">
        <f t="shared" si="29"/>
        <v>1</v>
      </c>
      <c r="AA81" s="15">
        <f>IF(C80&gt;1,IF(int_method=2,'Client Cost HIDE'!$B$172*C80,'Client Cost HIDE'!$B$172*'Client Cost HIDE'!$B$12),0)</f>
        <v>0</v>
      </c>
      <c r="AB81" s="5">
        <f>IF(B81&gt;'Client Cost HIDE'!$B$22,AA81,0)+AB80-E80</f>
        <v>0</v>
      </c>
    </row>
    <row r="82" spans="2:28" hidden="1">
      <c r="B82" s="392">
        <v>76</v>
      </c>
      <c r="C82" s="794">
        <f t="shared" si="23"/>
        <v>0</v>
      </c>
      <c r="D82" s="233">
        <f>IF(AND(B82&gt;='Client Cost HIDE'!$D$152,B82&lt;='Client Cost HIDE'!$B$14),IF(amortized=1,'Client Cost HIDE'!$B$12/'Client Cost HIDE'!$D$151,-PPMT('Client Cost HIDE'!$B$172,$B82-'Client Cost HIDE'!$D$152+1,'Client Cost HIDE'!$D$151,'Client Cost HIDE'!$B$12)),0)</f>
        <v>0</v>
      </c>
      <c r="E82" s="758">
        <f>IF(OR('Client Cost HIDE'!$E$152&gt;B82,C81&lt;1),0,AB82)</f>
        <v>0</v>
      </c>
      <c r="F82" s="233">
        <f>IF(indexing,D82*(1+'Client Cost HIDE'!$B$175)^(B82-$B$6)-D82,0)</f>
        <v>0</v>
      </c>
      <c r="G82" s="233">
        <f>IF('Client Cost HIDE'!$C$32&lt;1,'Client Cost HIDE'!$C$32*D82,IF(C81&gt;1,'Client Cost HIDE'!$C$32,0))</f>
        <v>0</v>
      </c>
      <c r="H82" s="233">
        <f>SUM(E82:G82)*'Client Cost HIDE'!$B$28</f>
        <v>0</v>
      </c>
      <c r="I82" s="791">
        <f t="shared" si="24"/>
        <v>0</v>
      </c>
      <c r="J82" s="752">
        <f t="shared" si="25"/>
        <v>0</v>
      </c>
      <c r="K82" s="753">
        <f t="shared" si="26"/>
        <v>0</v>
      </c>
      <c r="L82" s="754">
        <f>IF('Client Cost HIDE'!$C$39&lt;1,'Client Cost HIDE'!$C$39*D82,IF(C82&gt;1,'Client Cost HIDE'!$C$39,0))</f>
        <v>0</v>
      </c>
      <c r="M82" s="233">
        <f>IF(O81&gt;0,O81*'Client Cost HIDE'!$A$177,0)</f>
        <v>0</v>
      </c>
      <c r="N82" s="755">
        <f>IF('Client Cost HIDE'!$B$14=B82,O81+L82+M82,0)</f>
        <v>0</v>
      </c>
      <c r="O82" s="755">
        <f t="shared" si="27"/>
        <v>0</v>
      </c>
      <c r="P82" s="792">
        <f t="shared" si="20"/>
        <v>0</v>
      </c>
      <c r="Q82" s="138">
        <f>IF(int_method=1,'Rep Schedule - Basic'!Q81,'Rep Schedule - Basic'!C82)</f>
        <v>0</v>
      </c>
      <c r="R82" s="759" t="e">
        <f t="shared" si="21"/>
        <v>#N/A</v>
      </c>
      <c r="S82" s="759">
        <f>IF(C82=0,0,C82-SUM($G$6:G82)-O81)</f>
        <v>0</v>
      </c>
      <c r="T82" s="759">
        <f t="shared" si="22"/>
        <v>0</v>
      </c>
      <c r="U82" s="760">
        <f t="shared" si="28"/>
        <v>-1523.2136738798367</v>
      </c>
      <c r="V82" s="254"/>
      <c r="W82" s="1" t="b">
        <f t="shared" si="29"/>
        <v>1</v>
      </c>
      <c r="AA82" s="15">
        <f>IF(C81&gt;1,IF(int_method=2,'Client Cost HIDE'!$B$172*C81,'Client Cost HIDE'!$B$172*'Client Cost HIDE'!$B$12),0)</f>
        <v>0</v>
      </c>
      <c r="AB82" s="5">
        <f>IF(B82&gt;'Client Cost HIDE'!$B$22,AA82,0)+AB81-E81</f>
        <v>0</v>
      </c>
    </row>
    <row r="83" spans="2:28" hidden="1">
      <c r="B83" s="392">
        <v>77</v>
      </c>
      <c r="C83" s="794">
        <f t="shared" si="23"/>
        <v>0</v>
      </c>
      <c r="D83" s="233">
        <f>IF(AND(B83&gt;='Client Cost HIDE'!$D$152,B83&lt;='Client Cost HIDE'!$B$14),IF(amortized=1,'Client Cost HIDE'!$B$12/'Client Cost HIDE'!$D$151,-PPMT('Client Cost HIDE'!$B$172,$B83-'Client Cost HIDE'!$D$152+1,'Client Cost HIDE'!$D$151,'Client Cost HIDE'!$B$12)),0)</f>
        <v>0</v>
      </c>
      <c r="E83" s="758">
        <f>IF(OR('Client Cost HIDE'!$E$152&gt;B83,C82&lt;1),0,AB83)</f>
        <v>0</v>
      </c>
      <c r="F83" s="233">
        <f>IF(indexing,D83*(1+'Client Cost HIDE'!$B$175)^(B83-$B$6)-D83,0)</f>
        <v>0</v>
      </c>
      <c r="G83" s="233">
        <f>IF('Client Cost HIDE'!$C$32&lt;1,'Client Cost HIDE'!$C$32*D83,IF(C82&gt;1,'Client Cost HIDE'!$C$32,0))</f>
        <v>0</v>
      </c>
      <c r="H83" s="233">
        <f>SUM(E83:G83)*'Client Cost HIDE'!$B$28</f>
        <v>0</v>
      </c>
      <c r="I83" s="791">
        <f t="shared" si="24"/>
        <v>0</v>
      </c>
      <c r="J83" s="752">
        <f t="shared" si="25"/>
        <v>0</v>
      </c>
      <c r="K83" s="753">
        <f t="shared" si="26"/>
        <v>0</v>
      </c>
      <c r="L83" s="754">
        <f>IF('Client Cost HIDE'!$C$39&lt;1,'Client Cost HIDE'!$C$39*D83,IF(C83&gt;1,'Client Cost HIDE'!$C$39,0))</f>
        <v>0</v>
      </c>
      <c r="M83" s="233">
        <f>IF(O82&gt;0,O82*'Client Cost HIDE'!$A$177,0)</f>
        <v>0</v>
      </c>
      <c r="N83" s="755">
        <f>IF('Client Cost HIDE'!$B$14=B83,O82+L83+M83,0)</f>
        <v>0</v>
      </c>
      <c r="O83" s="755">
        <f t="shared" si="27"/>
        <v>0</v>
      </c>
      <c r="P83" s="792">
        <f t="shared" si="20"/>
        <v>0</v>
      </c>
      <c r="Q83" s="138">
        <f>IF(int_method=1,'Rep Schedule - Basic'!Q82,'Rep Schedule - Basic'!C83)</f>
        <v>0</v>
      </c>
      <c r="R83" s="759" t="e">
        <f t="shared" si="21"/>
        <v>#N/A</v>
      </c>
      <c r="S83" s="759">
        <f>IF(C83=0,0,C83-SUM($G$6:G83)-O82)</f>
        <v>0</v>
      </c>
      <c r="T83" s="759">
        <f t="shared" si="22"/>
        <v>0</v>
      </c>
      <c r="U83" s="760">
        <f t="shared" si="28"/>
        <v>-1523.2136738798367</v>
      </c>
      <c r="V83" s="254"/>
      <c r="W83" s="1" t="b">
        <f t="shared" si="29"/>
        <v>1</v>
      </c>
      <c r="AA83" s="15">
        <f>IF(C82&gt;1,IF(int_method=2,'Client Cost HIDE'!$B$172*C82,'Client Cost HIDE'!$B$172*'Client Cost HIDE'!$B$12),0)</f>
        <v>0</v>
      </c>
      <c r="AB83" s="5">
        <f>IF(B83&gt;'Client Cost HIDE'!$B$22,AA83,0)+AB82-E82</f>
        <v>0</v>
      </c>
    </row>
    <row r="84" spans="2:28" hidden="1">
      <c r="B84" s="392">
        <v>78</v>
      </c>
      <c r="C84" s="794">
        <f t="shared" si="23"/>
        <v>0</v>
      </c>
      <c r="D84" s="233">
        <f>IF(AND(B84&gt;='Client Cost HIDE'!$D$152,B84&lt;='Client Cost HIDE'!$B$14),IF(amortized=1,'Client Cost HIDE'!$B$12/'Client Cost HIDE'!$D$151,-PPMT('Client Cost HIDE'!$B$172,$B84-'Client Cost HIDE'!$D$152+1,'Client Cost HIDE'!$D$151,'Client Cost HIDE'!$B$12)),0)</f>
        <v>0</v>
      </c>
      <c r="E84" s="758">
        <f>IF(OR('Client Cost HIDE'!$E$152&gt;B84,C83&lt;1),0,AB84)</f>
        <v>0</v>
      </c>
      <c r="F84" s="233">
        <f>IF(indexing,D84*(1+'Client Cost HIDE'!$B$175)^(B84-$B$6)-D84,0)</f>
        <v>0</v>
      </c>
      <c r="G84" s="233">
        <f>IF('Client Cost HIDE'!$C$32&lt;1,'Client Cost HIDE'!$C$32*D84,IF(C83&gt;1,'Client Cost HIDE'!$C$32,0))</f>
        <v>0</v>
      </c>
      <c r="H84" s="233">
        <f>SUM(E84:G84)*'Client Cost HIDE'!$B$28</f>
        <v>0</v>
      </c>
      <c r="I84" s="791">
        <f t="shared" si="24"/>
        <v>0</v>
      </c>
      <c r="J84" s="752">
        <f t="shared" si="25"/>
        <v>0</v>
      </c>
      <c r="K84" s="753">
        <f t="shared" si="26"/>
        <v>0</v>
      </c>
      <c r="L84" s="754">
        <f>IF('Client Cost HIDE'!$C$39&lt;1,'Client Cost HIDE'!$C$39*D84,IF(C84&gt;1,'Client Cost HIDE'!$C$39,0))</f>
        <v>0</v>
      </c>
      <c r="M84" s="233">
        <f>IF(O83&gt;0,O83*'Client Cost HIDE'!$A$177,0)</f>
        <v>0</v>
      </c>
      <c r="N84" s="755">
        <f>IF('Client Cost HIDE'!$B$14=B84,O83+L84+M84,0)</f>
        <v>0</v>
      </c>
      <c r="O84" s="755">
        <f t="shared" si="27"/>
        <v>0</v>
      </c>
      <c r="P84" s="792">
        <f t="shared" si="20"/>
        <v>0</v>
      </c>
      <c r="Q84" s="138">
        <f>IF(int_method=1,'Rep Schedule - Basic'!Q83,'Rep Schedule - Basic'!C84)</f>
        <v>0</v>
      </c>
      <c r="R84" s="759" t="e">
        <f t="shared" si="21"/>
        <v>#N/A</v>
      </c>
      <c r="S84" s="759">
        <f>IF(C84=0,0,C84-SUM($G$6:G84)-O83)</f>
        <v>0</v>
      </c>
      <c r="T84" s="759">
        <f t="shared" si="22"/>
        <v>0</v>
      </c>
      <c r="U84" s="760">
        <f t="shared" si="28"/>
        <v>-1523.2136738798367</v>
      </c>
      <c r="V84" s="254"/>
      <c r="W84" s="1" t="b">
        <f t="shared" si="29"/>
        <v>1</v>
      </c>
      <c r="AA84" s="15">
        <f>IF(C83&gt;1,IF(int_method=2,'Client Cost HIDE'!$B$172*C83,'Client Cost HIDE'!$B$172*'Client Cost HIDE'!$B$12),0)</f>
        <v>0</v>
      </c>
      <c r="AB84" s="5">
        <f>IF(B84&gt;'Client Cost HIDE'!$B$22,AA84,0)+AB83-E83</f>
        <v>0</v>
      </c>
    </row>
    <row r="85" spans="2:28" hidden="1">
      <c r="B85" s="392">
        <v>79</v>
      </c>
      <c r="C85" s="794">
        <f t="shared" si="23"/>
        <v>0</v>
      </c>
      <c r="D85" s="233">
        <f>IF(AND(B85&gt;='Client Cost HIDE'!$D$152,B85&lt;='Client Cost HIDE'!$B$14),IF(amortized=1,'Client Cost HIDE'!$B$12/'Client Cost HIDE'!$D$151,-PPMT('Client Cost HIDE'!$B$172,$B85-'Client Cost HIDE'!$D$152+1,'Client Cost HIDE'!$D$151,'Client Cost HIDE'!$B$12)),0)</f>
        <v>0</v>
      </c>
      <c r="E85" s="758">
        <f>IF(OR('Client Cost HIDE'!$E$152&gt;B85,C84&lt;1),0,AB85)</f>
        <v>0</v>
      </c>
      <c r="F85" s="233">
        <f>IF(indexing,D85*(1+'Client Cost HIDE'!$B$175)^(B85-$B$6)-D85,0)</f>
        <v>0</v>
      </c>
      <c r="G85" s="233">
        <f>IF('Client Cost HIDE'!$C$32&lt;1,'Client Cost HIDE'!$C$32*D85,IF(C84&gt;1,'Client Cost HIDE'!$C$32,0))</f>
        <v>0</v>
      </c>
      <c r="H85" s="233">
        <f>SUM(E85:G85)*'Client Cost HIDE'!$B$28</f>
        <v>0</v>
      </c>
      <c r="I85" s="791">
        <f t="shared" si="24"/>
        <v>0</v>
      </c>
      <c r="J85" s="752">
        <f t="shared" si="25"/>
        <v>0</v>
      </c>
      <c r="K85" s="753">
        <f t="shared" si="26"/>
        <v>0</v>
      </c>
      <c r="L85" s="754">
        <f>IF('Client Cost HIDE'!$C$39&lt;1,'Client Cost HIDE'!$C$39*D85,IF(C85&gt;1,'Client Cost HIDE'!$C$39,0))</f>
        <v>0</v>
      </c>
      <c r="M85" s="233">
        <f>IF(O84&gt;0,O84*'Client Cost HIDE'!$A$177,0)</f>
        <v>0</v>
      </c>
      <c r="N85" s="755">
        <f>IF('Client Cost HIDE'!$B$14=B85,O84+L85+M85,0)</f>
        <v>0</v>
      </c>
      <c r="O85" s="755">
        <f t="shared" si="27"/>
        <v>0</v>
      </c>
      <c r="P85" s="792">
        <f t="shared" si="20"/>
        <v>0</v>
      </c>
      <c r="Q85" s="138">
        <f>IF(int_method=1,'Rep Schedule - Basic'!Q84,'Rep Schedule - Basic'!C85)</f>
        <v>0</v>
      </c>
      <c r="R85" s="759" t="e">
        <f t="shared" si="21"/>
        <v>#N/A</v>
      </c>
      <c r="S85" s="759">
        <f>IF(C85=0,0,C85-SUM($G$6:G85)-O84)</f>
        <v>0</v>
      </c>
      <c r="T85" s="759">
        <f t="shared" si="22"/>
        <v>0</v>
      </c>
      <c r="U85" s="760">
        <f t="shared" si="28"/>
        <v>-1523.2136738798367</v>
      </c>
      <c r="V85" s="254"/>
      <c r="W85" s="1" t="b">
        <f t="shared" si="29"/>
        <v>1</v>
      </c>
      <c r="AA85" s="15">
        <f>IF(C84&gt;1,IF(int_method=2,'Client Cost HIDE'!$B$172*C84,'Client Cost HIDE'!$B$172*'Client Cost HIDE'!$B$12),0)</f>
        <v>0</v>
      </c>
      <c r="AB85" s="5">
        <f>IF(B85&gt;'Client Cost HIDE'!$B$22,AA85,0)+AB84-E84</f>
        <v>0</v>
      </c>
    </row>
    <row r="86" spans="2:28" hidden="1">
      <c r="B86" s="392">
        <v>80</v>
      </c>
      <c r="C86" s="794">
        <f t="shared" si="23"/>
        <v>0</v>
      </c>
      <c r="D86" s="233">
        <f>IF(AND(B86&gt;='Client Cost HIDE'!$D$152,B86&lt;='Client Cost HIDE'!$B$14),IF(amortized=1,'Client Cost HIDE'!$B$12/'Client Cost HIDE'!$D$151,-PPMT('Client Cost HIDE'!$B$172,$B86-'Client Cost HIDE'!$D$152+1,'Client Cost HIDE'!$D$151,'Client Cost HIDE'!$B$12)),0)</f>
        <v>0</v>
      </c>
      <c r="E86" s="758">
        <f>IF(OR('Client Cost HIDE'!$E$152&gt;B86,C85&lt;1),0,AB86)</f>
        <v>0</v>
      </c>
      <c r="F86" s="233">
        <f>IF(indexing,D86*(1+'Client Cost HIDE'!$B$175)^(B86-$B$6)-D86,0)</f>
        <v>0</v>
      </c>
      <c r="G86" s="233">
        <f>IF('Client Cost HIDE'!$C$32&lt;1,'Client Cost HIDE'!$C$32*D86,IF(C85&gt;1,'Client Cost HIDE'!$C$32,0))</f>
        <v>0</v>
      </c>
      <c r="H86" s="233">
        <f>SUM(E86:G86)*'Client Cost HIDE'!$B$28</f>
        <v>0</v>
      </c>
      <c r="I86" s="791">
        <f t="shared" si="24"/>
        <v>0</v>
      </c>
      <c r="J86" s="752">
        <f t="shared" si="25"/>
        <v>0</v>
      </c>
      <c r="K86" s="753">
        <f t="shared" si="26"/>
        <v>0</v>
      </c>
      <c r="L86" s="754">
        <f>IF('Client Cost HIDE'!$C$39&lt;1,'Client Cost HIDE'!$C$39*D86,IF(C86&gt;1,'Client Cost HIDE'!$C$39,0))</f>
        <v>0</v>
      </c>
      <c r="M86" s="233">
        <f>IF(O85&gt;0,O85*'Client Cost HIDE'!$A$177,0)</f>
        <v>0</v>
      </c>
      <c r="N86" s="755">
        <f>IF('Client Cost HIDE'!$B$14=B86,O85+L86+M86,0)</f>
        <v>0</v>
      </c>
      <c r="O86" s="755">
        <f t="shared" si="27"/>
        <v>0</v>
      </c>
      <c r="P86" s="792">
        <f t="shared" si="20"/>
        <v>0</v>
      </c>
      <c r="Q86" s="138">
        <f>IF(int_method=1,'Rep Schedule - Basic'!Q85,'Rep Schedule - Basic'!C86)</f>
        <v>0</v>
      </c>
      <c r="R86" s="759" t="e">
        <f t="shared" si="21"/>
        <v>#N/A</v>
      </c>
      <c r="S86" s="759">
        <f>IF(C86=0,0,C86-SUM($G$6:G86)-O85)</f>
        <v>0</v>
      </c>
      <c r="T86" s="759">
        <f t="shared" si="22"/>
        <v>0</v>
      </c>
      <c r="U86" s="760">
        <f t="shared" si="28"/>
        <v>-1523.2136738798367</v>
      </c>
      <c r="V86" s="254"/>
      <c r="W86" s="1" t="b">
        <f t="shared" si="29"/>
        <v>1</v>
      </c>
      <c r="AA86" s="15">
        <f>IF(C85&gt;1,IF(int_method=2,'Client Cost HIDE'!$B$172*C85,'Client Cost HIDE'!$B$172*'Client Cost HIDE'!$B$12),0)</f>
        <v>0</v>
      </c>
      <c r="AB86" s="5">
        <f>IF(B86&gt;'Client Cost HIDE'!$B$22,AA86,0)+AB85-E85</f>
        <v>0</v>
      </c>
    </row>
    <row r="87" spans="2:28" hidden="1">
      <c r="B87" s="392">
        <v>81</v>
      </c>
      <c r="C87" s="794">
        <f t="shared" si="23"/>
        <v>0</v>
      </c>
      <c r="D87" s="233">
        <f>IF(AND(B87&gt;='Client Cost HIDE'!$D$152,B87&lt;='Client Cost HIDE'!$B$14),IF(amortized=1,'Client Cost HIDE'!$B$12/'Client Cost HIDE'!$D$151,-PPMT('Client Cost HIDE'!$B$172,$B87-'Client Cost HIDE'!$D$152+1,'Client Cost HIDE'!$D$151,'Client Cost HIDE'!$B$12)),0)</f>
        <v>0</v>
      </c>
      <c r="E87" s="758">
        <f>IF(OR('Client Cost HIDE'!$E$152&gt;B87,C86&lt;1),0,AB87)</f>
        <v>0</v>
      </c>
      <c r="F87" s="233">
        <f>IF(indexing,D87*(1+'Client Cost HIDE'!$B$175)^(B87-$B$6)-D87,0)</f>
        <v>0</v>
      </c>
      <c r="G87" s="233">
        <f>IF('Client Cost HIDE'!$C$32&lt;1,'Client Cost HIDE'!$C$32*D87,IF(C86&gt;1,'Client Cost HIDE'!$C$32,0))</f>
        <v>0</v>
      </c>
      <c r="H87" s="233">
        <f>SUM(E87:G87)*'Client Cost HIDE'!$B$28</f>
        <v>0</v>
      </c>
      <c r="I87" s="791">
        <f t="shared" si="24"/>
        <v>0</v>
      </c>
      <c r="J87" s="752">
        <f t="shared" si="25"/>
        <v>0</v>
      </c>
      <c r="K87" s="753">
        <f t="shared" si="26"/>
        <v>0</v>
      </c>
      <c r="L87" s="754">
        <f>IF('Client Cost HIDE'!$C$39&lt;1,'Client Cost HIDE'!$C$39*D87,IF(C87&gt;1,'Client Cost HIDE'!$C$39,0))</f>
        <v>0</v>
      </c>
      <c r="M87" s="233">
        <f>IF(O86&gt;0,O86*'Client Cost HIDE'!$A$177,0)</f>
        <v>0</v>
      </c>
      <c r="N87" s="755">
        <f>IF('Client Cost HIDE'!$B$14=B87,O86+L87+M87,0)</f>
        <v>0</v>
      </c>
      <c r="O87" s="755">
        <f t="shared" si="27"/>
        <v>0</v>
      </c>
      <c r="P87" s="792">
        <f t="shared" si="20"/>
        <v>0</v>
      </c>
      <c r="Q87" s="138">
        <f>IF(int_method=1,'Rep Schedule - Basic'!Q86,'Rep Schedule - Basic'!C87)</f>
        <v>0</v>
      </c>
      <c r="R87" s="759" t="e">
        <f t="shared" si="21"/>
        <v>#N/A</v>
      </c>
      <c r="S87" s="759">
        <f>IF(C87=0,0,C87-SUM($G$6:G87)-O86)</f>
        <v>0</v>
      </c>
      <c r="T87" s="759">
        <f t="shared" si="22"/>
        <v>0</v>
      </c>
      <c r="U87" s="760">
        <f t="shared" si="28"/>
        <v>-1523.2136738798367</v>
      </c>
      <c r="V87" s="254"/>
      <c r="W87" s="1" t="b">
        <f t="shared" si="29"/>
        <v>1</v>
      </c>
      <c r="AA87" s="15">
        <f>IF(C86&gt;1,IF(int_method=2,'Client Cost HIDE'!$B$172*C86,'Client Cost HIDE'!$B$172*'Client Cost HIDE'!$B$12),0)</f>
        <v>0</v>
      </c>
      <c r="AB87" s="5">
        <f>IF(B87&gt;'Client Cost HIDE'!$B$22,AA87,0)+AB86-E86</f>
        <v>0</v>
      </c>
    </row>
    <row r="88" spans="2:28" hidden="1">
      <c r="B88" s="392">
        <v>82</v>
      </c>
      <c r="C88" s="794">
        <f t="shared" si="23"/>
        <v>0</v>
      </c>
      <c r="D88" s="233">
        <f>IF(AND(B88&gt;='Client Cost HIDE'!$D$152,B88&lt;='Client Cost HIDE'!$B$14),IF(amortized=1,'Client Cost HIDE'!$B$12/'Client Cost HIDE'!$D$151,-PPMT('Client Cost HIDE'!$B$172,$B88-'Client Cost HIDE'!$D$152+1,'Client Cost HIDE'!$D$151,'Client Cost HIDE'!$B$12)),0)</f>
        <v>0</v>
      </c>
      <c r="E88" s="758">
        <f>IF(OR('Client Cost HIDE'!$E$152&gt;B88,C87&lt;1),0,AB88)</f>
        <v>0</v>
      </c>
      <c r="F88" s="233">
        <f>IF(indexing,D88*(1+'Client Cost HIDE'!$B$175)^(B88-$B$6)-D88,0)</f>
        <v>0</v>
      </c>
      <c r="G88" s="233">
        <f>IF('Client Cost HIDE'!$C$32&lt;1,'Client Cost HIDE'!$C$32*D88,IF(C87&gt;1,'Client Cost HIDE'!$C$32,0))</f>
        <v>0</v>
      </c>
      <c r="H88" s="233">
        <f>SUM(E88:G88)*'Client Cost HIDE'!$B$28</f>
        <v>0</v>
      </c>
      <c r="I88" s="791">
        <f t="shared" si="24"/>
        <v>0</v>
      </c>
      <c r="J88" s="752">
        <f t="shared" si="25"/>
        <v>0</v>
      </c>
      <c r="K88" s="753">
        <f t="shared" si="26"/>
        <v>0</v>
      </c>
      <c r="L88" s="754">
        <f>IF('Client Cost HIDE'!$C$39&lt;1,'Client Cost HIDE'!$C$39*D88,IF(C88&gt;1,'Client Cost HIDE'!$C$39,0))</f>
        <v>0</v>
      </c>
      <c r="M88" s="233">
        <f>IF(O87&gt;0,O87*'Client Cost HIDE'!$A$177,0)</f>
        <v>0</v>
      </c>
      <c r="N88" s="755">
        <f>IF('Client Cost HIDE'!$B$14=B88,O87+L88+M88,0)</f>
        <v>0</v>
      </c>
      <c r="O88" s="755">
        <f t="shared" si="27"/>
        <v>0</v>
      </c>
      <c r="P88" s="792">
        <f t="shared" si="20"/>
        <v>0</v>
      </c>
      <c r="Q88" s="138">
        <f>IF(int_method=1,'Rep Schedule - Basic'!Q87,'Rep Schedule - Basic'!C88)</f>
        <v>0</v>
      </c>
      <c r="R88" s="759" t="e">
        <f t="shared" si="21"/>
        <v>#N/A</v>
      </c>
      <c r="S88" s="759">
        <f>IF(C88=0,0,C88-SUM($G$6:G88)-O87)</f>
        <v>0</v>
      </c>
      <c r="T88" s="759">
        <f t="shared" si="22"/>
        <v>0</v>
      </c>
      <c r="U88" s="760">
        <f t="shared" si="28"/>
        <v>-1523.2136738798367</v>
      </c>
      <c r="V88" s="254"/>
      <c r="W88" s="1" t="b">
        <f t="shared" si="29"/>
        <v>1</v>
      </c>
      <c r="AA88" s="15">
        <f>IF(C87&gt;1,IF(int_method=2,'Client Cost HIDE'!$B$172*C87,'Client Cost HIDE'!$B$172*'Client Cost HIDE'!$B$12),0)</f>
        <v>0</v>
      </c>
      <c r="AB88" s="5">
        <f>IF(B88&gt;'Client Cost HIDE'!$B$22,AA88,0)+AB87-E87</f>
        <v>0</v>
      </c>
    </row>
    <row r="89" spans="2:28" hidden="1">
      <c r="B89" s="392">
        <v>83</v>
      </c>
      <c r="C89" s="794">
        <f t="shared" si="23"/>
        <v>0</v>
      </c>
      <c r="D89" s="233">
        <f>IF(AND(B89&gt;='Client Cost HIDE'!$D$152,B89&lt;='Client Cost HIDE'!$B$14),IF(amortized=1,'Client Cost HIDE'!$B$12/'Client Cost HIDE'!$D$151,-PPMT('Client Cost HIDE'!$B$172,$B89-'Client Cost HIDE'!$D$152+1,'Client Cost HIDE'!$D$151,'Client Cost HIDE'!$B$12)),0)</f>
        <v>0</v>
      </c>
      <c r="E89" s="758">
        <f>IF(OR('Client Cost HIDE'!$E$152&gt;B89,C88&lt;1),0,AB89)</f>
        <v>0</v>
      </c>
      <c r="F89" s="233">
        <f>IF(indexing,D89*(1+'Client Cost HIDE'!$B$175)^(B89-$B$6)-D89,0)</f>
        <v>0</v>
      </c>
      <c r="G89" s="233">
        <f>IF('Client Cost HIDE'!$C$32&lt;1,'Client Cost HIDE'!$C$32*D89,IF(C88&gt;1,'Client Cost HIDE'!$C$32,0))</f>
        <v>0</v>
      </c>
      <c r="H89" s="233">
        <f>SUM(E89:G89)*'Client Cost HIDE'!$B$28</f>
        <v>0</v>
      </c>
      <c r="I89" s="791">
        <f t="shared" si="24"/>
        <v>0</v>
      </c>
      <c r="J89" s="752">
        <f t="shared" si="25"/>
        <v>0</v>
      </c>
      <c r="K89" s="753">
        <f t="shared" si="26"/>
        <v>0</v>
      </c>
      <c r="L89" s="754">
        <f>IF('Client Cost HIDE'!$C$39&lt;1,'Client Cost HIDE'!$C$39*D89,IF(C89&gt;1,'Client Cost HIDE'!$C$39,0))</f>
        <v>0</v>
      </c>
      <c r="M89" s="233">
        <f>IF(O88&gt;0,O88*'Client Cost HIDE'!$A$177,0)</f>
        <v>0</v>
      </c>
      <c r="N89" s="755">
        <f>IF('Client Cost HIDE'!$B$14=B89,O88+L89+M89,0)</f>
        <v>0</v>
      </c>
      <c r="O89" s="755">
        <f t="shared" si="27"/>
        <v>0</v>
      </c>
      <c r="P89" s="792">
        <f t="shared" si="20"/>
        <v>0</v>
      </c>
      <c r="Q89" s="138">
        <f>IF(int_method=1,'Rep Schedule - Basic'!Q88,'Rep Schedule - Basic'!C89)</f>
        <v>0</v>
      </c>
      <c r="R89" s="759" t="e">
        <f t="shared" si="21"/>
        <v>#N/A</v>
      </c>
      <c r="S89" s="759">
        <f>IF(C89=0,0,C89-SUM($G$6:G89)-O88)</f>
        <v>0</v>
      </c>
      <c r="T89" s="759">
        <f t="shared" si="22"/>
        <v>0</v>
      </c>
      <c r="U89" s="760">
        <f t="shared" si="28"/>
        <v>-1523.2136738798367</v>
      </c>
      <c r="V89" s="254"/>
      <c r="W89" s="1" t="b">
        <f t="shared" si="29"/>
        <v>1</v>
      </c>
      <c r="AA89" s="15">
        <f>IF(C88&gt;1,IF(int_method=2,'Client Cost HIDE'!$B$172*C88,'Client Cost HIDE'!$B$172*'Client Cost HIDE'!$B$12),0)</f>
        <v>0</v>
      </c>
      <c r="AB89" s="5">
        <f>IF(B89&gt;'Client Cost HIDE'!$B$22,AA89,0)+AB88-E88</f>
        <v>0</v>
      </c>
    </row>
    <row r="90" spans="2:28" hidden="1">
      <c r="B90" s="392">
        <v>84</v>
      </c>
      <c r="C90" s="794">
        <f t="shared" si="23"/>
        <v>0</v>
      </c>
      <c r="D90" s="233">
        <f>IF(AND(B90&gt;='Client Cost HIDE'!$D$152,B90&lt;='Client Cost HIDE'!$B$14),IF(amortized=1,'Client Cost HIDE'!$B$12/'Client Cost HIDE'!$D$151,-PPMT('Client Cost HIDE'!$B$172,$B90-'Client Cost HIDE'!$D$152+1,'Client Cost HIDE'!$D$151,'Client Cost HIDE'!$B$12)),0)</f>
        <v>0</v>
      </c>
      <c r="E90" s="758">
        <f>IF(OR('Client Cost HIDE'!$E$152&gt;B90,C89&lt;1),0,AB90)</f>
        <v>0</v>
      </c>
      <c r="F90" s="233">
        <f>IF(indexing,D90*(1+'Client Cost HIDE'!$B$175)^(B90-$B$6)-D90,0)</f>
        <v>0</v>
      </c>
      <c r="G90" s="233">
        <f>IF('Client Cost HIDE'!$C$32&lt;1,'Client Cost HIDE'!$C$32*D90,IF(C89&gt;1,'Client Cost HIDE'!$C$32,0))</f>
        <v>0</v>
      </c>
      <c r="H90" s="233">
        <f>SUM(E90:G90)*'Client Cost HIDE'!$B$28</f>
        <v>0</v>
      </c>
      <c r="I90" s="791">
        <f t="shared" si="24"/>
        <v>0</v>
      </c>
      <c r="J90" s="752">
        <f t="shared" si="25"/>
        <v>0</v>
      </c>
      <c r="K90" s="753">
        <f t="shared" si="26"/>
        <v>0</v>
      </c>
      <c r="L90" s="754">
        <f>IF('Client Cost HIDE'!$C$39&lt;1,'Client Cost HIDE'!$C$39*D90,IF(C90&gt;1,'Client Cost HIDE'!$C$39,0))</f>
        <v>0</v>
      </c>
      <c r="M90" s="233">
        <f>IF(O89&gt;0,O89*'Client Cost HIDE'!$A$177,0)</f>
        <v>0</v>
      </c>
      <c r="N90" s="755">
        <f>IF('Client Cost HIDE'!$B$14=B90,O89+L90+M90,0)</f>
        <v>0</v>
      </c>
      <c r="O90" s="755">
        <f t="shared" si="27"/>
        <v>0</v>
      </c>
      <c r="P90" s="792">
        <f t="shared" si="20"/>
        <v>0</v>
      </c>
      <c r="Q90" s="138">
        <f>IF(int_method=1,'Rep Schedule - Basic'!Q89,'Rep Schedule - Basic'!C90)</f>
        <v>0</v>
      </c>
      <c r="R90" s="759" t="e">
        <f t="shared" si="21"/>
        <v>#N/A</v>
      </c>
      <c r="S90" s="759">
        <f>IF(C90=0,0,C90-SUM($G$6:G90)-O89)</f>
        <v>0</v>
      </c>
      <c r="T90" s="759">
        <f t="shared" si="22"/>
        <v>0</v>
      </c>
      <c r="U90" s="760">
        <f t="shared" si="28"/>
        <v>-1523.2136738798367</v>
      </c>
      <c r="V90" s="254"/>
      <c r="W90" s="1" t="b">
        <f t="shared" si="29"/>
        <v>1</v>
      </c>
      <c r="AA90" s="15">
        <f>IF(C89&gt;1,IF(int_method=2,'Client Cost HIDE'!$B$172*C89,'Client Cost HIDE'!$B$172*'Client Cost HIDE'!$B$12),0)</f>
        <v>0</v>
      </c>
      <c r="AB90" s="5">
        <f>IF(B90&gt;'Client Cost HIDE'!$B$22,AA90,0)+AB89-E89</f>
        <v>0</v>
      </c>
    </row>
    <row r="91" spans="2:28" hidden="1">
      <c r="B91" s="392">
        <v>85</v>
      </c>
      <c r="C91" s="794">
        <f t="shared" si="23"/>
        <v>0</v>
      </c>
      <c r="D91" s="233">
        <f>IF(AND(B91&gt;='Client Cost HIDE'!$D$152,B91&lt;='Client Cost HIDE'!$B$14),IF(amortized=1,'Client Cost HIDE'!$B$12/'Client Cost HIDE'!$D$151,-PPMT('Client Cost HIDE'!$B$172,$B91-'Client Cost HIDE'!$D$152+1,'Client Cost HIDE'!$D$151,'Client Cost HIDE'!$B$12)),0)</f>
        <v>0</v>
      </c>
      <c r="E91" s="758">
        <f>IF(OR('Client Cost HIDE'!$E$152&gt;B91,C90&lt;1),0,AB91)</f>
        <v>0</v>
      </c>
      <c r="F91" s="233">
        <f>IF(indexing,D91*(1+'Client Cost HIDE'!$B$175)^(B91-$B$6)-D91,0)</f>
        <v>0</v>
      </c>
      <c r="G91" s="233">
        <f>IF('Client Cost HIDE'!$C$32&lt;1,'Client Cost HIDE'!$C$32*D91,IF(C90&gt;1,'Client Cost HIDE'!$C$32,0))</f>
        <v>0</v>
      </c>
      <c r="H91" s="233">
        <f>SUM(E91:G91)*'Client Cost HIDE'!$B$28</f>
        <v>0</v>
      </c>
      <c r="I91" s="791">
        <f t="shared" si="24"/>
        <v>0</v>
      </c>
      <c r="J91" s="752">
        <f t="shared" si="25"/>
        <v>0</v>
      </c>
      <c r="K91" s="753">
        <f t="shared" si="26"/>
        <v>0</v>
      </c>
      <c r="L91" s="754">
        <f>IF('Client Cost HIDE'!$C$39&lt;1,'Client Cost HIDE'!$C$39*D91,IF(C91&gt;1,'Client Cost HIDE'!$C$39,0))</f>
        <v>0</v>
      </c>
      <c r="M91" s="233">
        <f>IF(O90&gt;0,O90*'Client Cost HIDE'!$A$177,0)</f>
        <v>0</v>
      </c>
      <c r="N91" s="755">
        <f>IF('Client Cost HIDE'!$B$14=B91,O90+L91+M91,0)</f>
        <v>0</v>
      </c>
      <c r="O91" s="755">
        <f t="shared" si="27"/>
        <v>0</v>
      </c>
      <c r="P91" s="792">
        <f t="shared" si="20"/>
        <v>0</v>
      </c>
      <c r="Q91" s="138">
        <f>IF(int_method=1,'Rep Schedule - Basic'!Q90,'Rep Schedule - Basic'!C91)</f>
        <v>0</v>
      </c>
      <c r="R91" s="759" t="e">
        <f t="shared" si="21"/>
        <v>#N/A</v>
      </c>
      <c r="S91" s="759">
        <f>IF(C91=0,0,C91-SUM($G$6:G91)-O90)</f>
        <v>0</v>
      </c>
      <c r="T91" s="759">
        <f t="shared" si="22"/>
        <v>0</v>
      </c>
      <c r="U91" s="760">
        <f t="shared" si="28"/>
        <v>-1523.2136738798367</v>
      </c>
      <c r="V91" s="254"/>
      <c r="W91" s="1" t="b">
        <f t="shared" si="29"/>
        <v>1</v>
      </c>
      <c r="AA91" s="15">
        <f>IF(C90&gt;1,IF(int_method=2,'Client Cost HIDE'!$B$172*C90,'Client Cost HIDE'!$B$172*'Client Cost HIDE'!$B$12),0)</f>
        <v>0</v>
      </c>
      <c r="AB91" s="5">
        <f>IF(B91&gt;'Client Cost HIDE'!$B$22,AA91,0)+AB90-E90</f>
        <v>0</v>
      </c>
    </row>
    <row r="92" spans="2:28" hidden="1">
      <c r="B92" s="392">
        <v>86</v>
      </c>
      <c r="C92" s="794">
        <f t="shared" si="23"/>
        <v>0</v>
      </c>
      <c r="D92" s="233">
        <f>IF(AND(B92&gt;='Client Cost HIDE'!$D$152,B92&lt;='Client Cost HIDE'!$B$14),IF(amortized=1,'Client Cost HIDE'!$B$12/'Client Cost HIDE'!$D$151,-PPMT('Client Cost HIDE'!$B$172,$B92-'Client Cost HIDE'!$D$152+1,'Client Cost HIDE'!$D$151,'Client Cost HIDE'!$B$12)),0)</f>
        <v>0</v>
      </c>
      <c r="E92" s="758">
        <f>IF(OR('Client Cost HIDE'!$E$152&gt;B92,C91&lt;1),0,AB92)</f>
        <v>0</v>
      </c>
      <c r="F92" s="233">
        <f>IF(indexing,D92*(1+'Client Cost HIDE'!$B$175)^(B92-$B$6)-D92,0)</f>
        <v>0</v>
      </c>
      <c r="G92" s="233">
        <f>IF('Client Cost HIDE'!$C$32&lt;1,'Client Cost HIDE'!$C$32*D92,IF(C91&gt;1,'Client Cost HIDE'!$C$32,0))</f>
        <v>0</v>
      </c>
      <c r="H92" s="233">
        <f>SUM(E92:G92)*'Client Cost HIDE'!$B$28</f>
        <v>0</v>
      </c>
      <c r="I92" s="791">
        <f t="shared" si="24"/>
        <v>0</v>
      </c>
      <c r="J92" s="752">
        <f t="shared" si="25"/>
        <v>0</v>
      </c>
      <c r="K92" s="753">
        <f t="shared" si="26"/>
        <v>0</v>
      </c>
      <c r="L92" s="754">
        <f>IF('Client Cost HIDE'!$C$39&lt;1,'Client Cost HIDE'!$C$39*D92,IF(C92&gt;1,'Client Cost HIDE'!$C$39,0))</f>
        <v>0</v>
      </c>
      <c r="M92" s="233">
        <f>IF(O91&gt;0,O91*'Client Cost HIDE'!$A$177,0)</f>
        <v>0</v>
      </c>
      <c r="N92" s="755">
        <f>IF('Client Cost HIDE'!$B$14=B92,O91+L92+M92,0)</f>
        <v>0</v>
      </c>
      <c r="O92" s="755">
        <f t="shared" si="27"/>
        <v>0</v>
      </c>
      <c r="P92" s="792">
        <f t="shared" si="20"/>
        <v>0</v>
      </c>
      <c r="Q92" s="138">
        <f>IF(int_method=1,'Rep Schedule - Basic'!Q91,'Rep Schedule - Basic'!C92)</f>
        <v>0</v>
      </c>
      <c r="R92" s="759" t="e">
        <f t="shared" si="21"/>
        <v>#N/A</v>
      </c>
      <c r="S92" s="759">
        <f>IF(C92=0,0,C92-SUM($G$6:G92)-O91)</f>
        <v>0</v>
      </c>
      <c r="T92" s="759">
        <f t="shared" si="22"/>
        <v>0</v>
      </c>
      <c r="U92" s="760">
        <f t="shared" si="28"/>
        <v>-1523.2136738798367</v>
      </c>
      <c r="V92" s="254"/>
      <c r="W92" s="1" t="b">
        <f t="shared" si="29"/>
        <v>1</v>
      </c>
      <c r="AA92" s="15">
        <f>IF(C91&gt;1,IF(int_method=2,'Client Cost HIDE'!$B$172*C91,'Client Cost HIDE'!$B$172*'Client Cost HIDE'!$B$12),0)</f>
        <v>0</v>
      </c>
      <c r="AB92" s="5">
        <f>IF(B92&gt;'Client Cost HIDE'!$B$22,AA92,0)+AB91-E91</f>
        <v>0</v>
      </c>
    </row>
    <row r="93" spans="2:28" hidden="1">
      <c r="B93" s="392">
        <v>87</v>
      </c>
      <c r="C93" s="794">
        <f t="shared" si="23"/>
        <v>0</v>
      </c>
      <c r="D93" s="233">
        <f>IF(AND(B93&gt;='Client Cost HIDE'!$D$152,B93&lt;='Client Cost HIDE'!$B$14),IF(amortized=1,'Client Cost HIDE'!$B$12/'Client Cost HIDE'!$D$151,-PPMT('Client Cost HIDE'!$B$172,$B93-'Client Cost HIDE'!$D$152+1,'Client Cost HIDE'!$D$151,'Client Cost HIDE'!$B$12)),0)</f>
        <v>0</v>
      </c>
      <c r="E93" s="758">
        <f>IF(OR('Client Cost HIDE'!$E$152&gt;B93,C92&lt;1),0,AB93)</f>
        <v>0</v>
      </c>
      <c r="F93" s="233">
        <f>IF(indexing,D93*(1+'Client Cost HIDE'!$B$175)^(B93-$B$6)-D93,0)</f>
        <v>0</v>
      </c>
      <c r="G93" s="233">
        <f>IF('Client Cost HIDE'!$C$32&lt;1,'Client Cost HIDE'!$C$32*D93,IF(C92&gt;1,'Client Cost HIDE'!$C$32,0))</f>
        <v>0</v>
      </c>
      <c r="H93" s="233">
        <f>SUM(E93:G93)*'Client Cost HIDE'!$B$28</f>
        <v>0</v>
      </c>
      <c r="I93" s="791">
        <f t="shared" si="24"/>
        <v>0</v>
      </c>
      <c r="J93" s="752">
        <f t="shared" si="25"/>
        <v>0</v>
      </c>
      <c r="K93" s="753">
        <f t="shared" si="26"/>
        <v>0</v>
      </c>
      <c r="L93" s="754">
        <f>IF('Client Cost HIDE'!$C$39&lt;1,'Client Cost HIDE'!$C$39*D93,IF(C93&gt;1,'Client Cost HIDE'!$C$39,0))</f>
        <v>0</v>
      </c>
      <c r="M93" s="233">
        <f>IF(O92&gt;0,O92*'Client Cost HIDE'!$A$177,0)</f>
        <v>0</v>
      </c>
      <c r="N93" s="755">
        <f>IF('Client Cost HIDE'!$B$14=B93,O92+L93+M93,0)</f>
        <v>0</v>
      </c>
      <c r="O93" s="755">
        <f t="shared" si="27"/>
        <v>0</v>
      </c>
      <c r="P93" s="792">
        <f t="shared" si="20"/>
        <v>0</v>
      </c>
      <c r="Q93" s="138">
        <f>IF(int_method=1,'Rep Schedule - Basic'!Q92,'Rep Schedule - Basic'!C93)</f>
        <v>0</v>
      </c>
      <c r="R93" s="759" t="e">
        <f t="shared" si="21"/>
        <v>#N/A</v>
      </c>
      <c r="S93" s="759">
        <f>IF(C93=0,0,C93-SUM($G$6:G93)-O92)</f>
        <v>0</v>
      </c>
      <c r="T93" s="759">
        <f t="shared" si="22"/>
        <v>0</v>
      </c>
      <c r="U93" s="760">
        <f t="shared" si="28"/>
        <v>-1523.2136738798367</v>
      </c>
      <c r="V93" s="254"/>
      <c r="W93" s="1" t="b">
        <f t="shared" si="29"/>
        <v>1</v>
      </c>
      <c r="AA93" s="15">
        <f>IF(C92&gt;1,IF(int_method=2,'Client Cost HIDE'!$B$172*C92,'Client Cost HIDE'!$B$172*'Client Cost HIDE'!$B$12),0)</f>
        <v>0</v>
      </c>
      <c r="AB93" s="5">
        <f>IF(B93&gt;'Client Cost HIDE'!$B$22,AA93,0)+AB92-E92</f>
        <v>0</v>
      </c>
    </row>
    <row r="94" spans="2:28" hidden="1">
      <c r="B94" s="392">
        <v>88</v>
      </c>
      <c r="C94" s="794">
        <f t="shared" si="23"/>
        <v>0</v>
      </c>
      <c r="D94" s="233">
        <f>IF(AND(B94&gt;='Client Cost HIDE'!$D$152,B94&lt;='Client Cost HIDE'!$B$14),IF(amortized=1,'Client Cost HIDE'!$B$12/'Client Cost HIDE'!$D$151,-PPMT('Client Cost HIDE'!$B$172,$B94-'Client Cost HIDE'!$D$152+1,'Client Cost HIDE'!$D$151,'Client Cost HIDE'!$B$12)),0)</f>
        <v>0</v>
      </c>
      <c r="E94" s="758">
        <f>IF(OR('Client Cost HIDE'!$E$152&gt;B94,C93&lt;1),0,AB94)</f>
        <v>0</v>
      </c>
      <c r="F94" s="233">
        <f>IF(indexing,D94*(1+'Client Cost HIDE'!$B$175)^(B94-$B$6)-D94,0)</f>
        <v>0</v>
      </c>
      <c r="G94" s="233">
        <f>IF('Client Cost HIDE'!$C$32&lt;1,'Client Cost HIDE'!$C$32*D94,IF(C93&gt;1,'Client Cost HIDE'!$C$32,0))</f>
        <v>0</v>
      </c>
      <c r="H94" s="233">
        <f>SUM(E94:G94)*'Client Cost HIDE'!$B$28</f>
        <v>0</v>
      </c>
      <c r="I94" s="791">
        <f t="shared" si="24"/>
        <v>0</v>
      </c>
      <c r="J94" s="752">
        <f t="shared" si="25"/>
        <v>0</v>
      </c>
      <c r="K94" s="753">
        <f t="shared" si="26"/>
        <v>0</v>
      </c>
      <c r="L94" s="754">
        <f>IF('Client Cost HIDE'!$C$39&lt;1,'Client Cost HIDE'!$C$39*D94,IF(C94&gt;1,'Client Cost HIDE'!$C$39,0))</f>
        <v>0</v>
      </c>
      <c r="M94" s="233">
        <f>IF(O93&gt;0,O93*'Client Cost HIDE'!$A$177,0)</f>
        <v>0</v>
      </c>
      <c r="N94" s="755">
        <f>IF('Client Cost HIDE'!$B$14=B94,O93+L94+M94,0)</f>
        <v>0</v>
      </c>
      <c r="O94" s="755">
        <f t="shared" si="27"/>
        <v>0</v>
      </c>
      <c r="P94" s="792">
        <f t="shared" si="20"/>
        <v>0</v>
      </c>
      <c r="Q94" s="138">
        <f>IF(int_method=1,'Rep Schedule - Basic'!Q93,'Rep Schedule - Basic'!C94)</f>
        <v>0</v>
      </c>
      <c r="R94" s="759" t="e">
        <f t="shared" si="21"/>
        <v>#N/A</v>
      </c>
      <c r="S94" s="759">
        <f>IF(C94=0,0,C94-SUM($G$6:G94)-O93)</f>
        <v>0</v>
      </c>
      <c r="T94" s="759">
        <f t="shared" si="22"/>
        <v>0</v>
      </c>
      <c r="U94" s="760">
        <f t="shared" si="28"/>
        <v>-1523.2136738798367</v>
      </c>
      <c r="V94" s="254"/>
      <c r="W94" s="1" t="b">
        <f t="shared" si="29"/>
        <v>1</v>
      </c>
      <c r="AA94" s="15">
        <f>IF(C93&gt;1,IF(int_method=2,'Client Cost HIDE'!$B$172*C93,'Client Cost HIDE'!$B$172*'Client Cost HIDE'!$B$12),0)</f>
        <v>0</v>
      </c>
      <c r="AB94" s="5">
        <f>IF(B94&gt;'Client Cost HIDE'!$B$22,AA94,0)+AB93-E93</f>
        <v>0</v>
      </c>
    </row>
    <row r="95" spans="2:28" hidden="1">
      <c r="B95" s="392">
        <v>89</v>
      </c>
      <c r="C95" s="794">
        <f t="shared" si="23"/>
        <v>0</v>
      </c>
      <c r="D95" s="233">
        <f>IF(AND(B95&gt;='Client Cost HIDE'!$D$152,B95&lt;='Client Cost HIDE'!$B$14),IF(amortized=1,'Client Cost HIDE'!$B$12/'Client Cost HIDE'!$D$151,-PPMT('Client Cost HIDE'!$B$172,$B95-'Client Cost HIDE'!$D$152+1,'Client Cost HIDE'!$D$151,'Client Cost HIDE'!$B$12)),0)</f>
        <v>0</v>
      </c>
      <c r="E95" s="758">
        <f>IF(OR('Client Cost HIDE'!$E$152&gt;B95,C94&lt;1),0,AB95)</f>
        <v>0</v>
      </c>
      <c r="F95" s="233">
        <f>IF(indexing,D95*(1+'Client Cost HIDE'!$B$175)^(B95-$B$6)-D95,0)</f>
        <v>0</v>
      </c>
      <c r="G95" s="233">
        <f>IF('Client Cost HIDE'!$C$32&lt;1,'Client Cost HIDE'!$C$32*D95,IF(C94&gt;1,'Client Cost HIDE'!$C$32,0))</f>
        <v>0</v>
      </c>
      <c r="H95" s="233">
        <f>SUM(E95:G95)*'Client Cost HIDE'!$B$28</f>
        <v>0</v>
      </c>
      <c r="I95" s="791">
        <f t="shared" si="24"/>
        <v>0</v>
      </c>
      <c r="J95" s="752">
        <f t="shared" si="25"/>
        <v>0</v>
      </c>
      <c r="K95" s="753">
        <f t="shared" si="26"/>
        <v>0</v>
      </c>
      <c r="L95" s="754">
        <f>IF('Client Cost HIDE'!$C$39&lt;1,'Client Cost HIDE'!$C$39*D95,IF(C95&gt;1,'Client Cost HIDE'!$C$39,0))</f>
        <v>0</v>
      </c>
      <c r="M95" s="233">
        <f>IF(O94&gt;0,O94*'Client Cost HIDE'!$A$177,0)</f>
        <v>0</v>
      </c>
      <c r="N95" s="755">
        <f>IF('Client Cost HIDE'!$B$14=B95,O94+L95+M95,0)</f>
        <v>0</v>
      </c>
      <c r="O95" s="755">
        <f t="shared" si="27"/>
        <v>0</v>
      </c>
      <c r="P95" s="792">
        <f t="shared" si="20"/>
        <v>0</v>
      </c>
      <c r="Q95" s="138">
        <f>IF(int_method=1,'Rep Schedule - Basic'!Q94,'Rep Schedule - Basic'!C95)</f>
        <v>0</v>
      </c>
      <c r="R95" s="759" t="e">
        <f t="shared" si="21"/>
        <v>#N/A</v>
      </c>
      <c r="S95" s="759">
        <f>IF(C95=0,0,C95-SUM($G$6:G95)-O94)</f>
        <v>0</v>
      </c>
      <c r="T95" s="759">
        <f t="shared" si="22"/>
        <v>0</v>
      </c>
      <c r="U95" s="760">
        <f t="shared" si="28"/>
        <v>-1523.2136738798367</v>
      </c>
      <c r="V95" s="254"/>
      <c r="W95" s="1" t="b">
        <f t="shared" si="29"/>
        <v>1</v>
      </c>
      <c r="AA95" s="15">
        <f>IF(C94&gt;1,IF(int_method=2,'Client Cost HIDE'!$B$172*C94,'Client Cost HIDE'!$B$172*'Client Cost HIDE'!$B$12),0)</f>
        <v>0</v>
      </c>
      <c r="AB95" s="5">
        <f>IF(B95&gt;'Client Cost HIDE'!$B$22,AA95,0)+AB94-E94</f>
        <v>0</v>
      </c>
    </row>
    <row r="96" spans="2:28" hidden="1">
      <c r="B96" s="392">
        <v>90</v>
      </c>
      <c r="C96" s="794">
        <f t="shared" si="23"/>
        <v>0</v>
      </c>
      <c r="D96" s="233">
        <f>IF(AND(B96&gt;='Client Cost HIDE'!$D$152,B96&lt;='Client Cost HIDE'!$B$14),IF(amortized=1,'Client Cost HIDE'!$B$12/'Client Cost HIDE'!$D$151,-PPMT('Client Cost HIDE'!$B$172,$B96-'Client Cost HIDE'!$D$152+1,'Client Cost HIDE'!$D$151,'Client Cost HIDE'!$B$12)),0)</f>
        <v>0</v>
      </c>
      <c r="E96" s="758">
        <f>IF(OR('Client Cost HIDE'!$E$152&gt;B96,C95&lt;1),0,AB96)</f>
        <v>0</v>
      </c>
      <c r="F96" s="233">
        <f>IF(indexing,D96*(1+'Client Cost HIDE'!$B$175)^(B96-$B$6)-D96,0)</f>
        <v>0</v>
      </c>
      <c r="G96" s="233">
        <f>IF('Client Cost HIDE'!$C$32&lt;1,'Client Cost HIDE'!$C$32*D96,IF(C95&gt;1,'Client Cost HIDE'!$C$32,0))</f>
        <v>0</v>
      </c>
      <c r="H96" s="233">
        <f>SUM(E96:G96)*'Client Cost HIDE'!$B$28</f>
        <v>0</v>
      </c>
      <c r="I96" s="791">
        <f t="shared" si="24"/>
        <v>0</v>
      </c>
      <c r="J96" s="752">
        <f t="shared" si="25"/>
        <v>0</v>
      </c>
      <c r="K96" s="753">
        <f t="shared" si="26"/>
        <v>0</v>
      </c>
      <c r="L96" s="754">
        <f>IF('Client Cost HIDE'!$C$39&lt;1,'Client Cost HIDE'!$C$39*D96,IF(C96&gt;1,'Client Cost HIDE'!$C$39,0))</f>
        <v>0</v>
      </c>
      <c r="M96" s="233">
        <f>IF(O95&gt;0,O95*'Client Cost HIDE'!$A$177,0)</f>
        <v>0</v>
      </c>
      <c r="N96" s="755">
        <f>IF('Client Cost HIDE'!$B$14=B96,O95+L96+M96,0)</f>
        <v>0</v>
      </c>
      <c r="O96" s="755">
        <f t="shared" si="27"/>
        <v>0</v>
      </c>
      <c r="P96" s="792">
        <f t="shared" si="20"/>
        <v>0</v>
      </c>
      <c r="Q96" s="138">
        <f>IF(int_method=1,'Rep Schedule - Basic'!Q95,'Rep Schedule - Basic'!C96)</f>
        <v>0</v>
      </c>
      <c r="R96" s="759" t="e">
        <f t="shared" si="21"/>
        <v>#N/A</v>
      </c>
      <c r="S96" s="759">
        <f>IF(C96=0,0,C96-SUM($G$6:G96)-O95)</f>
        <v>0</v>
      </c>
      <c r="T96" s="759">
        <f t="shared" si="22"/>
        <v>0</v>
      </c>
      <c r="U96" s="760">
        <f t="shared" si="28"/>
        <v>-1523.2136738798367</v>
      </c>
      <c r="V96" s="254"/>
      <c r="W96" s="1" t="b">
        <f t="shared" si="29"/>
        <v>1</v>
      </c>
      <c r="AA96" s="15">
        <f>IF(C95&gt;1,IF(int_method=2,'Client Cost HIDE'!$B$172*C95,'Client Cost HIDE'!$B$172*'Client Cost HIDE'!$B$12),0)</f>
        <v>0</v>
      </c>
      <c r="AB96" s="5">
        <f>IF(B96&gt;'Client Cost HIDE'!$B$22,AA96,0)+AB95-E95</f>
        <v>0</v>
      </c>
    </row>
    <row r="97" spans="2:28" hidden="1">
      <c r="B97" s="392">
        <v>91</v>
      </c>
      <c r="C97" s="794">
        <f t="shared" si="23"/>
        <v>0</v>
      </c>
      <c r="D97" s="233">
        <f>IF(AND(B97&gt;='Client Cost HIDE'!$D$152,B97&lt;='Client Cost HIDE'!$B$14),IF(amortized=1,'Client Cost HIDE'!$B$12/'Client Cost HIDE'!$D$151,-PPMT('Client Cost HIDE'!$B$172,$B97-'Client Cost HIDE'!$D$152+1,'Client Cost HIDE'!$D$151,'Client Cost HIDE'!$B$12)),0)</f>
        <v>0</v>
      </c>
      <c r="E97" s="758">
        <f>IF(OR('Client Cost HIDE'!$E$152&gt;B97,C96&lt;1),0,AB97)</f>
        <v>0</v>
      </c>
      <c r="F97" s="233">
        <f>IF(indexing,D97*(1+'Client Cost HIDE'!$B$175)^(B97-$B$6)-D97,0)</f>
        <v>0</v>
      </c>
      <c r="G97" s="233">
        <f>IF('Client Cost HIDE'!$C$32&lt;1,'Client Cost HIDE'!$C$32*D97,IF(C96&gt;1,'Client Cost HIDE'!$C$32,0))</f>
        <v>0</v>
      </c>
      <c r="H97" s="233">
        <f>SUM(E97:G97)*'Client Cost HIDE'!$B$28</f>
        <v>0</v>
      </c>
      <c r="I97" s="791">
        <f t="shared" si="24"/>
        <v>0</v>
      </c>
      <c r="J97" s="752">
        <f t="shared" si="25"/>
        <v>0</v>
      </c>
      <c r="K97" s="753">
        <f t="shared" si="26"/>
        <v>0</v>
      </c>
      <c r="L97" s="754">
        <f>IF('Client Cost HIDE'!$C$39&lt;1,'Client Cost HIDE'!$C$39*D97,IF(C97&gt;1,'Client Cost HIDE'!$C$39,0))</f>
        <v>0</v>
      </c>
      <c r="M97" s="233">
        <f>IF(O96&gt;0,O96*'Client Cost HIDE'!$A$177,0)</f>
        <v>0</v>
      </c>
      <c r="N97" s="755">
        <f>IF('Client Cost HIDE'!$B$14=B97,O96+L97+M97,0)</f>
        <v>0</v>
      </c>
      <c r="O97" s="755">
        <f t="shared" si="27"/>
        <v>0</v>
      </c>
      <c r="P97" s="792">
        <f t="shared" si="20"/>
        <v>0</v>
      </c>
      <c r="Q97" s="138">
        <f>IF(int_method=1,'Rep Schedule - Basic'!Q96,'Rep Schedule - Basic'!C97)</f>
        <v>0</v>
      </c>
      <c r="R97" s="759" t="e">
        <f t="shared" si="21"/>
        <v>#N/A</v>
      </c>
      <c r="S97" s="759">
        <f>IF(C97=0,0,C97-SUM($G$6:G97)-O96)</f>
        <v>0</v>
      </c>
      <c r="T97" s="759">
        <f t="shared" si="22"/>
        <v>0</v>
      </c>
      <c r="U97" s="760">
        <f t="shared" si="28"/>
        <v>-1523.2136738798367</v>
      </c>
      <c r="V97" s="254"/>
      <c r="W97" s="1" t="b">
        <f t="shared" si="29"/>
        <v>1</v>
      </c>
      <c r="AA97" s="15">
        <f>IF(C96&gt;1,IF(int_method=2,'Client Cost HIDE'!$B$172*C96,'Client Cost HIDE'!$B$172*'Client Cost HIDE'!$B$12),0)</f>
        <v>0</v>
      </c>
      <c r="AB97" s="5">
        <f>IF(B97&gt;'Client Cost HIDE'!$B$22,AA97,0)+AB96-E96</f>
        <v>0</v>
      </c>
    </row>
    <row r="98" spans="2:28" hidden="1">
      <c r="B98" s="392">
        <v>92</v>
      </c>
      <c r="C98" s="794">
        <f t="shared" si="23"/>
        <v>0</v>
      </c>
      <c r="D98" s="233">
        <f>IF(AND(B98&gt;='Client Cost HIDE'!$D$152,B98&lt;='Client Cost HIDE'!$B$14),IF(amortized=1,'Client Cost HIDE'!$B$12/'Client Cost HIDE'!$D$151,-PPMT('Client Cost HIDE'!$B$172,$B98-'Client Cost HIDE'!$D$152+1,'Client Cost HIDE'!$D$151,'Client Cost HIDE'!$B$12)),0)</f>
        <v>0</v>
      </c>
      <c r="E98" s="758">
        <f>IF(OR('Client Cost HIDE'!$E$152&gt;B98,C97&lt;1),0,AB98)</f>
        <v>0</v>
      </c>
      <c r="F98" s="233">
        <f>IF(indexing,D98*(1+'Client Cost HIDE'!$B$175)^(B98-$B$6)-D98,0)</f>
        <v>0</v>
      </c>
      <c r="G98" s="233">
        <f>IF('Client Cost HIDE'!$C$32&lt;1,'Client Cost HIDE'!$C$32*D98,IF(C97&gt;1,'Client Cost HIDE'!$C$32,0))</f>
        <v>0</v>
      </c>
      <c r="H98" s="233">
        <f>SUM(E98:G98)*'Client Cost HIDE'!$B$28</f>
        <v>0</v>
      </c>
      <c r="I98" s="791">
        <f t="shared" si="24"/>
        <v>0</v>
      </c>
      <c r="J98" s="752">
        <f t="shared" si="25"/>
        <v>0</v>
      </c>
      <c r="K98" s="753">
        <f t="shared" si="26"/>
        <v>0</v>
      </c>
      <c r="L98" s="754">
        <f>IF('Client Cost HIDE'!$C$39&lt;1,'Client Cost HIDE'!$C$39*D98,IF(C98&gt;1,'Client Cost HIDE'!$C$39,0))</f>
        <v>0</v>
      </c>
      <c r="M98" s="233">
        <f>IF(O97&gt;0,O97*'Client Cost HIDE'!$A$177,0)</f>
        <v>0</v>
      </c>
      <c r="N98" s="755">
        <f>IF('Client Cost HIDE'!$B$14=B98,O97+L98+M98,0)</f>
        <v>0</v>
      </c>
      <c r="O98" s="755">
        <f t="shared" si="27"/>
        <v>0</v>
      </c>
      <c r="P98" s="792">
        <f t="shared" si="20"/>
        <v>0</v>
      </c>
      <c r="Q98" s="138">
        <f>IF(int_method=1,'Rep Schedule - Basic'!Q97,'Rep Schedule - Basic'!C98)</f>
        <v>0</v>
      </c>
      <c r="R98" s="759" t="e">
        <f t="shared" si="21"/>
        <v>#N/A</v>
      </c>
      <c r="S98" s="759">
        <f>IF(C98=0,0,C98-SUM($G$6:G98)-O97)</f>
        <v>0</v>
      </c>
      <c r="T98" s="759">
        <f t="shared" si="22"/>
        <v>0</v>
      </c>
      <c r="U98" s="760">
        <f t="shared" si="28"/>
        <v>-1523.2136738798367</v>
      </c>
      <c r="V98" s="254"/>
      <c r="W98" s="1" t="b">
        <f t="shared" si="29"/>
        <v>1</v>
      </c>
      <c r="AA98" s="15">
        <f>IF(C97&gt;1,IF(int_method=2,'Client Cost HIDE'!$B$172*C97,'Client Cost HIDE'!$B$172*'Client Cost HIDE'!$B$12),0)</f>
        <v>0</v>
      </c>
      <c r="AB98" s="5">
        <f>IF(B98&gt;'Client Cost HIDE'!$B$22,AA98,0)+AB97-E97</f>
        <v>0</v>
      </c>
    </row>
    <row r="99" spans="2:28" hidden="1">
      <c r="B99" s="392">
        <v>93</v>
      </c>
      <c r="C99" s="794">
        <f t="shared" si="23"/>
        <v>0</v>
      </c>
      <c r="D99" s="233">
        <f>IF(AND(B99&gt;='Client Cost HIDE'!$D$152,B99&lt;='Client Cost HIDE'!$B$14),IF(amortized=1,'Client Cost HIDE'!$B$12/'Client Cost HIDE'!$D$151,-PPMT('Client Cost HIDE'!$B$172,$B99-'Client Cost HIDE'!$D$152+1,'Client Cost HIDE'!$D$151,'Client Cost HIDE'!$B$12)),0)</f>
        <v>0</v>
      </c>
      <c r="E99" s="758">
        <f>IF(OR('Client Cost HIDE'!$E$152&gt;B99,C98&lt;1),0,AB99)</f>
        <v>0</v>
      </c>
      <c r="F99" s="233">
        <f>IF(indexing,D99*(1+'Client Cost HIDE'!$B$175)^(B99-$B$6)-D99,0)</f>
        <v>0</v>
      </c>
      <c r="G99" s="233">
        <f>IF('Client Cost HIDE'!$C$32&lt;1,'Client Cost HIDE'!$C$32*D99,IF(C98&gt;1,'Client Cost HIDE'!$C$32,0))</f>
        <v>0</v>
      </c>
      <c r="H99" s="233">
        <f>SUM(E99:G99)*'Client Cost HIDE'!$B$28</f>
        <v>0</v>
      </c>
      <c r="I99" s="791">
        <f t="shared" si="24"/>
        <v>0</v>
      </c>
      <c r="J99" s="752">
        <f t="shared" si="25"/>
        <v>0</v>
      </c>
      <c r="K99" s="753">
        <f t="shared" si="26"/>
        <v>0</v>
      </c>
      <c r="L99" s="754">
        <f>IF('Client Cost HIDE'!$C$39&lt;1,'Client Cost HIDE'!$C$39*D99,IF(C99&gt;1,'Client Cost HIDE'!$C$39,0))</f>
        <v>0</v>
      </c>
      <c r="M99" s="233">
        <f>IF(O98&gt;0,O98*'Client Cost HIDE'!$A$177,0)</f>
        <v>0</v>
      </c>
      <c r="N99" s="755">
        <f>IF('Client Cost HIDE'!$B$14=B99,O98+L99+M99,0)</f>
        <v>0</v>
      </c>
      <c r="O99" s="755">
        <f t="shared" si="27"/>
        <v>0</v>
      </c>
      <c r="P99" s="792">
        <f t="shared" si="20"/>
        <v>0</v>
      </c>
      <c r="Q99" s="138">
        <f>IF(int_method=1,'Rep Schedule - Basic'!Q98,'Rep Schedule - Basic'!C99)</f>
        <v>0</v>
      </c>
      <c r="R99" s="759" t="e">
        <f t="shared" si="21"/>
        <v>#N/A</v>
      </c>
      <c r="S99" s="759">
        <f>IF(C99=0,0,C99-SUM($G$6:G99)-O98)</f>
        <v>0</v>
      </c>
      <c r="T99" s="759">
        <f t="shared" si="22"/>
        <v>0</v>
      </c>
      <c r="U99" s="760">
        <f t="shared" si="28"/>
        <v>-1523.2136738798367</v>
      </c>
      <c r="V99" s="254"/>
      <c r="W99" s="1" t="b">
        <f t="shared" si="29"/>
        <v>1</v>
      </c>
      <c r="AA99" s="15">
        <f>IF(C98&gt;1,IF(int_method=2,'Client Cost HIDE'!$B$172*C98,'Client Cost HIDE'!$B$172*'Client Cost HIDE'!$B$12),0)</f>
        <v>0</v>
      </c>
      <c r="AB99" s="5">
        <f>IF(B99&gt;'Client Cost HIDE'!$B$22,AA99,0)+AB98-E98</f>
        <v>0</v>
      </c>
    </row>
    <row r="100" spans="2:28" hidden="1">
      <c r="B100" s="392">
        <v>94</v>
      </c>
      <c r="C100" s="794">
        <f t="shared" si="23"/>
        <v>0</v>
      </c>
      <c r="D100" s="233">
        <f>IF(AND(B100&gt;='Client Cost HIDE'!$D$152,B100&lt;='Client Cost HIDE'!$B$14),IF(amortized=1,'Client Cost HIDE'!$B$12/'Client Cost HIDE'!$D$151,-PPMT('Client Cost HIDE'!$B$172,$B100-'Client Cost HIDE'!$D$152+1,'Client Cost HIDE'!$D$151,'Client Cost HIDE'!$B$12)),0)</f>
        <v>0</v>
      </c>
      <c r="E100" s="758">
        <f>IF(OR('Client Cost HIDE'!$E$152&gt;B100,C99&lt;1),0,AB100)</f>
        <v>0</v>
      </c>
      <c r="F100" s="233">
        <f>IF(indexing,D100*(1+'Client Cost HIDE'!$B$175)^(B100-$B$6)-D100,0)</f>
        <v>0</v>
      </c>
      <c r="G100" s="233">
        <f>IF('Client Cost HIDE'!$C$32&lt;1,'Client Cost HIDE'!$C$32*D100,IF(C99&gt;1,'Client Cost HIDE'!$C$32,0))</f>
        <v>0</v>
      </c>
      <c r="H100" s="233">
        <f>SUM(E100:G100)*'Client Cost HIDE'!$B$28</f>
        <v>0</v>
      </c>
      <c r="I100" s="791">
        <f t="shared" si="24"/>
        <v>0</v>
      </c>
      <c r="J100" s="752">
        <f t="shared" si="25"/>
        <v>0</v>
      </c>
      <c r="K100" s="753">
        <f t="shared" si="26"/>
        <v>0</v>
      </c>
      <c r="L100" s="754">
        <f>IF('Client Cost HIDE'!$C$39&lt;1,'Client Cost HIDE'!$C$39*D100,IF(C100&gt;1,'Client Cost HIDE'!$C$39,0))</f>
        <v>0</v>
      </c>
      <c r="M100" s="233">
        <f>IF(O99&gt;0,O99*'Client Cost HIDE'!$A$177,0)</f>
        <v>0</v>
      </c>
      <c r="N100" s="755">
        <f>IF('Client Cost HIDE'!$B$14=B100,O99+L100+M100,0)</f>
        <v>0</v>
      </c>
      <c r="O100" s="755">
        <f t="shared" si="27"/>
        <v>0</v>
      </c>
      <c r="P100" s="792">
        <f t="shared" si="20"/>
        <v>0</v>
      </c>
      <c r="Q100" s="138">
        <f>IF(int_method=1,'Rep Schedule - Basic'!Q99,'Rep Schedule - Basic'!C100)</f>
        <v>0</v>
      </c>
      <c r="R100" s="759" t="e">
        <f t="shared" si="21"/>
        <v>#N/A</v>
      </c>
      <c r="S100" s="759">
        <f>IF(C100=0,0,C100-SUM($G$6:G100)-O99)</f>
        <v>0</v>
      </c>
      <c r="T100" s="759">
        <f t="shared" si="22"/>
        <v>0</v>
      </c>
      <c r="U100" s="760">
        <f t="shared" si="28"/>
        <v>-1523.2136738798367</v>
      </c>
      <c r="V100" s="254"/>
      <c r="W100" s="1" t="b">
        <f t="shared" si="29"/>
        <v>1</v>
      </c>
      <c r="AA100" s="15">
        <f>IF(C99&gt;1,IF(int_method=2,'Client Cost HIDE'!$B$172*C99,'Client Cost HIDE'!$B$172*'Client Cost HIDE'!$B$12),0)</f>
        <v>0</v>
      </c>
      <c r="AB100" s="5">
        <f>IF(B100&gt;'Client Cost HIDE'!$B$22,AA100,0)+AB99-E99</f>
        <v>0</v>
      </c>
    </row>
    <row r="101" spans="2:28" hidden="1">
      <c r="B101" s="392">
        <v>95</v>
      </c>
      <c r="C101" s="794">
        <f t="shared" si="23"/>
        <v>0</v>
      </c>
      <c r="D101" s="233">
        <f>IF(AND(B101&gt;='Client Cost HIDE'!$D$152,B101&lt;='Client Cost HIDE'!$B$14),IF(amortized=1,'Client Cost HIDE'!$B$12/'Client Cost HIDE'!$D$151,-PPMT('Client Cost HIDE'!$B$172,$B101-'Client Cost HIDE'!$D$152+1,'Client Cost HIDE'!$D$151,'Client Cost HIDE'!$B$12)),0)</f>
        <v>0</v>
      </c>
      <c r="E101" s="758">
        <f>IF(OR('Client Cost HIDE'!$E$152&gt;B101,C100&lt;1),0,AB101)</f>
        <v>0</v>
      </c>
      <c r="F101" s="233">
        <f>IF(indexing,D101*(1+'Client Cost HIDE'!$B$175)^(B101-$B$6)-D101,0)</f>
        <v>0</v>
      </c>
      <c r="G101" s="233">
        <f>IF('Client Cost HIDE'!$C$32&lt;1,'Client Cost HIDE'!$C$32*D101,IF(C100&gt;1,'Client Cost HIDE'!$C$32,0))</f>
        <v>0</v>
      </c>
      <c r="H101" s="233">
        <f>SUM(E101:G101)*'Client Cost HIDE'!$B$28</f>
        <v>0</v>
      </c>
      <c r="I101" s="791">
        <f t="shared" si="24"/>
        <v>0</v>
      </c>
      <c r="J101" s="752">
        <f t="shared" si="25"/>
        <v>0</v>
      </c>
      <c r="K101" s="753">
        <f t="shared" si="26"/>
        <v>0</v>
      </c>
      <c r="L101" s="754">
        <f>IF('Client Cost HIDE'!$C$39&lt;1,'Client Cost HIDE'!$C$39*D101,IF(C101&gt;1,'Client Cost HIDE'!$C$39,0))</f>
        <v>0</v>
      </c>
      <c r="M101" s="233">
        <f>IF(O100&gt;0,O100*'Client Cost HIDE'!$A$177,0)</f>
        <v>0</v>
      </c>
      <c r="N101" s="755">
        <f>IF('Client Cost HIDE'!$B$14=B101,O100+L101+M101,0)</f>
        <v>0</v>
      </c>
      <c r="O101" s="755">
        <f t="shared" si="27"/>
        <v>0</v>
      </c>
      <c r="P101" s="792">
        <f t="shared" si="20"/>
        <v>0</v>
      </c>
      <c r="Q101" s="138">
        <f>IF(int_method=1,'Rep Schedule - Basic'!Q100,'Rep Schedule - Basic'!C101)</f>
        <v>0</v>
      </c>
      <c r="R101" s="759" t="e">
        <f t="shared" si="21"/>
        <v>#N/A</v>
      </c>
      <c r="S101" s="759">
        <f>IF(C101=0,0,C101-SUM($G$6:G101)-O100)</f>
        <v>0</v>
      </c>
      <c r="T101" s="759">
        <f t="shared" si="22"/>
        <v>0</v>
      </c>
      <c r="U101" s="760">
        <f t="shared" si="28"/>
        <v>-1523.2136738798367</v>
      </c>
      <c r="V101" s="254"/>
      <c r="W101" s="1" t="b">
        <f t="shared" si="29"/>
        <v>1</v>
      </c>
      <c r="AA101" s="15">
        <f>IF(C100&gt;1,IF(int_method=2,'Client Cost HIDE'!$B$172*C100,'Client Cost HIDE'!$B$172*'Client Cost HIDE'!$B$12),0)</f>
        <v>0</v>
      </c>
      <c r="AB101" s="5">
        <f>IF(B101&gt;'Client Cost HIDE'!$B$22,AA101,0)+AB100-E100</f>
        <v>0</v>
      </c>
    </row>
    <row r="102" spans="2:28" hidden="1">
      <c r="B102" s="392">
        <v>96</v>
      </c>
      <c r="C102" s="794">
        <f t="shared" si="23"/>
        <v>0</v>
      </c>
      <c r="D102" s="233">
        <f>IF(AND(B102&gt;='Client Cost HIDE'!$D$152,B102&lt;='Client Cost HIDE'!$B$14),IF(amortized=1,'Client Cost HIDE'!$B$12/'Client Cost HIDE'!$D$151,-PPMT('Client Cost HIDE'!$B$172,$B102-'Client Cost HIDE'!$D$152+1,'Client Cost HIDE'!$D$151,'Client Cost HIDE'!$B$12)),0)</f>
        <v>0</v>
      </c>
      <c r="E102" s="758">
        <f>IF(OR('Client Cost HIDE'!$E$152&gt;B102,C101&lt;1),0,AB102)</f>
        <v>0</v>
      </c>
      <c r="F102" s="233">
        <f>IF(indexing,D102*(1+'Client Cost HIDE'!$B$175)^(B102-$B$6)-D102,0)</f>
        <v>0</v>
      </c>
      <c r="G102" s="233">
        <f>IF('Client Cost HIDE'!$C$32&lt;1,'Client Cost HIDE'!$C$32*D102,IF(C101&gt;1,'Client Cost HIDE'!$C$32,0))</f>
        <v>0</v>
      </c>
      <c r="H102" s="233">
        <f>SUM(E102:G102)*'Client Cost HIDE'!$B$28</f>
        <v>0</v>
      </c>
      <c r="I102" s="791">
        <f t="shared" si="24"/>
        <v>0</v>
      </c>
      <c r="J102" s="752">
        <f t="shared" si="25"/>
        <v>0</v>
      </c>
      <c r="K102" s="753">
        <f t="shared" si="26"/>
        <v>0</v>
      </c>
      <c r="L102" s="754">
        <f>IF('Client Cost HIDE'!$C$39&lt;1,'Client Cost HIDE'!$C$39*D102,IF(C102&gt;1,'Client Cost HIDE'!$C$39,0))</f>
        <v>0</v>
      </c>
      <c r="M102" s="233">
        <f>IF(O101&gt;0,O101*'Client Cost HIDE'!$A$177,0)</f>
        <v>0</v>
      </c>
      <c r="N102" s="755">
        <f>IF('Client Cost HIDE'!$B$14=B102,O101+L102+M102,0)</f>
        <v>0</v>
      </c>
      <c r="O102" s="755">
        <f t="shared" si="27"/>
        <v>0</v>
      </c>
      <c r="P102" s="792">
        <f t="shared" ref="P102:P126" si="30">+K102-L102+N102</f>
        <v>0</v>
      </c>
      <c r="Q102" s="138">
        <f>IF(int_method=1,'Rep Schedule - Basic'!Q101,'Rep Schedule - Basic'!C102)</f>
        <v>0</v>
      </c>
      <c r="R102" s="759" t="e">
        <f t="shared" ref="R102:R126" si="31">IF(O102&gt;0,O102,NA())</f>
        <v>#N/A</v>
      </c>
      <c r="S102" s="759">
        <f>IF(C102=0,0,C102-SUM($G$6:G102)-O101)</f>
        <v>0</v>
      </c>
      <c r="T102" s="759">
        <f t="shared" ref="T102:T126" si="32">IF(AND(S102&lt;0,B102&lt;=term),1,0)</f>
        <v>0</v>
      </c>
      <c r="U102" s="760">
        <f t="shared" si="28"/>
        <v>-1523.2136738798367</v>
      </c>
      <c r="V102" s="254"/>
      <c r="W102" s="1" t="b">
        <f t="shared" si="29"/>
        <v>1</v>
      </c>
      <c r="AA102" s="15">
        <f>IF(C101&gt;1,IF(int_method=2,'Client Cost HIDE'!$B$172*C101,'Client Cost HIDE'!$B$172*'Client Cost HIDE'!$B$12),0)</f>
        <v>0</v>
      </c>
      <c r="AB102" s="5">
        <f>IF(B102&gt;'Client Cost HIDE'!$B$22,AA102,0)+AB101-E101</f>
        <v>0</v>
      </c>
    </row>
    <row r="103" spans="2:28" hidden="1">
      <c r="B103" s="392">
        <v>97</v>
      </c>
      <c r="C103" s="794">
        <f t="shared" ref="C103:C126" si="33">IF(C102-D103&gt;1,ROUND(+C102-D103,2),0)</f>
        <v>0</v>
      </c>
      <c r="D103" s="233">
        <f>IF(AND(B103&gt;='Client Cost HIDE'!$D$152,B103&lt;='Client Cost HIDE'!$B$14),IF(amortized=1,'Client Cost HIDE'!$B$12/'Client Cost HIDE'!$D$151,-PPMT('Client Cost HIDE'!$B$172,$B103-'Client Cost HIDE'!$D$152+1,'Client Cost HIDE'!$D$151,'Client Cost HIDE'!$B$12)),0)</f>
        <v>0</v>
      </c>
      <c r="E103" s="758">
        <f>IF(OR('Client Cost HIDE'!$E$152&gt;B103,C102&lt;1),0,AB103)</f>
        <v>0</v>
      </c>
      <c r="F103" s="233">
        <f>IF(indexing,D103*(1+'Client Cost HIDE'!$B$175)^(B103-$B$6)-D103,0)</f>
        <v>0</v>
      </c>
      <c r="G103" s="233">
        <f>IF('Client Cost HIDE'!$C$32&lt;1,'Client Cost HIDE'!$C$32*D103,IF(C102&gt;1,'Client Cost HIDE'!$C$32,0))</f>
        <v>0</v>
      </c>
      <c r="H103" s="233">
        <f>SUM(E103:G103)*'Client Cost HIDE'!$B$28</f>
        <v>0</v>
      </c>
      <c r="I103" s="791">
        <f t="shared" ref="I103:I126" si="34">-D103-E103-F103</f>
        <v>0</v>
      </c>
      <c r="J103" s="752">
        <f t="shared" ref="J103:J126" si="35">-D103-E103-F103-G103</f>
        <v>0</v>
      </c>
      <c r="K103" s="753">
        <f t="shared" ref="K103:K126" si="36">-D103-E103-F103-G103-H103</f>
        <v>0</v>
      </c>
      <c r="L103" s="754">
        <f>IF('Client Cost HIDE'!$C$39&lt;1,'Client Cost HIDE'!$C$39*D103,IF(C103&gt;1,'Client Cost HIDE'!$C$39,0))</f>
        <v>0</v>
      </c>
      <c r="M103" s="233">
        <f>IF(O102&gt;0,O102*'Client Cost HIDE'!$A$177,0)</f>
        <v>0</v>
      </c>
      <c r="N103" s="755">
        <f>IF('Client Cost HIDE'!$B$14=B103,O102+L103+M103,0)</f>
        <v>0</v>
      </c>
      <c r="O103" s="755">
        <f t="shared" ref="O103:O126" si="37">+O102+L103+M103-N103</f>
        <v>0</v>
      </c>
      <c r="P103" s="792">
        <f t="shared" si="30"/>
        <v>0</v>
      </c>
      <c r="Q103" s="138">
        <f>IF(int_method=1,'Rep Schedule - Basic'!Q102,'Rep Schedule - Basic'!C103)</f>
        <v>0</v>
      </c>
      <c r="R103" s="759" t="e">
        <f t="shared" si="31"/>
        <v>#N/A</v>
      </c>
      <c r="S103" s="759">
        <f>IF(C103=0,0,C103-SUM($G$6:G103)-O102)</f>
        <v>0</v>
      </c>
      <c r="T103" s="759">
        <f t="shared" si="32"/>
        <v>0</v>
      </c>
      <c r="U103" s="760">
        <f t="shared" ref="U103:U126" si="38">U102+S103</f>
        <v>-1523.2136738798367</v>
      </c>
      <c r="V103" s="254"/>
      <c r="W103" s="1" t="b">
        <f t="shared" si="29"/>
        <v>1</v>
      </c>
      <c r="AA103" s="15">
        <f>IF(C102&gt;1,IF(int_method=2,'Client Cost HIDE'!$B$172*C102,'Client Cost HIDE'!$B$172*'Client Cost HIDE'!$B$12),0)</f>
        <v>0</v>
      </c>
      <c r="AB103" s="5">
        <f>IF(B103&gt;'Client Cost HIDE'!$B$22,AA103,0)+AB102-E102</f>
        <v>0</v>
      </c>
    </row>
    <row r="104" spans="2:28" hidden="1">
      <c r="B104" s="392">
        <v>98</v>
      </c>
      <c r="C104" s="794">
        <f t="shared" si="33"/>
        <v>0</v>
      </c>
      <c r="D104" s="233">
        <f>IF(AND(B104&gt;='Client Cost HIDE'!$D$152,B104&lt;='Client Cost HIDE'!$B$14),IF(amortized=1,'Client Cost HIDE'!$B$12/'Client Cost HIDE'!$D$151,-PPMT('Client Cost HIDE'!$B$172,$B104-'Client Cost HIDE'!$D$152+1,'Client Cost HIDE'!$D$151,'Client Cost HIDE'!$B$12)),0)</f>
        <v>0</v>
      </c>
      <c r="E104" s="758">
        <f>IF(OR('Client Cost HIDE'!$E$152&gt;B104,C103&lt;1),0,AB104)</f>
        <v>0</v>
      </c>
      <c r="F104" s="233">
        <f>IF(indexing,D104*(1+'Client Cost HIDE'!$B$175)^(B104-$B$6)-D104,0)</f>
        <v>0</v>
      </c>
      <c r="G104" s="233">
        <f>IF('Client Cost HIDE'!$C$32&lt;1,'Client Cost HIDE'!$C$32*D104,IF(C103&gt;1,'Client Cost HIDE'!$C$32,0))</f>
        <v>0</v>
      </c>
      <c r="H104" s="233">
        <f>SUM(E104:G104)*'Client Cost HIDE'!$B$28</f>
        <v>0</v>
      </c>
      <c r="I104" s="791">
        <f t="shared" si="34"/>
        <v>0</v>
      </c>
      <c r="J104" s="752">
        <f t="shared" si="35"/>
        <v>0</v>
      </c>
      <c r="K104" s="753">
        <f t="shared" si="36"/>
        <v>0</v>
      </c>
      <c r="L104" s="754">
        <f>IF('Client Cost HIDE'!$C$39&lt;1,'Client Cost HIDE'!$C$39*D104,IF(C104&gt;1,'Client Cost HIDE'!$C$39,0))</f>
        <v>0</v>
      </c>
      <c r="M104" s="233">
        <f>IF(O103&gt;0,O103*'Client Cost HIDE'!$A$177,0)</f>
        <v>0</v>
      </c>
      <c r="N104" s="755">
        <f>IF('Client Cost HIDE'!$B$14=B104,O103+L104+M104,0)</f>
        <v>0</v>
      </c>
      <c r="O104" s="755">
        <f t="shared" si="37"/>
        <v>0</v>
      </c>
      <c r="P104" s="792">
        <f t="shared" si="30"/>
        <v>0</v>
      </c>
      <c r="Q104" s="138">
        <f>IF(int_method=1,'Rep Schedule - Basic'!Q103,'Rep Schedule - Basic'!C104)</f>
        <v>0</v>
      </c>
      <c r="R104" s="759" t="e">
        <f t="shared" si="31"/>
        <v>#N/A</v>
      </c>
      <c r="S104" s="759">
        <f>IF(C104=0,0,C104-SUM($G$6:G104)-O103)</f>
        <v>0</v>
      </c>
      <c r="T104" s="759">
        <f t="shared" si="32"/>
        <v>0</v>
      </c>
      <c r="U104" s="760">
        <f t="shared" si="38"/>
        <v>-1523.2136738798367</v>
      </c>
      <c r="V104" s="254"/>
      <c r="W104" s="1" t="b">
        <f t="shared" ref="W104:W126" si="39">IF(B104&lt;=term,"x",TRUE)</f>
        <v>1</v>
      </c>
      <c r="AA104" s="15">
        <f>IF(C103&gt;1,IF(int_method=2,'Client Cost HIDE'!$B$172*C103,'Client Cost HIDE'!$B$172*'Client Cost HIDE'!$B$12),0)</f>
        <v>0</v>
      </c>
      <c r="AB104" s="5">
        <f>IF(B104&gt;'Client Cost HIDE'!$B$22,AA104,0)+AB103-E103</f>
        <v>0</v>
      </c>
    </row>
    <row r="105" spans="2:28" hidden="1">
      <c r="B105" s="392">
        <v>99</v>
      </c>
      <c r="C105" s="794">
        <f t="shared" si="33"/>
        <v>0</v>
      </c>
      <c r="D105" s="233">
        <f>IF(AND(B105&gt;='Client Cost HIDE'!$D$152,B105&lt;='Client Cost HIDE'!$B$14),IF(amortized=1,'Client Cost HIDE'!$B$12/'Client Cost HIDE'!$D$151,-PPMT('Client Cost HIDE'!$B$172,$B105-'Client Cost HIDE'!$D$152+1,'Client Cost HIDE'!$D$151,'Client Cost HIDE'!$B$12)),0)</f>
        <v>0</v>
      </c>
      <c r="E105" s="758">
        <f>IF(OR('Client Cost HIDE'!$E$152&gt;B105,C104&lt;1),0,AB105)</f>
        <v>0</v>
      </c>
      <c r="F105" s="233">
        <f>IF(indexing,D105*(1+'Client Cost HIDE'!$B$175)^(B105-$B$6)-D105,0)</f>
        <v>0</v>
      </c>
      <c r="G105" s="233">
        <f>IF('Client Cost HIDE'!$C$32&lt;1,'Client Cost HIDE'!$C$32*D105,IF(C104&gt;1,'Client Cost HIDE'!$C$32,0))</f>
        <v>0</v>
      </c>
      <c r="H105" s="233">
        <f>SUM(E105:G105)*'Client Cost HIDE'!$B$28</f>
        <v>0</v>
      </c>
      <c r="I105" s="791">
        <f t="shared" si="34"/>
        <v>0</v>
      </c>
      <c r="J105" s="752">
        <f t="shared" si="35"/>
        <v>0</v>
      </c>
      <c r="K105" s="753">
        <f t="shared" si="36"/>
        <v>0</v>
      </c>
      <c r="L105" s="754">
        <f>IF('Client Cost HIDE'!$C$39&lt;1,'Client Cost HIDE'!$C$39*D105,IF(C105&gt;1,'Client Cost HIDE'!$C$39,0))</f>
        <v>0</v>
      </c>
      <c r="M105" s="233">
        <f>IF(O104&gt;0,O104*'Client Cost HIDE'!$A$177,0)</f>
        <v>0</v>
      </c>
      <c r="N105" s="755">
        <f>IF('Client Cost HIDE'!$B$14=B105,O104+L105+M105,0)</f>
        <v>0</v>
      </c>
      <c r="O105" s="755">
        <f t="shared" si="37"/>
        <v>0</v>
      </c>
      <c r="P105" s="792">
        <f t="shared" si="30"/>
        <v>0</v>
      </c>
      <c r="Q105" s="138">
        <f>IF(int_method=1,'Rep Schedule - Basic'!Q104,'Rep Schedule - Basic'!C105)</f>
        <v>0</v>
      </c>
      <c r="R105" s="759" t="e">
        <f t="shared" si="31"/>
        <v>#N/A</v>
      </c>
      <c r="S105" s="759">
        <f>IF(C105=0,0,C105-SUM($G$6:G105)-O104)</f>
        <v>0</v>
      </c>
      <c r="T105" s="759">
        <f t="shared" si="32"/>
        <v>0</v>
      </c>
      <c r="U105" s="760">
        <f t="shared" si="38"/>
        <v>-1523.2136738798367</v>
      </c>
      <c r="V105" s="254"/>
      <c r="W105" s="1" t="b">
        <f t="shared" si="39"/>
        <v>1</v>
      </c>
      <c r="AA105" s="15">
        <f>IF(C104&gt;1,IF(int_method=2,'Client Cost HIDE'!$B$172*C104,'Client Cost HIDE'!$B$172*'Client Cost HIDE'!$B$12),0)</f>
        <v>0</v>
      </c>
      <c r="AB105" s="5">
        <f>IF(B105&gt;'Client Cost HIDE'!$B$22,AA105,0)+AB104-E104</f>
        <v>0</v>
      </c>
    </row>
    <row r="106" spans="2:28" hidden="1">
      <c r="B106" s="392">
        <v>100</v>
      </c>
      <c r="C106" s="794">
        <f t="shared" si="33"/>
        <v>0</v>
      </c>
      <c r="D106" s="233">
        <f>IF(AND(B106&gt;='Client Cost HIDE'!$D$152,B106&lt;='Client Cost HIDE'!$B$14),IF(amortized=1,'Client Cost HIDE'!$B$12/'Client Cost HIDE'!$D$151,-PPMT('Client Cost HIDE'!$B$172,$B106-'Client Cost HIDE'!$D$152+1,'Client Cost HIDE'!$D$151,'Client Cost HIDE'!$B$12)),0)</f>
        <v>0</v>
      </c>
      <c r="E106" s="758">
        <f>IF(OR('Client Cost HIDE'!$E$152&gt;B106,C105&lt;1),0,AB106)</f>
        <v>0</v>
      </c>
      <c r="F106" s="233">
        <f>IF(indexing,D106*(1+'Client Cost HIDE'!$B$175)^(B106-$B$6)-D106,0)</f>
        <v>0</v>
      </c>
      <c r="G106" s="233">
        <f>IF('Client Cost HIDE'!$C$32&lt;1,'Client Cost HIDE'!$C$32*D106,IF(C105&gt;1,'Client Cost HIDE'!$C$32,0))</f>
        <v>0</v>
      </c>
      <c r="H106" s="233">
        <f>SUM(E106:G106)*'Client Cost HIDE'!$B$28</f>
        <v>0</v>
      </c>
      <c r="I106" s="791">
        <f t="shared" si="34"/>
        <v>0</v>
      </c>
      <c r="J106" s="752">
        <f t="shared" si="35"/>
        <v>0</v>
      </c>
      <c r="K106" s="753">
        <f t="shared" si="36"/>
        <v>0</v>
      </c>
      <c r="L106" s="754">
        <f>IF('Client Cost HIDE'!$C$39&lt;1,'Client Cost HIDE'!$C$39*D106,IF(C106&gt;1,'Client Cost HIDE'!$C$39,0))</f>
        <v>0</v>
      </c>
      <c r="M106" s="233">
        <f>IF(O105&gt;0,O105*'Client Cost HIDE'!$A$177,0)</f>
        <v>0</v>
      </c>
      <c r="N106" s="755">
        <f>IF('Client Cost HIDE'!$B$14=B106,O105+L106+M106,0)</f>
        <v>0</v>
      </c>
      <c r="O106" s="755">
        <f t="shared" si="37"/>
        <v>0</v>
      </c>
      <c r="P106" s="792">
        <f t="shared" si="30"/>
        <v>0</v>
      </c>
      <c r="Q106" s="138">
        <f>IF(int_method=1,'Rep Schedule - Basic'!Q105,'Rep Schedule - Basic'!C106)</f>
        <v>0</v>
      </c>
      <c r="R106" s="759" t="e">
        <f t="shared" si="31"/>
        <v>#N/A</v>
      </c>
      <c r="S106" s="759">
        <f>IF(C106=0,0,C106-SUM($G$6:G106)-O105)</f>
        <v>0</v>
      </c>
      <c r="T106" s="759">
        <f t="shared" si="32"/>
        <v>0</v>
      </c>
      <c r="U106" s="760">
        <f t="shared" si="38"/>
        <v>-1523.2136738798367</v>
      </c>
      <c r="V106" s="254"/>
      <c r="W106" s="1" t="b">
        <f t="shared" si="39"/>
        <v>1</v>
      </c>
      <c r="AA106" s="15">
        <f>IF(C105&gt;1,IF(int_method=2,'Client Cost HIDE'!$B$172*C105,'Client Cost HIDE'!$B$172*'Client Cost HIDE'!$B$12),0)</f>
        <v>0</v>
      </c>
      <c r="AB106" s="5">
        <f>IF(B106&gt;'Client Cost HIDE'!$B$22,AA106,0)+AB105-E105</f>
        <v>0</v>
      </c>
    </row>
    <row r="107" spans="2:28" hidden="1">
      <c r="B107" s="392">
        <v>101</v>
      </c>
      <c r="C107" s="794">
        <f t="shared" si="33"/>
        <v>0</v>
      </c>
      <c r="D107" s="233">
        <f>IF(AND(B107&gt;='Client Cost HIDE'!$D$152,B107&lt;='Client Cost HIDE'!$B$14),IF(amortized=1,'Client Cost HIDE'!$B$12/'Client Cost HIDE'!$D$151,-PPMT('Client Cost HIDE'!$B$172,$B107-'Client Cost HIDE'!$D$152+1,'Client Cost HIDE'!$D$151,'Client Cost HIDE'!$B$12)),0)</f>
        <v>0</v>
      </c>
      <c r="E107" s="758">
        <f>IF(OR('Client Cost HIDE'!$E$152&gt;B107,C106&lt;1),0,AB107)</f>
        <v>0</v>
      </c>
      <c r="F107" s="233">
        <f>IF(indexing,D107*(1+'Client Cost HIDE'!$B$175)^(B107-$B$6)-D107,0)</f>
        <v>0</v>
      </c>
      <c r="G107" s="233">
        <f>IF('Client Cost HIDE'!$C$32&lt;1,'Client Cost HIDE'!$C$32*D107,IF(C106&gt;1,'Client Cost HIDE'!$C$32,0))</f>
        <v>0</v>
      </c>
      <c r="H107" s="233">
        <f>SUM(E107:G107)*'Client Cost HIDE'!$B$28</f>
        <v>0</v>
      </c>
      <c r="I107" s="791">
        <f t="shared" si="34"/>
        <v>0</v>
      </c>
      <c r="J107" s="752">
        <f t="shared" si="35"/>
        <v>0</v>
      </c>
      <c r="K107" s="753">
        <f t="shared" si="36"/>
        <v>0</v>
      </c>
      <c r="L107" s="754">
        <f>IF('Client Cost HIDE'!$C$39&lt;1,'Client Cost HIDE'!$C$39*D107,IF(C107&gt;1,'Client Cost HIDE'!$C$39,0))</f>
        <v>0</v>
      </c>
      <c r="M107" s="233">
        <f>IF(O106&gt;0,O106*'Client Cost HIDE'!$A$177,0)</f>
        <v>0</v>
      </c>
      <c r="N107" s="755">
        <f>IF('Client Cost HIDE'!$B$14=B107,O106+L107+M107,0)</f>
        <v>0</v>
      </c>
      <c r="O107" s="755">
        <f t="shared" si="37"/>
        <v>0</v>
      </c>
      <c r="P107" s="792">
        <f t="shared" si="30"/>
        <v>0</v>
      </c>
      <c r="Q107" s="138">
        <f>IF(int_method=1,'Rep Schedule - Basic'!Q106,'Rep Schedule - Basic'!C107)</f>
        <v>0</v>
      </c>
      <c r="R107" s="759" t="e">
        <f t="shared" si="31"/>
        <v>#N/A</v>
      </c>
      <c r="S107" s="759">
        <f>IF(C107=0,0,C107-SUM($G$6:G107)-O106)</f>
        <v>0</v>
      </c>
      <c r="T107" s="759">
        <f t="shared" si="32"/>
        <v>0</v>
      </c>
      <c r="U107" s="760">
        <f t="shared" si="38"/>
        <v>-1523.2136738798367</v>
      </c>
      <c r="V107" s="254"/>
      <c r="W107" s="1" t="b">
        <f t="shared" si="39"/>
        <v>1</v>
      </c>
      <c r="AA107" s="15">
        <f>IF(C106&gt;1,IF(int_method=2,'Client Cost HIDE'!$B$172*C106,'Client Cost HIDE'!$B$172*'Client Cost HIDE'!$B$12),0)</f>
        <v>0</v>
      </c>
      <c r="AB107" s="5">
        <f>IF(B107&gt;'Client Cost HIDE'!$B$22,AA107,0)+AB106-E106</f>
        <v>0</v>
      </c>
    </row>
    <row r="108" spans="2:28" hidden="1">
      <c r="B108" s="392">
        <v>102</v>
      </c>
      <c r="C108" s="794">
        <f t="shared" si="33"/>
        <v>0</v>
      </c>
      <c r="D108" s="233">
        <f>IF(AND(B108&gt;='Client Cost HIDE'!$D$152,B108&lt;='Client Cost HIDE'!$B$14),IF(amortized=1,'Client Cost HIDE'!$B$12/'Client Cost HIDE'!$D$151,-PPMT('Client Cost HIDE'!$B$172,$B108-'Client Cost HIDE'!$D$152+1,'Client Cost HIDE'!$D$151,'Client Cost HIDE'!$B$12)),0)</f>
        <v>0</v>
      </c>
      <c r="E108" s="758">
        <f>IF(OR('Client Cost HIDE'!$E$152&gt;B108,C107&lt;1),0,AB108)</f>
        <v>0</v>
      </c>
      <c r="F108" s="233">
        <f>IF(indexing,D108*(1+'Client Cost HIDE'!$B$175)^(B108-$B$6)-D108,0)</f>
        <v>0</v>
      </c>
      <c r="G108" s="233">
        <f>IF('Client Cost HIDE'!$C$32&lt;1,'Client Cost HIDE'!$C$32*D108,IF(C107&gt;1,'Client Cost HIDE'!$C$32,0))</f>
        <v>0</v>
      </c>
      <c r="H108" s="233">
        <f>SUM(E108:G108)*'Client Cost HIDE'!$B$28</f>
        <v>0</v>
      </c>
      <c r="I108" s="791">
        <f t="shared" si="34"/>
        <v>0</v>
      </c>
      <c r="J108" s="752">
        <f t="shared" si="35"/>
        <v>0</v>
      </c>
      <c r="K108" s="753">
        <f t="shared" si="36"/>
        <v>0</v>
      </c>
      <c r="L108" s="754">
        <f>IF('Client Cost HIDE'!$C$39&lt;1,'Client Cost HIDE'!$C$39*D108,IF(C108&gt;1,'Client Cost HIDE'!$C$39,0))</f>
        <v>0</v>
      </c>
      <c r="M108" s="233">
        <f>IF(O107&gt;0,O107*'Client Cost HIDE'!$A$177,0)</f>
        <v>0</v>
      </c>
      <c r="N108" s="755">
        <f>IF('Client Cost HIDE'!$B$14=B108,O107+L108+M108,0)</f>
        <v>0</v>
      </c>
      <c r="O108" s="755">
        <f t="shared" si="37"/>
        <v>0</v>
      </c>
      <c r="P108" s="792">
        <f t="shared" si="30"/>
        <v>0</v>
      </c>
      <c r="Q108" s="138">
        <f>IF(int_method=1,'Rep Schedule - Basic'!Q107,'Rep Schedule - Basic'!C108)</f>
        <v>0</v>
      </c>
      <c r="R108" s="759" t="e">
        <f t="shared" si="31"/>
        <v>#N/A</v>
      </c>
      <c r="S108" s="759">
        <f>IF(C108=0,0,C108-SUM($G$6:G108)-O107)</f>
        <v>0</v>
      </c>
      <c r="T108" s="759">
        <f t="shared" si="32"/>
        <v>0</v>
      </c>
      <c r="U108" s="760">
        <f t="shared" si="38"/>
        <v>-1523.2136738798367</v>
      </c>
      <c r="V108" s="254"/>
      <c r="W108" s="1" t="b">
        <f t="shared" si="39"/>
        <v>1</v>
      </c>
      <c r="AA108" s="15">
        <f>IF(C107&gt;1,IF(int_method=2,'Client Cost HIDE'!$B$172*C107,'Client Cost HIDE'!$B$172*'Client Cost HIDE'!$B$12),0)</f>
        <v>0</v>
      </c>
      <c r="AB108" s="5">
        <f>IF(B108&gt;'Client Cost HIDE'!$B$22,AA108,0)+AB107-E107</f>
        <v>0</v>
      </c>
    </row>
    <row r="109" spans="2:28" hidden="1">
      <c r="B109" s="392">
        <v>103</v>
      </c>
      <c r="C109" s="794">
        <f t="shared" si="33"/>
        <v>0</v>
      </c>
      <c r="D109" s="233">
        <f>IF(AND(B109&gt;='Client Cost HIDE'!$D$152,B109&lt;='Client Cost HIDE'!$B$14),IF(amortized=1,'Client Cost HIDE'!$B$12/'Client Cost HIDE'!$D$151,-PPMT('Client Cost HIDE'!$B$172,$B109-'Client Cost HIDE'!$D$152+1,'Client Cost HIDE'!$D$151,'Client Cost HIDE'!$B$12)),0)</f>
        <v>0</v>
      </c>
      <c r="E109" s="758">
        <f>IF(OR('Client Cost HIDE'!$E$152&gt;B109,C108&lt;1),0,AB109)</f>
        <v>0</v>
      </c>
      <c r="F109" s="233">
        <f>IF(indexing,D109*(1+'Client Cost HIDE'!$B$175)^(B109-$B$6)-D109,0)</f>
        <v>0</v>
      </c>
      <c r="G109" s="233">
        <f>IF('Client Cost HIDE'!$C$32&lt;1,'Client Cost HIDE'!$C$32*D109,IF(C108&gt;1,'Client Cost HIDE'!$C$32,0))</f>
        <v>0</v>
      </c>
      <c r="H109" s="233">
        <f>SUM(E109:G109)*'Client Cost HIDE'!$B$28</f>
        <v>0</v>
      </c>
      <c r="I109" s="791">
        <f t="shared" si="34"/>
        <v>0</v>
      </c>
      <c r="J109" s="752">
        <f t="shared" si="35"/>
        <v>0</v>
      </c>
      <c r="K109" s="753">
        <f t="shared" si="36"/>
        <v>0</v>
      </c>
      <c r="L109" s="754">
        <f>IF('Client Cost HIDE'!$C$39&lt;1,'Client Cost HIDE'!$C$39*D109,IF(C109&gt;1,'Client Cost HIDE'!$C$39,0))</f>
        <v>0</v>
      </c>
      <c r="M109" s="233">
        <f>IF(O108&gt;0,O108*'Client Cost HIDE'!$A$177,0)</f>
        <v>0</v>
      </c>
      <c r="N109" s="755">
        <f>IF('Client Cost HIDE'!$B$14=B109,O108+L109+M109,0)</f>
        <v>0</v>
      </c>
      <c r="O109" s="755">
        <f t="shared" si="37"/>
        <v>0</v>
      </c>
      <c r="P109" s="792">
        <f t="shared" si="30"/>
        <v>0</v>
      </c>
      <c r="Q109" s="138">
        <f>IF(int_method=1,'Rep Schedule - Basic'!Q108,'Rep Schedule - Basic'!C109)</f>
        <v>0</v>
      </c>
      <c r="R109" s="759" t="e">
        <f t="shared" si="31"/>
        <v>#N/A</v>
      </c>
      <c r="S109" s="759">
        <f>IF(C109=0,0,C109-SUM($G$6:G109)-O108)</f>
        <v>0</v>
      </c>
      <c r="T109" s="759">
        <f t="shared" si="32"/>
        <v>0</v>
      </c>
      <c r="U109" s="760">
        <f t="shared" si="38"/>
        <v>-1523.2136738798367</v>
      </c>
      <c r="V109" s="254"/>
      <c r="W109" s="1" t="b">
        <f t="shared" si="39"/>
        <v>1</v>
      </c>
      <c r="AA109" s="15">
        <f>IF(C108&gt;1,IF(int_method=2,'Client Cost HIDE'!$B$172*C108,'Client Cost HIDE'!$B$172*'Client Cost HIDE'!$B$12),0)</f>
        <v>0</v>
      </c>
      <c r="AB109" s="5">
        <f>IF(B109&gt;'Client Cost HIDE'!$B$22,AA109,0)+AB108-E108</f>
        <v>0</v>
      </c>
    </row>
    <row r="110" spans="2:28" hidden="1">
      <c r="B110" s="392">
        <v>104</v>
      </c>
      <c r="C110" s="794">
        <f t="shared" si="33"/>
        <v>0</v>
      </c>
      <c r="D110" s="233">
        <f>IF(AND(B110&gt;='Client Cost HIDE'!$D$152,B110&lt;='Client Cost HIDE'!$B$14),IF(amortized=1,'Client Cost HIDE'!$B$12/'Client Cost HIDE'!$D$151,-PPMT('Client Cost HIDE'!$B$172,$B110-'Client Cost HIDE'!$D$152+1,'Client Cost HIDE'!$D$151,'Client Cost HIDE'!$B$12)),0)</f>
        <v>0</v>
      </c>
      <c r="E110" s="758">
        <f>IF(OR('Client Cost HIDE'!$E$152&gt;B110,C109&lt;1),0,AB110)</f>
        <v>0</v>
      </c>
      <c r="F110" s="233">
        <f>IF(indexing,D110*(1+'Client Cost HIDE'!$B$175)^(B110-$B$6)-D110,0)</f>
        <v>0</v>
      </c>
      <c r="G110" s="233">
        <f>IF('Client Cost HIDE'!$C$32&lt;1,'Client Cost HIDE'!$C$32*D110,IF(C109&gt;1,'Client Cost HIDE'!$C$32,0))</f>
        <v>0</v>
      </c>
      <c r="H110" s="233">
        <f>SUM(E110:G110)*'Client Cost HIDE'!$B$28</f>
        <v>0</v>
      </c>
      <c r="I110" s="791">
        <f t="shared" si="34"/>
        <v>0</v>
      </c>
      <c r="J110" s="752">
        <f t="shared" si="35"/>
        <v>0</v>
      </c>
      <c r="K110" s="753">
        <f t="shared" si="36"/>
        <v>0</v>
      </c>
      <c r="L110" s="754">
        <f>IF('Client Cost HIDE'!$C$39&lt;1,'Client Cost HIDE'!$C$39*D110,IF(C110&gt;1,'Client Cost HIDE'!$C$39,0))</f>
        <v>0</v>
      </c>
      <c r="M110" s="233">
        <f>IF(O109&gt;0,O109*'Client Cost HIDE'!$A$177,0)</f>
        <v>0</v>
      </c>
      <c r="N110" s="755">
        <f>IF('Client Cost HIDE'!$B$14=B110,O109+L110+M110,0)</f>
        <v>0</v>
      </c>
      <c r="O110" s="755">
        <f t="shared" si="37"/>
        <v>0</v>
      </c>
      <c r="P110" s="792">
        <f t="shared" si="30"/>
        <v>0</v>
      </c>
      <c r="Q110" s="138">
        <f>IF(int_method=1,'Rep Schedule - Basic'!Q109,'Rep Schedule - Basic'!C110)</f>
        <v>0</v>
      </c>
      <c r="R110" s="759" t="e">
        <f t="shared" si="31"/>
        <v>#N/A</v>
      </c>
      <c r="S110" s="759">
        <f>IF(C110=0,0,C110-SUM($G$6:G110)-O109)</f>
        <v>0</v>
      </c>
      <c r="T110" s="759">
        <f t="shared" si="32"/>
        <v>0</v>
      </c>
      <c r="U110" s="760">
        <f t="shared" si="38"/>
        <v>-1523.2136738798367</v>
      </c>
      <c r="V110" s="254"/>
      <c r="W110" s="1" t="b">
        <f t="shared" si="39"/>
        <v>1</v>
      </c>
      <c r="AA110" s="15">
        <f>IF(C109&gt;1,IF(int_method=2,'Client Cost HIDE'!$B$172*C109,'Client Cost HIDE'!$B$172*'Client Cost HIDE'!$B$12),0)</f>
        <v>0</v>
      </c>
      <c r="AB110" s="5">
        <f>IF(B110&gt;'Client Cost HIDE'!$B$22,AA110,0)+AB109-E109</f>
        <v>0</v>
      </c>
    </row>
    <row r="111" spans="2:28" hidden="1">
      <c r="B111" s="392">
        <v>105</v>
      </c>
      <c r="C111" s="794">
        <f t="shared" si="33"/>
        <v>0</v>
      </c>
      <c r="D111" s="233">
        <f>IF(AND(B111&gt;='Client Cost HIDE'!$D$152,B111&lt;='Client Cost HIDE'!$B$14),IF(amortized=1,'Client Cost HIDE'!$B$12/'Client Cost HIDE'!$D$151,-PPMT('Client Cost HIDE'!$B$172,$B111-'Client Cost HIDE'!$D$152+1,'Client Cost HIDE'!$D$151,'Client Cost HIDE'!$B$12)),0)</f>
        <v>0</v>
      </c>
      <c r="E111" s="758">
        <f>IF(OR('Client Cost HIDE'!$E$152&gt;B111,C110&lt;1),0,AB111)</f>
        <v>0</v>
      </c>
      <c r="F111" s="233">
        <f>IF(indexing,D111*(1+'Client Cost HIDE'!$B$175)^(B111-$B$6)-D111,0)</f>
        <v>0</v>
      </c>
      <c r="G111" s="233">
        <f>IF('Client Cost HIDE'!$C$32&lt;1,'Client Cost HIDE'!$C$32*D111,IF(C110&gt;1,'Client Cost HIDE'!$C$32,0))</f>
        <v>0</v>
      </c>
      <c r="H111" s="233">
        <f>SUM(E111:G111)*'Client Cost HIDE'!$B$28</f>
        <v>0</v>
      </c>
      <c r="I111" s="791">
        <f t="shared" si="34"/>
        <v>0</v>
      </c>
      <c r="J111" s="752">
        <f t="shared" si="35"/>
        <v>0</v>
      </c>
      <c r="K111" s="753">
        <f t="shared" si="36"/>
        <v>0</v>
      </c>
      <c r="L111" s="754">
        <f>IF('Client Cost HIDE'!$C$39&lt;1,'Client Cost HIDE'!$C$39*D111,IF(C111&gt;1,'Client Cost HIDE'!$C$39,0))</f>
        <v>0</v>
      </c>
      <c r="M111" s="233">
        <f>IF(O110&gt;0,O110*'Client Cost HIDE'!$A$177,0)</f>
        <v>0</v>
      </c>
      <c r="N111" s="755">
        <f>IF('Client Cost HIDE'!$B$14=B111,O110+L111+M111,0)</f>
        <v>0</v>
      </c>
      <c r="O111" s="755">
        <f t="shared" si="37"/>
        <v>0</v>
      </c>
      <c r="P111" s="792">
        <f t="shared" si="30"/>
        <v>0</v>
      </c>
      <c r="Q111" s="138">
        <f>IF(int_method=1,'Rep Schedule - Basic'!Q110,'Rep Schedule - Basic'!C111)</f>
        <v>0</v>
      </c>
      <c r="R111" s="759" t="e">
        <f t="shared" si="31"/>
        <v>#N/A</v>
      </c>
      <c r="S111" s="759">
        <f>IF(C111=0,0,C111-SUM($G$6:G111)-O110)</f>
        <v>0</v>
      </c>
      <c r="T111" s="759">
        <f t="shared" si="32"/>
        <v>0</v>
      </c>
      <c r="U111" s="760">
        <f t="shared" si="38"/>
        <v>-1523.2136738798367</v>
      </c>
      <c r="V111" s="254"/>
      <c r="W111" s="1" t="b">
        <f t="shared" si="39"/>
        <v>1</v>
      </c>
      <c r="AA111" s="15">
        <f>IF(C110&gt;1,IF(int_method=2,'Client Cost HIDE'!$B$172*C110,'Client Cost HIDE'!$B$172*'Client Cost HIDE'!$B$12),0)</f>
        <v>0</v>
      </c>
      <c r="AB111" s="5">
        <f>IF(B111&gt;'Client Cost HIDE'!$B$22,AA111,0)+AB110-E110</f>
        <v>0</v>
      </c>
    </row>
    <row r="112" spans="2:28" hidden="1">
      <c r="B112" s="392">
        <v>106</v>
      </c>
      <c r="C112" s="794">
        <f t="shared" si="33"/>
        <v>0</v>
      </c>
      <c r="D112" s="233">
        <f>IF(AND(B112&gt;='Client Cost HIDE'!$D$152,B112&lt;='Client Cost HIDE'!$B$14),IF(amortized=1,'Client Cost HIDE'!$B$12/'Client Cost HIDE'!$D$151,-PPMT('Client Cost HIDE'!$B$172,$B112-'Client Cost HIDE'!$D$152+1,'Client Cost HIDE'!$D$151,'Client Cost HIDE'!$B$12)),0)</f>
        <v>0</v>
      </c>
      <c r="E112" s="758">
        <f>IF(OR('Client Cost HIDE'!$E$152&gt;B112,C111&lt;1),0,AB112)</f>
        <v>0</v>
      </c>
      <c r="F112" s="233">
        <f>IF(indexing,D112*(1+'Client Cost HIDE'!$B$175)^(B112-$B$6)-D112,0)</f>
        <v>0</v>
      </c>
      <c r="G112" s="233">
        <f>IF('Client Cost HIDE'!$C$32&lt;1,'Client Cost HIDE'!$C$32*D112,IF(C111&gt;1,'Client Cost HIDE'!$C$32,0))</f>
        <v>0</v>
      </c>
      <c r="H112" s="233">
        <f>SUM(E112:G112)*'Client Cost HIDE'!$B$28</f>
        <v>0</v>
      </c>
      <c r="I112" s="791">
        <f t="shared" si="34"/>
        <v>0</v>
      </c>
      <c r="J112" s="752">
        <f t="shared" si="35"/>
        <v>0</v>
      </c>
      <c r="K112" s="753">
        <f t="shared" si="36"/>
        <v>0</v>
      </c>
      <c r="L112" s="754">
        <f>IF('Client Cost HIDE'!$C$39&lt;1,'Client Cost HIDE'!$C$39*D112,IF(C112&gt;1,'Client Cost HIDE'!$C$39,0))</f>
        <v>0</v>
      </c>
      <c r="M112" s="233">
        <f>IF(O111&gt;0,O111*'Client Cost HIDE'!$A$177,0)</f>
        <v>0</v>
      </c>
      <c r="N112" s="755">
        <f>IF('Client Cost HIDE'!$B$14=B112,O111+L112+M112,0)</f>
        <v>0</v>
      </c>
      <c r="O112" s="755">
        <f t="shared" si="37"/>
        <v>0</v>
      </c>
      <c r="P112" s="792">
        <f t="shared" si="30"/>
        <v>0</v>
      </c>
      <c r="Q112" s="138">
        <f>IF(int_method=1,'Rep Schedule - Basic'!Q111,'Rep Schedule - Basic'!C112)</f>
        <v>0</v>
      </c>
      <c r="R112" s="759" t="e">
        <f t="shared" si="31"/>
        <v>#N/A</v>
      </c>
      <c r="S112" s="759">
        <f>IF(C112=0,0,C112-SUM($G$6:G112)-O111)</f>
        <v>0</v>
      </c>
      <c r="T112" s="759">
        <f t="shared" si="32"/>
        <v>0</v>
      </c>
      <c r="U112" s="760">
        <f t="shared" si="38"/>
        <v>-1523.2136738798367</v>
      </c>
      <c r="V112" s="254"/>
      <c r="W112" s="1" t="b">
        <f t="shared" si="39"/>
        <v>1</v>
      </c>
      <c r="AA112" s="15">
        <f>IF(C111&gt;1,IF(int_method=2,'Client Cost HIDE'!$B$172*C111,'Client Cost HIDE'!$B$172*'Client Cost HIDE'!$B$12),0)</f>
        <v>0</v>
      </c>
      <c r="AB112" s="5">
        <f>IF(B112&gt;'Client Cost HIDE'!$B$22,AA112,0)+AB111-E111</f>
        <v>0</v>
      </c>
    </row>
    <row r="113" spans="2:29" hidden="1">
      <c r="B113" s="392">
        <v>107</v>
      </c>
      <c r="C113" s="794">
        <f t="shared" si="33"/>
        <v>0</v>
      </c>
      <c r="D113" s="233">
        <f>IF(AND(B113&gt;='Client Cost HIDE'!$D$152,B113&lt;='Client Cost HIDE'!$B$14),IF(amortized=1,'Client Cost HIDE'!$B$12/'Client Cost HIDE'!$D$151,-PPMT('Client Cost HIDE'!$B$172,$B113-'Client Cost HIDE'!$D$152+1,'Client Cost HIDE'!$D$151,'Client Cost HIDE'!$B$12)),0)</f>
        <v>0</v>
      </c>
      <c r="E113" s="758">
        <f>IF(OR('Client Cost HIDE'!$E$152&gt;B113,C112&lt;1),0,AB113)</f>
        <v>0</v>
      </c>
      <c r="F113" s="233">
        <f>IF(indexing,D113*(1+'Client Cost HIDE'!$B$175)^(B113-$B$6)-D113,0)</f>
        <v>0</v>
      </c>
      <c r="G113" s="233">
        <f>IF('Client Cost HIDE'!$C$32&lt;1,'Client Cost HIDE'!$C$32*D113,IF(C112&gt;1,'Client Cost HIDE'!$C$32,0))</f>
        <v>0</v>
      </c>
      <c r="H113" s="233">
        <f>SUM(E113:G113)*'Client Cost HIDE'!$B$28</f>
        <v>0</v>
      </c>
      <c r="I113" s="791">
        <f t="shared" si="34"/>
        <v>0</v>
      </c>
      <c r="J113" s="752">
        <f t="shared" si="35"/>
        <v>0</v>
      </c>
      <c r="K113" s="753">
        <f t="shared" si="36"/>
        <v>0</v>
      </c>
      <c r="L113" s="754">
        <f>IF('Client Cost HIDE'!$C$39&lt;1,'Client Cost HIDE'!$C$39*D113,IF(C113&gt;1,'Client Cost HIDE'!$C$39,0))</f>
        <v>0</v>
      </c>
      <c r="M113" s="233">
        <f>IF(O112&gt;0,O112*'Client Cost HIDE'!$A$177,0)</f>
        <v>0</v>
      </c>
      <c r="N113" s="755">
        <f>IF('Client Cost HIDE'!$B$14=B113,O112+L113+M113,0)</f>
        <v>0</v>
      </c>
      <c r="O113" s="755">
        <f t="shared" si="37"/>
        <v>0</v>
      </c>
      <c r="P113" s="792">
        <f t="shared" si="30"/>
        <v>0</v>
      </c>
      <c r="Q113" s="138">
        <f>IF(int_method=1,'Rep Schedule - Basic'!Q112,'Rep Schedule - Basic'!C113)</f>
        <v>0</v>
      </c>
      <c r="R113" s="759" t="e">
        <f t="shared" si="31"/>
        <v>#N/A</v>
      </c>
      <c r="S113" s="759">
        <f>IF(C113=0,0,C113-SUM($G$6:G113)-O112)</f>
        <v>0</v>
      </c>
      <c r="T113" s="759">
        <f t="shared" si="32"/>
        <v>0</v>
      </c>
      <c r="U113" s="760">
        <f t="shared" si="38"/>
        <v>-1523.2136738798367</v>
      </c>
      <c r="V113" s="254"/>
      <c r="W113" s="1" t="b">
        <f t="shared" si="39"/>
        <v>1</v>
      </c>
      <c r="AA113" s="15">
        <f>IF(C112&gt;1,IF(int_method=2,'Client Cost HIDE'!$B$172*C112,'Client Cost HIDE'!$B$172*'Client Cost HIDE'!$B$12),0)</f>
        <v>0</v>
      </c>
      <c r="AB113" s="5">
        <f>IF(B113&gt;'Client Cost HIDE'!$B$22,AA113,0)+AB112-E112</f>
        <v>0</v>
      </c>
    </row>
    <row r="114" spans="2:29" hidden="1">
      <c r="B114" s="392">
        <v>108</v>
      </c>
      <c r="C114" s="794">
        <f t="shared" si="33"/>
        <v>0</v>
      </c>
      <c r="D114" s="233">
        <f>IF(AND(B114&gt;='Client Cost HIDE'!$D$152,B114&lt;='Client Cost HIDE'!$B$14),IF(amortized=1,'Client Cost HIDE'!$B$12/'Client Cost HIDE'!$D$151,-PPMT('Client Cost HIDE'!$B$172,$B114-'Client Cost HIDE'!$D$152+1,'Client Cost HIDE'!$D$151,'Client Cost HIDE'!$B$12)),0)</f>
        <v>0</v>
      </c>
      <c r="E114" s="758">
        <f>IF(OR('Client Cost HIDE'!$E$152&gt;B114,C113&lt;1),0,AB114)</f>
        <v>0</v>
      </c>
      <c r="F114" s="233">
        <f>IF(indexing,D114*(1+'Client Cost HIDE'!$B$175)^(B114-$B$6)-D114,0)</f>
        <v>0</v>
      </c>
      <c r="G114" s="233">
        <f>IF('Client Cost HIDE'!$C$32&lt;1,'Client Cost HIDE'!$C$32*D114,IF(C113&gt;1,'Client Cost HIDE'!$C$32,0))</f>
        <v>0</v>
      </c>
      <c r="H114" s="233">
        <f>SUM(E114:G114)*'Client Cost HIDE'!$B$28</f>
        <v>0</v>
      </c>
      <c r="I114" s="791">
        <f t="shared" si="34"/>
        <v>0</v>
      </c>
      <c r="J114" s="752">
        <f t="shared" si="35"/>
        <v>0</v>
      </c>
      <c r="K114" s="753">
        <f t="shared" si="36"/>
        <v>0</v>
      </c>
      <c r="L114" s="754">
        <f>IF('Client Cost HIDE'!$C$39&lt;1,'Client Cost HIDE'!$C$39*D114,IF(C114&gt;1,'Client Cost HIDE'!$C$39,0))</f>
        <v>0</v>
      </c>
      <c r="M114" s="233">
        <f>IF(O113&gt;0,O113*'Client Cost HIDE'!$A$177,0)</f>
        <v>0</v>
      </c>
      <c r="N114" s="755">
        <f>IF('Client Cost HIDE'!$B$14=B114,O113+L114+M114,0)</f>
        <v>0</v>
      </c>
      <c r="O114" s="755">
        <f t="shared" si="37"/>
        <v>0</v>
      </c>
      <c r="P114" s="792">
        <f t="shared" si="30"/>
        <v>0</v>
      </c>
      <c r="Q114" s="138">
        <f>IF(int_method=1,'Rep Schedule - Basic'!Q113,'Rep Schedule - Basic'!C114)</f>
        <v>0</v>
      </c>
      <c r="R114" s="759" t="e">
        <f t="shared" si="31"/>
        <v>#N/A</v>
      </c>
      <c r="S114" s="759">
        <f>IF(C114=0,0,C114-SUM($G$6:G114)-O113)</f>
        <v>0</v>
      </c>
      <c r="T114" s="759">
        <f t="shared" si="32"/>
        <v>0</v>
      </c>
      <c r="U114" s="760">
        <f t="shared" si="38"/>
        <v>-1523.2136738798367</v>
      </c>
      <c r="V114" s="254"/>
      <c r="W114" s="1" t="b">
        <f t="shared" si="39"/>
        <v>1</v>
      </c>
      <c r="AA114" s="15">
        <f>IF(C113&gt;1,IF(int_method=2,'Client Cost HIDE'!$B$172*C113,'Client Cost HIDE'!$B$172*'Client Cost HIDE'!$B$12),0)</f>
        <v>0</v>
      </c>
      <c r="AB114" s="5">
        <f>IF(B114&gt;'Client Cost HIDE'!$B$22,AA114,0)+AB113-E113</f>
        <v>0</v>
      </c>
    </row>
    <row r="115" spans="2:29" hidden="1">
      <c r="B115" s="392">
        <v>109</v>
      </c>
      <c r="C115" s="794">
        <f t="shared" si="33"/>
        <v>0</v>
      </c>
      <c r="D115" s="233">
        <f>IF(AND(B115&gt;='Client Cost HIDE'!$D$152,B115&lt;='Client Cost HIDE'!$B$14),IF(amortized=1,'Client Cost HIDE'!$B$12/'Client Cost HIDE'!$D$151,-PPMT('Client Cost HIDE'!$B$172,$B115-'Client Cost HIDE'!$D$152+1,'Client Cost HIDE'!$D$151,'Client Cost HIDE'!$B$12)),0)</f>
        <v>0</v>
      </c>
      <c r="E115" s="758">
        <f>IF(OR('Client Cost HIDE'!$E$152&gt;B115,C114&lt;1),0,AB115)</f>
        <v>0</v>
      </c>
      <c r="F115" s="233">
        <f>IF(indexing,D115*(1+'Client Cost HIDE'!$B$175)^(B115-$B$6)-D115,0)</f>
        <v>0</v>
      </c>
      <c r="G115" s="233">
        <f>IF('Client Cost HIDE'!$C$32&lt;1,'Client Cost HIDE'!$C$32*D115,IF(C114&gt;1,'Client Cost HIDE'!$C$32,0))</f>
        <v>0</v>
      </c>
      <c r="H115" s="233">
        <f>SUM(E115:G115)*'Client Cost HIDE'!$B$28</f>
        <v>0</v>
      </c>
      <c r="I115" s="791">
        <f t="shared" si="34"/>
        <v>0</v>
      </c>
      <c r="J115" s="752">
        <f t="shared" si="35"/>
        <v>0</v>
      </c>
      <c r="K115" s="753">
        <f t="shared" si="36"/>
        <v>0</v>
      </c>
      <c r="L115" s="754">
        <f>IF('Client Cost HIDE'!$C$39&lt;1,'Client Cost HIDE'!$C$39*D115,IF(C115&gt;1,'Client Cost HIDE'!$C$39,0))</f>
        <v>0</v>
      </c>
      <c r="M115" s="233">
        <f>IF(O114&gt;0,O114*'Client Cost HIDE'!$A$177,0)</f>
        <v>0</v>
      </c>
      <c r="N115" s="755">
        <f>IF('Client Cost HIDE'!$B$14=B115,O114+L115+M115,0)</f>
        <v>0</v>
      </c>
      <c r="O115" s="755">
        <f t="shared" si="37"/>
        <v>0</v>
      </c>
      <c r="P115" s="792">
        <f t="shared" si="30"/>
        <v>0</v>
      </c>
      <c r="Q115" s="138">
        <f>IF(int_method=1,'Rep Schedule - Basic'!Q114,'Rep Schedule - Basic'!C115)</f>
        <v>0</v>
      </c>
      <c r="R115" s="759" t="e">
        <f t="shared" si="31"/>
        <v>#N/A</v>
      </c>
      <c r="S115" s="759">
        <f>IF(C115=0,0,C115-SUM($G$6:G115)-O114)</f>
        <v>0</v>
      </c>
      <c r="T115" s="759">
        <f t="shared" si="32"/>
        <v>0</v>
      </c>
      <c r="U115" s="760">
        <f t="shared" si="38"/>
        <v>-1523.2136738798367</v>
      </c>
      <c r="V115" s="254"/>
      <c r="W115" s="1" t="b">
        <f t="shared" si="39"/>
        <v>1</v>
      </c>
      <c r="AA115" s="15">
        <f>IF(C114&gt;1,IF(int_method=2,'Client Cost HIDE'!$B$172*C114,'Client Cost HIDE'!$B$172*'Client Cost HIDE'!$B$12),0)</f>
        <v>0</v>
      </c>
      <c r="AB115" s="5">
        <f>IF(B115&gt;'Client Cost HIDE'!$B$22,AA115,0)+AB114-E114</f>
        <v>0</v>
      </c>
    </row>
    <row r="116" spans="2:29" hidden="1">
      <c r="B116" s="392">
        <v>110</v>
      </c>
      <c r="C116" s="794">
        <f t="shared" si="33"/>
        <v>0</v>
      </c>
      <c r="D116" s="233">
        <f>IF(AND(B116&gt;='Client Cost HIDE'!$D$152,B116&lt;='Client Cost HIDE'!$B$14),IF(amortized=1,'Client Cost HIDE'!$B$12/'Client Cost HIDE'!$D$151,-PPMT('Client Cost HIDE'!$B$172,$B116-'Client Cost HIDE'!$D$152+1,'Client Cost HIDE'!$D$151,'Client Cost HIDE'!$B$12)),0)</f>
        <v>0</v>
      </c>
      <c r="E116" s="758">
        <f>IF(OR('Client Cost HIDE'!$E$152&gt;B116,C115&lt;1),0,AB116)</f>
        <v>0</v>
      </c>
      <c r="F116" s="233">
        <f>IF(indexing,D116*(1+'Client Cost HIDE'!$B$175)^(B116-$B$6)-D116,0)</f>
        <v>0</v>
      </c>
      <c r="G116" s="233">
        <f>IF('Client Cost HIDE'!$C$32&lt;1,'Client Cost HIDE'!$C$32*D116,IF(C115&gt;1,'Client Cost HIDE'!$C$32,0))</f>
        <v>0</v>
      </c>
      <c r="H116" s="233">
        <f>SUM(E116:G116)*'Client Cost HIDE'!$B$28</f>
        <v>0</v>
      </c>
      <c r="I116" s="791">
        <f t="shared" si="34"/>
        <v>0</v>
      </c>
      <c r="J116" s="752">
        <f t="shared" si="35"/>
        <v>0</v>
      </c>
      <c r="K116" s="753">
        <f t="shared" si="36"/>
        <v>0</v>
      </c>
      <c r="L116" s="754">
        <f>IF('Client Cost HIDE'!$C$39&lt;1,'Client Cost HIDE'!$C$39*D116,IF(C116&gt;1,'Client Cost HIDE'!$C$39,0))</f>
        <v>0</v>
      </c>
      <c r="M116" s="233">
        <f>IF(O115&gt;0,O115*'Client Cost HIDE'!$A$177,0)</f>
        <v>0</v>
      </c>
      <c r="N116" s="755">
        <f>IF('Client Cost HIDE'!$B$14=B116,O115+L116+M116,0)</f>
        <v>0</v>
      </c>
      <c r="O116" s="755">
        <f t="shared" si="37"/>
        <v>0</v>
      </c>
      <c r="P116" s="792">
        <f t="shared" si="30"/>
        <v>0</v>
      </c>
      <c r="Q116" s="138">
        <f>IF(int_method=1,'Rep Schedule - Basic'!Q115,'Rep Schedule - Basic'!C116)</f>
        <v>0</v>
      </c>
      <c r="R116" s="759" t="e">
        <f t="shared" si="31"/>
        <v>#N/A</v>
      </c>
      <c r="S116" s="759">
        <f>IF(C116=0,0,C116-SUM($G$6:G116)-O115)</f>
        <v>0</v>
      </c>
      <c r="T116" s="759">
        <f t="shared" si="32"/>
        <v>0</v>
      </c>
      <c r="U116" s="760">
        <f t="shared" si="38"/>
        <v>-1523.2136738798367</v>
      </c>
      <c r="V116" s="254"/>
      <c r="W116" s="1" t="b">
        <f t="shared" si="39"/>
        <v>1</v>
      </c>
      <c r="AA116" s="15">
        <f>IF(C115&gt;1,IF(int_method=2,'Client Cost HIDE'!$B$172*C115,'Client Cost HIDE'!$B$172*'Client Cost HIDE'!$B$12),0)</f>
        <v>0</v>
      </c>
      <c r="AB116" s="5">
        <f>IF(B116&gt;'Client Cost HIDE'!$B$22,AA116,0)+AB115-E115</f>
        <v>0</v>
      </c>
    </row>
    <row r="117" spans="2:29" hidden="1">
      <c r="B117" s="392">
        <v>111</v>
      </c>
      <c r="C117" s="794">
        <f t="shared" si="33"/>
        <v>0</v>
      </c>
      <c r="D117" s="233">
        <f>IF(AND(B117&gt;='Client Cost HIDE'!$D$152,B117&lt;='Client Cost HIDE'!$B$14),IF(amortized=1,'Client Cost HIDE'!$B$12/'Client Cost HIDE'!$D$151,-PPMT('Client Cost HIDE'!$B$172,$B117-'Client Cost HIDE'!$D$152+1,'Client Cost HIDE'!$D$151,'Client Cost HIDE'!$B$12)),0)</f>
        <v>0</v>
      </c>
      <c r="E117" s="758">
        <f>IF(OR('Client Cost HIDE'!$E$152&gt;B117,C116&lt;1),0,AB117)</f>
        <v>0</v>
      </c>
      <c r="F117" s="233">
        <f>IF(indexing,D117*(1+'Client Cost HIDE'!$B$175)^(B117-$B$6)-D117,0)</f>
        <v>0</v>
      </c>
      <c r="G117" s="233">
        <f>IF('Client Cost HIDE'!$C$32&lt;1,'Client Cost HIDE'!$C$32*D117,IF(C116&gt;1,'Client Cost HIDE'!$C$32,0))</f>
        <v>0</v>
      </c>
      <c r="H117" s="233">
        <f>SUM(E117:G117)*'Client Cost HIDE'!$B$28</f>
        <v>0</v>
      </c>
      <c r="I117" s="791">
        <f t="shared" si="34"/>
        <v>0</v>
      </c>
      <c r="J117" s="752">
        <f t="shared" si="35"/>
        <v>0</v>
      </c>
      <c r="K117" s="753">
        <f t="shared" si="36"/>
        <v>0</v>
      </c>
      <c r="L117" s="754">
        <f>IF('Client Cost HIDE'!$C$39&lt;1,'Client Cost HIDE'!$C$39*D117,IF(C117&gt;1,'Client Cost HIDE'!$C$39,0))</f>
        <v>0</v>
      </c>
      <c r="M117" s="233">
        <f>IF(O116&gt;0,O116*'Client Cost HIDE'!$A$177,0)</f>
        <v>0</v>
      </c>
      <c r="N117" s="755">
        <f>IF('Client Cost HIDE'!$B$14=B117,O116+L117+M117,0)</f>
        <v>0</v>
      </c>
      <c r="O117" s="755">
        <f t="shared" si="37"/>
        <v>0</v>
      </c>
      <c r="P117" s="792">
        <f t="shared" si="30"/>
        <v>0</v>
      </c>
      <c r="Q117" s="138">
        <f>IF(int_method=1,'Rep Schedule - Basic'!Q116,'Rep Schedule - Basic'!C117)</f>
        <v>0</v>
      </c>
      <c r="R117" s="759" t="e">
        <f t="shared" si="31"/>
        <v>#N/A</v>
      </c>
      <c r="S117" s="759">
        <f>IF(C117=0,0,C117-SUM($G$6:G117)-O116)</f>
        <v>0</v>
      </c>
      <c r="T117" s="759">
        <f t="shared" si="32"/>
        <v>0</v>
      </c>
      <c r="U117" s="760">
        <f t="shared" si="38"/>
        <v>-1523.2136738798367</v>
      </c>
      <c r="V117" s="254"/>
      <c r="W117" s="1" t="b">
        <f t="shared" si="39"/>
        <v>1</v>
      </c>
      <c r="AA117" s="15">
        <f>IF(C116&gt;1,IF(int_method=2,'Client Cost HIDE'!$B$172*C116,'Client Cost HIDE'!$B$172*'Client Cost HIDE'!$B$12),0)</f>
        <v>0</v>
      </c>
      <c r="AB117" s="5">
        <f>IF(B117&gt;'Client Cost HIDE'!$B$22,AA117,0)+AB116-E116</f>
        <v>0</v>
      </c>
    </row>
    <row r="118" spans="2:29" hidden="1">
      <c r="B118" s="392">
        <v>112</v>
      </c>
      <c r="C118" s="794">
        <f t="shared" si="33"/>
        <v>0</v>
      </c>
      <c r="D118" s="233">
        <f>IF(AND(B118&gt;='Client Cost HIDE'!$D$152,B118&lt;='Client Cost HIDE'!$B$14),IF(amortized=1,'Client Cost HIDE'!$B$12/'Client Cost HIDE'!$D$151,-PPMT('Client Cost HIDE'!$B$172,$B118-'Client Cost HIDE'!$D$152+1,'Client Cost HIDE'!$D$151,'Client Cost HIDE'!$B$12)),0)</f>
        <v>0</v>
      </c>
      <c r="E118" s="758">
        <f>IF(OR('Client Cost HIDE'!$E$152&gt;B118,C117&lt;1),0,AB118)</f>
        <v>0</v>
      </c>
      <c r="F118" s="233">
        <f>IF(indexing,D118*(1+'Client Cost HIDE'!$B$175)^(B118-$B$6)-D118,0)</f>
        <v>0</v>
      </c>
      <c r="G118" s="233">
        <f>IF('Client Cost HIDE'!$C$32&lt;1,'Client Cost HIDE'!$C$32*D118,IF(C117&gt;1,'Client Cost HIDE'!$C$32,0))</f>
        <v>0</v>
      </c>
      <c r="H118" s="233">
        <f>SUM(E118:G118)*'Client Cost HIDE'!$B$28</f>
        <v>0</v>
      </c>
      <c r="I118" s="791">
        <f t="shared" si="34"/>
        <v>0</v>
      </c>
      <c r="J118" s="752">
        <f t="shared" si="35"/>
        <v>0</v>
      </c>
      <c r="K118" s="753">
        <f t="shared" si="36"/>
        <v>0</v>
      </c>
      <c r="L118" s="754">
        <f>IF('Client Cost HIDE'!$C$39&lt;1,'Client Cost HIDE'!$C$39*D118,IF(C118&gt;1,'Client Cost HIDE'!$C$39,0))</f>
        <v>0</v>
      </c>
      <c r="M118" s="233">
        <f>IF(O117&gt;0,O117*'Client Cost HIDE'!$A$177,0)</f>
        <v>0</v>
      </c>
      <c r="N118" s="755">
        <f>IF('Client Cost HIDE'!$B$14=B118,O117+L118+M118,0)</f>
        <v>0</v>
      </c>
      <c r="O118" s="755">
        <f t="shared" si="37"/>
        <v>0</v>
      </c>
      <c r="P118" s="792">
        <f t="shared" si="30"/>
        <v>0</v>
      </c>
      <c r="Q118" s="138">
        <f>IF(int_method=1,'Rep Schedule - Basic'!Q117,'Rep Schedule - Basic'!C118)</f>
        <v>0</v>
      </c>
      <c r="R118" s="759" t="e">
        <f t="shared" si="31"/>
        <v>#N/A</v>
      </c>
      <c r="S118" s="759">
        <f>IF(C118=0,0,C118-SUM($G$6:G118)-O117)</f>
        <v>0</v>
      </c>
      <c r="T118" s="759">
        <f t="shared" si="32"/>
        <v>0</v>
      </c>
      <c r="U118" s="760">
        <f t="shared" si="38"/>
        <v>-1523.2136738798367</v>
      </c>
      <c r="V118" s="254"/>
      <c r="W118" s="1" t="b">
        <f t="shared" si="39"/>
        <v>1</v>
      </c>
      <c r="AA118" s="15">
        <f>IF(C117&gt;1,IF(int_method=2,'Client Cost HIDE'!$B$172*C117,'Client Cost HIDE'!$B$172*'Client Cost HIDE'!$B$12),0)</f>
        <v>0</v>
      </c>
      <c r="AB118" s="5">
        <f>IF(B118&gt;'Client Cost HIDE'!$B$22,AA118,0)+AB117-E117</f>
        <v>0</v>
      </c>
    </row>
    <row r="119" spans="2:29" hidden="1">
      <c r="B119" s="392">
        <v>113</v>
      </c>
      <c r="C119" s="794">
        <f t="shared" si="33"/>
        <v>0</v>
      </c>
      <c r="D119" s="233">
        <f>IF(AND(B119&gt;='Client Cost HIDE'!$D$152,B119&lt;='Client Cost HIDE'!$B$14),IF(amortized=1,'Client Cost HIDE'!$B$12/'Client Cost HIDE'!$D$151,-PPMT('Client Cost HIDE'!$B$172,$B119-'Client Cost HIDE'!$D$152+1,'Client Cost HIDE'!$D$151,'Client Cost HIDE'!$B$12)),0)</f>
        <v>0</v>
      </c>
      <c r="E119" s="758">
        <f>IF(OR('Client Cost HIDE'!$E$152&gt;B119,C118&lt;1),0,AB119)</f>
        <v>0</v>
      </c>
      <c r="F119" s="233">
        <f>IF(indexing,D119*(1+'Client Cost HIDE'!$B$175)^(B119-$B$6)-D119,0)</f>
        <v>0</v>
      </c>
      <c r="G119" s="233">
        <f>IF('Client Cost HIDE'!$C$32&lt;1,'Client Cost HIDE'!$C$32*D119,IF(C118&gt;1,'Client Cost HIDE'!$C$32,0))</f>
        <v>0</v>
      </c>
      <c r="H119" s="233">
        <f>SUM(E119:G119)*'Client Cost HIDE'!$B$28</f>
        <v>0</v>
      </c>
      <c r="I119" s="791">
        <f t="shared" si="34"/>
        <v>0</v>
      </c>
      <c r="J119" s="752">
        <f t="shared" si="35"/>
        <v>0</v>
      </c>
      <c r="K119" s="753">
        <f t="shared" si="36"/>
        <v>0</v>
      </c>
      <c r="L119" s="754">
        <f>IF('Client Cost HIDE'!$C$39&lt;1,'Client Cost HIDE'!$C$39*D119,IF(C119&gt;1,'Client Cost HIDE'!$C$39,0))</f>
        <v>0</v>
      </c>
      <c r="M119" s="233">
        <f>IF(O118&gt;0,O118*'Client Cost HIDE'!$A$177,0)</f>
        <v>0</v>
      </c>
      <c r="N119" s="755">
        <f>IF('Client Cost HIDE'!$B$14=B119,O118+L119+M119,0)</f>
        <v>0</v>
      </c>
      <c r="O119" s="755">
        <f t="shared" si="37"/>
        <v>0</v>
      </c>
      <c r="P119" s="792">
        <f t="shared" si="30"/>
        <v>0</v>
      </c>
      <c r="Q119" s="138">
        <f>IF(int_method=1,'Rep Schedule - Basic'!Q118,'Rep Schedule - Basic'!C119)</f>
        <v>0</v>
      </c>
      <c r="R119" s="759" t="e">
        <f t="shared" si="31"/>
        <v>#N/A</v>
      </c>
      <c r="S119" s="759">
        <f>IF(C119=0,0,C119-SUM($G$6:G119)-O118)</f>
        <v>0</v>
      </c>
      <c r="T119" s="759">
        <f t="shared" si="32"/>
        <v>0</v>
      </c>
      <c r="U119" s="760">
        <f t="shared" si="38"/>
        <v>-1523.2136738798367</v>
      </c>
      <c r="V119" s="254"/>
      <c r="W119" s="1" t="b">
        <f t="shared" si="39"/>
        <v>1</v>
      </c>
      <c r="AA119" s="15">
        <f>IF(C118&gt;1,IF(int_method=2,'Client Cost HIDE'!$B$172*C118,'Client Cost HIDE'!$B$172*'Client Cost HIDE'!$B$12),0)</f>
        <v>0</v>
      </c>
      <c r="AB119" s="5">
        <f>IF(B119&gt;'Client Cost HIDE'!$B$22,AA119,0)+AB118-E118</f>
        <v>0</v>
      </c>
    </row>
    <row r="120" spans="2:29" hidden="1">
      <c r="B120" s="392">
        <v>114</v>
      </c>
      <c r="C120" s="794">
        <f t="shared" si="33"/>
        <v>0</v>
      </c>
      <c r="D120" s="233">
        <f>IF(AND(B120&gt;='Client Cost HIDE'!$D$152,B120&lt;='Client Cost HIDE'!$B$14),IF(amortized=1,'Client Cost HIDE'!$B$12/'Client Cost HIDE'!$D$151,-PPMT('Client Cost HIDE'!$B$172,$B120-'Client Cost HIDE'!$D$152+1,'Client Cost HIDE'!$D$151,'Client Cost HIDE'!$B$12)),0)</f>
        <v>0</v>
      </c>
      <c r="E120" s="758">
        <f>IF(OR('Client Cost HIDE'!$E$152&gt;B120,C119&lt;1),0,AB120)</f>
        <v>0</v>
      </c>
      <c r="F120" s="233">
        <f>IF(indexing,D120*(1+'Client Cost HIDE'!$B$175)^(B120-$B$6)-D120,0)</f>
        <v>0</v>
      </c>
      <c r="G120" s="233">
        <f>IF('Client Cost HIDE'!$C$32&lt;1,'Client Cost HIDE'!$C$32*D120,IF(C119&gt;1,'Client Cost HIDE'!$C$32,0))</f>
        <v>0</v>
      </c>
      <c r="H120" s="233">
        <f>SUM(E120:G120)*'Client Cost HIDE'!$B$28</f>
        <v>0</v>
      </c>
      <c r="I120" s="791">
        <f t="shared" si="34"/>
        <v>0</v>
      </c>
      <c r="J120" s="752">
        <f t="shared" si="35"/>
        <v>0</v>
      </c>
      <c r="K120" s="753">
        <f t="shared" si="36"/>
        <v>0</v>
      </c>
      <c r="L120" s="754">
        <f>IF('Client Cost HIDE'!$C$39&lt;1,'Client Cost HIDE'!$C$39*D120,IF(C120&gt;1,'Client Cost HIDE'!$C$39,0))</f>
        <v>0</v>
      </c>
      <c r="M120" s="233">
        <f>IF(O119&gt;0,O119*'Client Cost HIDE'!$A$177,0)</f>
        <v>0</v>
      </c>
      <c r="N120" s="755">
        <f>IF('Client Cost HIDE'!$B$14=B120,O119+L120+M120,0)</f>
        <v>0</v>
      </c>
      <c r="O120" s="755">
        <f t="shared" si="37"/>
        <v>0</v>
      </c>
      <c r="P120" s="792">
        <f t="shared" si="30"/>
        <v>0</v>
      </c>
      <c r="Q120" s="138">
        <f>IF(int_method=1,'Rep Schedule - Basic'!Q119,'Rep Schedule - Basic'!C120)</f>
        <v>0</v>
      </c>
      <c r="R120" s="759" t="e">
        <f t="shared" si="31"/>
        <v>#N/A</v>
      </c>
      <c r="S120" s="759">
        <f>IF(C120=0,0,C120-SUM($G$6:G120)-O119)</f>
        <v>0</v>
      </c>
      <c r="T120" s="759">
        <f t="shared" si="32"/>
        <v>0</v>
      </c>
      <c r="U120" s="760">
        <f t="shared" si="38"/>
        <v>-1523.2136738798367</v>
      </c>
      <c r="V120" s="254"/>
      <c r="W120" s="1" t="b">
        <f t="shared" si="39"/>
        <v>1</v>
      </c>
      <c r="AA120" s="15">
        <f>IF(C119&gt;1,IF(int_method=2,'Client Cost HIDE'!$B$172*C119,'Client Cost HIDE'!$B$172*'Client Cost HIDE'!$B$12),0)</f>
        <v>0</v>
      </c>
      <c r="AB120" s="5">
        <f>IF(B120&gt;'Client Cost HIDE'!$B$22,AA120,0)+AB119-E119</f>
        <v>0</v>
      </c>
    </row>
    <row r="121" spans="2:29" hidden="1">
      <c r="B121" s="392">
        <v>115</v>
      </c>
      <c r="C121" s="794">
        <f t="shared" si="33"/>
        <v>0</v>
      </c>
      <c r="D121" s="233">
        <f>IF(AND(B121&gt;='Client Cost HIDE'!$D$152,B121&lt;='Client Cost HIDE'!$B$14),IF(amortized=1,'Client Cost HIDE'!$B$12/'Client Cost HIDE'!$D$151,-PPMT('Client Cost HIDE'!$B$172,$B121-'Client Cost HIDE'!$D$152+1,'Client Cost HIDE'!$D$151,'Client Cost HIDE'!$B$12)),0)</f>
        <v>0</v>
      </c>
      <c r="E121" s="758">
        <f>IF(OR('Client Cost HIDE'!$E$152&gt;B121,C120&lt;1),0,AB121)</f>
        <v>0</v>
      </c>
      <c r="F121" s="233">
        <f>IF(indexing,D121*(1+'Client Cost HIDE'!$B$175)^(B121-$B$6)-D121,0)</f>
        <v>0</v>
      </c>
      <c r="G121" s="233">
        <f>IF('Client Cost HIDE'!$C$32&lt;1,'Client Cost HIDE'!$C$32*D121,IF(C120&gt;1,'Client Cost HIDE'!$C$32,0))</f>
        <v>0</v>
      </c>
      <c r="H121" s="233">
        <f>SUM(E121:G121)*'Client Cost HIDE'!$B$28</f>
        <v>0</v>
      </c>
      <c r="I121" s="791">
        <f t="shared" si="34"/>
        <v>0</v>
      </c>
      <c r="J121" s="752">
        <f t="shared" si="35"/>
        <v>0</v>
      </c>
      <c r="K121" s="753">
        <f t="shared" si="36"/>
        <v>0</v>
      </c>
      <c r="L121" s="754">
        <f>IF('Client Cost HIDE'!$C$39&lt;1,'Client Cost HIDE'!$C$39*D121,IF(C121&gt;1,'Client Cost HIDE'!$C$39,0))</f>
        <v>0</v>
      </c>
      <c r="M121" s="233">
        <f>IF(O120&gt;0,O120*'Client Cost HIDE'!$A$177,0)</f>
        <v>0</v>
      </c>
      <c r="N121" s="755">
        <f>IF('Client Cost HIDE'!$B$14=B121,O120+L121+M121,0)</f>
        <v>0</v>
      </c>
      <c r="O121" s="755">
        <f t="shared" si="37"/>
        <v>0</v>
      </c>
      <c r="P121" s="792">
        <f t="shared" si="30"/>
        <v>0</v>
      </c>
      <c r="Q121" s="138">
        <f>IF(int_method=1,'Rep Schedule - Basic'!Q120,'Rep Schedule - Basic'!C121)</f>
        <v>0</v>
      </c>
      <c r="R121" s="759" t="e">
        <f t="shared" si="31"/>
        <v>#N/A</v>
      </c>
      <c r="S121" s="759">
        <f>IF(C121=0,0,C121-SUM($G$6:G121)-O120)</f>
        <v>0</v>
      </c>
      <c r="T121" s="759">
        <f t="shared" si="32"/>
        <v>0</v>
      </c>
      <c r="U121" s="760">
        <f t="shared" si="38"/>
        <v>-1523.2136738798367</v>
      </c>
      <c r="V121" s="254"/>
      <c r="W121" s="1" t="b">
        <f t="shared" si="39"/>
        <v>1</v>
      </c>
      <c r="AA121" s="15">
        <f>IF(C120&gt;1,IF(int_method=2,'Client Cost HIDE'!$B$172*C120,'Client Cost HIDE'!$B$172*'Client Cost HIDE'!$B$12),0)</f>
        <v>0</v>
      </c>
      <c r="AB121" s="5">
        <f>IF(B121&gt;'Client Cost HIDE'!$B$22,AA121,0)+AB120-E120</f>
        <v>0</v>
      </c>
    </row>
    <row r="122" spans="2:29" hidden="1">
      <c r="B122" s="392">
        <v>116</v>
      </c>
      <c r="C122" s="794">
        <f t="shared" si="33"/>
        <v>0</v>
      </c>
      <c r="D122" s="233">
        <f>IF(AND(B122&gt;='Client Cost HIDE'!$D$152,B122&lt;='Client Cost HIDE'!$B$14),IF(amortized=1,'Client Cost HIDE'!$B$12/'Client Cost HIDE'!$D$151,-PPMT('Client Cost HIDE'!$B$172,$B122-'Client Cost HIDE'!$D$152+1,'Client Cost HIDE'!$D$151,'Client Cost HIDE'!$B$12)),0)</f>
        <v>0</v>
      </c>
      <c r="E122" s="758">
        <f>IF(OR('Client Cost HIDE'!$E$152&gt;B122,C121&lt;1),0,AB122)</f>
        <v>0</v>
      </c>
      <c r="F122" s="233">
        <f>IF(indexing,D122*(1+'Client Cost HIDE'!$B$175)^(B122-$B$6)-D122,0)</f>
        <v>0</v>
      </c>
      <c r="G122" s="233">
        <f>IF('Client Cost HIDE'!$C$32&lt;1,'Client Cost HIDE'!$C$32*D122,IF(C121&gt;1,'Client Cost HIDE'!$C$32,0))</f>
        <v>0</v>
      </c>
      <c r="H122" s="233">
        <f>SUM(E122:G122)*'Client Cost HIDE'!$B$28</f>
        <v>0</v>
      </c>
      <c r="I122" s="791">
        <f t="shared" si="34"/>
        <v>0</v>
      </c>
      <c r="J122" s="752">
        <f t="shared" si="35"/>
        <v>0</v>
      </c>
      <c r="K122" s="753">
        <f t="shared" si="36"/>
        <v>0</v>
      </c>
      <c r="L122" s="754">
        <f>IF('Client Cost HIDE'!$C$39&lt;1,'Client Cost HIDE'!$C$39*D122,IF(C122&gt;1,'Client Cost HIDE'!$C$39,0))</f>
        <v>0</v>
      </c>
      <c r="M122" s="233">
        <f>IF(O121&gt;0,O121*'Client Cost HIDE'!$A$177,0)</f>
        <v>0</v>
      </c>
      <c r="N122" s="755">
        <f>IF('Client Cost HIDE'!$B$14=B122,O121+L122+M122,0)</f>
        <v>0</v>
      </c>
      <c r="O122" s="755">
        <f t="shared" si="37"/>
        <v>0</v>
      </c>
      <c r="P122" s="792">
        <f t="shared" si="30"/>
        <v>0</v>
      </c>
      <c r="Q122" s="138">
        <f>IF(int_method=1,'Rep Schedule - Basic'!Q121,'Rep Schedule - Basic'!C122)</f>
        <v>0</v>
      </c>
      <c r="R122" s="759" t="e">
        <f t="shared" si="31"/>
        <v>#N/A</v>
      </c>
      <c r="S122" s="759">
        <f>IF(C122=0,0,C122-SUM($G$6:G122)-O121)</f>
        <v>0</v>
      </c>
      <c r="T122" s="759">
        <f t="shared" si="32"/>
        <v>0</v>
      </c>
      <c r="U122" s="760">
        <f t="shared" si="38"/>
        <v>-1523.2136738798367</v>
      </c>
      <c r="V122" s="254"/>
      <c r="W122" s="1" t="b">
        <f t="shared" si="39"/>
        <v>1</v>
      </c>
      <c r="AA122" s="15">
        <f>IF(C121&gt;1,IF(int_method=2,'Client Cost HIDE'!$B$172*C121,'Client Cost HIDE'!$B$172*'Client Cost HIDE'!$B$12),0)</f>
        <v>0</v>
      </c>
      <c r="AB122" s="5">
        <f>IF(B122&gt;'Client Cost HIDE'!$B$22,AA122,0)+AB121-E121</f>
        <v>0</v>
      </c>
    </row>
    <row r="123" spans="2:29" hidden="1">
      <c r="B123" s="392">
        <v>117</v>
      </c>
      <c r="C123" s="794">
        <f t="shared" si="33"/>
        <v>0</v>
      </c>
      <c r="D123" s="233">
        <f>IF(AND(B123&gt;='Client Cost HIDE'!$D$152,B123&lt;='Client Cost HIDE'!$B$14),IF(amortized=1,'Client Cost HIDE'!$B$12/'Client Cost HIDE'!$D$151,-PPMT('Client Cost HIDE'!$B$172,$B123-'Client Cost HIDE'!$D$152+1,'Client Cost HIDE'!$D$151,'Client Cost HIDE'!$B$12)),0)</f>
        <v>0</v>
      </c>
      <c r="E123" s="758">
        <f>IF(OR('Client Cost HIDE'!$E$152&gt;B123,C122&lt;1),0,AB123)</f>
        <v>0</v>
      </c>
      <c r="F123" s="233">
        <f>IF(indexing,D123*(1+'Client Cost HIDE'!$B$175)^(B123-$B$6)-D123,0)</f>
        <v>0</v>
      </c>
      <c r="G123" s="233">
        <f>IF('Client Cost HIDE'!$C$32&lt;1,'Client Cost HIDE'!$C$32*D123,IF(C122&gt;1,'Client Cost HIDE'!$C$32,0))</f>
        <v>0</v>
      </c>
      <c r="H123" s="233">
        <f>SUM(E123:G123)*'Client Cost HIDE'!$B$28</f>
        <v>0</v>
      </c>
      <c r="I123" s="791">
        <f t="shared" si="34"/>
        <v>0</v>
      </c>
      <c r="J123" s="752">
        <f t="shared" si="35"/>
        <v>0</v>
      </c>
      <c r="K123" s="753">
        <f t="shared" si="36"/>
        <v>0</v>
      </c>
      <c r="L123" s="754">
        <f>IF('Client Cost HIDE'!$C$39&lt;1,'Client Cost HIDE'!$C$39*D123,IF(C123&gt;1,'Client Cost HIDE'!$C$39,0))</f>
        <v>0</v>
      </c>
      <c r="M123" s="233">
        <f>IF(O122&gt;0,O122*'Client Cost HIDE'!$A$177,0)</f>
        <v>0</v>
      </c>
      <c r="N123" s="755">
        <f>IF('Client Cost HIDE'!$B$14=B123,O122+L123+M123,0)</f>
        <v>0</v>
      </c>
      <c r="O123" s="755">
        <f t="shared" si="37"/>
        <v>0</v>
      </c>
      <c r="P123" s="792">
        <f t="shared" si="30"/>
        <v>0</v>
      </c>
      <c r="Q123" s="138">
        <f>IF(int_method=1,'Rep Schedule - Basic'!Q122,'Rep Schedule - Basic'!C123)</f>
        <v>0</v>
      </c>
      <c r="R123" s="759" t="e">
        <f t="shared" si="31"/>
        <v>#N/A</v>
      </c>
      <c r="S123" s="759">
        <f>IF(C123=0,0,C123-SUM($G$6:G123)-O122)</f>
        <v>0</v>
      </c>
      <c r="T123" s="759">
        <f t="shared" si="32"/>
        <v>0</v>
      </c>
      <c r="U123" s="760">
        <f t="shared" si="38"/>
        <v>-1523.2136738798367</v>
      </c>
      <c r="V123" s="254"/>
      <c r="W123" s="1" t="b">
        <f t="shared" si="39"/>
        <v>1</v>
      </c>
      <c r="AA123" s="15">
        <f>IF(C122&gt;1,IF(int_method=2,'Client Cost HIDE'!$B$172*C122,'Client Cost HIDE'!$B$172*'Client Cost HIDE'!$B$12),0)</f>
        <v>0</v>
      </c>
      <c r="AB123" s="5">
        <f>IF(B123&gt;'Client Cost HIDE'!$B$22,AA123,0)+AB122-E122</f>
        <v>0</v>
      </c>
    </row>
    <row r="124" spans="2:29" hidden="1">
      <c r="B124" s="392">
        <v>118</v>
      </c>
      <c r="C124" s="794">
        <f t="shared" si="33"/>
        <v>0</v>
      </c>
      <c r="D124" s="233">
        <f>IF(AND(B124&gt;='Client Cost HIDE'!$D$152,B124&lt;='Client Cost HIDE'!$B$14),IF(amortized=1,'Client Cost HIDE'!$B$12/'Client Cost HIDE'!$D$151,-PPMT('Client Cost HIDE'!$B$172,$B124-'Client Cost HIDE'!$D$152+1,'Client Cost HIDE'!$D$151,'Client Cost HIDE'!$B$12)),0)</f>
        <v>0</v>
      </c>
      <c r="E124" s="758">
        <f>IF(OR('Client Cost HIDE'!$E$152&gt;B124,C123&lt;1),0,AB124)</f>
        <v>0</v>
      </c>
      <c r="F124" s="233">
        <f>IF(indexing,D124*(1+'Client Cost HIDE'!$B$175)^(B124-$B$6)-D124,0)</f>
        <v>0</v>
      </c>
      <c r="G124" s="233">
        <f>IF('Client Cost HIDE'!$C$32&lt;1,'Client Cost HIDE'!$C$32*D124,IF(C123&gt;1,'Client Cost HIDE'!$C$32,0))</f>
        <v>0</v>
      </c>
      <c r="H124" s="233">
        <f>SUM(E124:G124)*'Client Cost HIDE'!$B$28</f>
        <v>0</v>
      </c>
      <c r="I124" s="791">
        <f t="shared" si="34"/>
        <v>0</v>
      </c>
      <c r="J124" s="752">
        <f t="shared" si="35"/>
        <v>0</v>
      </c>
      <c r="K124" s="753">
        <f t="shared" si="36"/>
        <v>0</v>
      </c>
      <c r="L124" s="754">
        <f>IF('Client Cost HIDE'!$C$39&lt;1,'Client Cost HIDE'!$C$39*D124,IF(C124&gt;1,'Client Cost HIDE'!$C$39,0))</f>
        <v>0</v>
      </c>
      <c r="M124" s="233">
        <f>IF(O123&gt;0,O123*'Client Cost HIDE'!$A$177,0)</f>
        <v>0</v>
      </c>
      <c r="N124" s="755">
        <f>IF('Client Cost HIDE'!$B$14=B124,O123+L124+M124,0)</f>
        <v>0</v>
      </c>
      <c r="O124" s="755">
        <f t="shared" si="37"/>
        <v>0</v>
      </c>
      <c r="P124" s="792">
        <f t="shared" si="30"/>
        <v>0</v>
      </c>
      <c r="Q124" s="138">
        <f>IF(int_method=1,'Rep Schedule - Basic'!Q123,'Rep Schedule - Basic'!C124)</f>
        <v>0</v>
      </c>
      <c r="R124" s="759" t="e">
        <f t="shared" si="31"/>
        <v>#N/A</v>
      </c>
      <c r="S124" s="759">
        <f>IF(C124=0,0,C124-SUM($G$6:G124)-O123)</f>
        <v>0</v>
      </c>
      <c r="T124" s="759">
        <f t="shared" si="32"/>
        <v>0</v>
      </c>
      <c r="U124" s="760">
        <f t="shared" si="38"/>
        <v>-1523.2136738798367</v>
      </c>
      <c r="V124" s="254"/>
      <c r="W124" s="1" t="b">
        <f t="shared" si="39"/>
        <v>1</v>
      </c>
      <c r="AA124" s="15">
        <f>IF(C123&gt;1,IF(int_method=2,'Client Cost HIDE'!$B$172*C123,'Client Cost HIDE'!$B$172*'Client Cost HIDE'!$B$12),0)</f>
        <v>0</v>
      </c>
      <c r="AB124" s="5">
        <f>IF(B124&gt;'Client Cost HIDE'!$B$22,AA124,0)+AB123-E123</f>
        <v>0</v>
      </c>
    </row>
    <row r="125" spans="2:29" hidden="1">
      <c r="B125" s="392">
        <v>119</v>
      </c>
      <c r="C125" s="794">
        <f t="shared" si="33"/>
        <v>0</v>
      </c>
      <c r="D125" s="233">
        <f>IF(AND(B125&gt;='Client Cost HIDE'!$D$152,B125&lt;='Client Cost HIDE'!$B$14),IF(amortized=1,'Client Cost HIDE'!$B$12/'Client Cost HIDE'!$D$151,-PPMT('Client Cost HIDE'!$B$172,$B125-'Client Cost HIDE'!$D$152+1,'Client Cost HIDE'!$D$151,'Client Cost HIDE'!$B$12)),0)</f>
        <v>0</v>
      </c>
      <c r="E125" s="758">
        <f>IF(OR('Client Cost HIDE'!$E$152&gt;B125,C124&lt;1),0,AB125)</f>
        <v>0</v>
      </c>
      <c r="F125" s="233">
        <f>IF(indexing,D125*(1+'Client Cost HIDE'!$B$175)^(B125-$B$6)-D125,0)</f>
        <v>0</v>
      </c>
      <c r="G125" s="233">
        <f>IF('Client Cost HIDE'!$C$32&lt;1,'Client Cost HIDE'!$C$32*D125,IF(C124&gt;1,'Client Cost HIDE'!$C$32,0))</f>
        <v>0</v>
      </c>
      <c r="H125" s="233">
        <f>SUM(E125:G125)*'Client Cost HIDE'!$B$28</f>
        <v>0</v>
      </c>
      <c r="I125" s="791">
        <f t="shared" si="34"/>
        <v>0</v>
      </c>
      <c r="J125" s="752">
        <f t="shared" si="35"/>
        <v>0</v>
      </c>
      <c r="K125" s="753">
        <f t="shared" si="36"/>
        <v>0</v>
      </c>
      <c r="L125" s="754">
        <f>IF('Client Cost HIDE'!$C$39&lt;1,'Client Cost HIDE'!$C$39*D125,IF(C125&gt;1,'Client Cost HIDE'!$C$39,0))</f>
        <v>0</v>
      </c>
      <c r="M125" s="233">
        <f>IF(O124&gt;0,O124*'Client Cost HIDE'!$A$177,0)</f>
        <v>0</v>
      </c>
      <c r="N125" s="755">
        <f>IF('Client Cost HIDE'!$B$14=B125,O124+L125+M125,0)</f>
        <v>0</v>
      </c>
      <c r="O125" s="755">
        <f t="shared" si="37"/>
        <v>0</v>
      </c>
      <c r="P125" s="792">
        <f t="shared" si="30"/>
        <v>0</v>
      </c>
      <c r="Q125" s="138">
        <f>IF(int_method=1,'Rep Schedule - Basic'!Q124,'Rep Schedule - Basic'!C125)</f>
        <v>0</v>
      </c>
      <c r="R125" s="759" t="e">
        <f t="shared" si="31"/>
        <v>#N/A</v>
      </c>
      <c r="S125" s="759">
        <f>IF(C125=0,0,C125-SUM($G$6:G125)-O124)</f>
        <v>0</v>
      </c>
      <c r="T125" s="759">
        <f t="shared" si="32"/>
        <v>0</v>
      </c>
      <c r="U125" s="760">
        <f t="shared" si="38"/>
        <v>-1523.2136738798367</v>
      </c>
      <c r="V125" s="254"/>
      <c r="W125" s="1" t="b">
        <f t="shared" si="39"/>
        <v>1</v>
      </c>
      <c r="AA125" s="15">
        <f>IF(C124&gt;1,IF(int_method=2,'Client Cost HIDE'!$B$172*C124,'Client Cost HIDE'!$B$172*'Client Cost HIDE'!$B$12),0)</f>
        <v>0</v>
      </c>
      <c r="AB125" s="5">
        <f>IF(B125&gt;'Client Cost HIDE'!$B$22,AA125,0)+AB124-E124</f>
        <v>0</v>
      </c>
    </row>
    <row r="126" spans="2:29" ht="13" hidden="1" thickBot="1">
      <c r="B126" s="392">
        <v>120</v>
      </c>
      <c r="C126" s="794">
        <f t="shared" si="33"/>
        <v>0</v>
      </c>
      <c r="D126" s="233">
        <f>IF(AND(B126&gt;='Client Cost HIDE'!$D$152,B126&lt;='Client Cost HIDE'!$B$14),IF(amortized=1,'Client Cost HIDE'!$B$12/'Client Cost HIDE'!$D$151,-PPMT('Client Cost HIDE'!$B$172,$B126-'Client Cost HIDE'!$D$152+1,'Client Cost HIDE'!$D$151,'Client Cost HIDE'!$B$12)),0)</f>
        <v>0</v>
      </c>
      <c r="E126" s="758">
        <f>IF(OR('Client Cost HIDE'!$E$152&gt;B126,C125&lt;1),0,AB126)</f>
        <v>0</v>
      </c>
      <c r="F126" s="233">
        <f>IF(indexing,D126*(1+'Client Cost HIDE'!$B$175)^(B126-$B$6)-D126,0)</f>
        <v>0</v>
      </c>
      <c r="G126" s="233">
        <f>IF('Client Cost HIDE'!$C$32&lt;1,'Client Cost HIDE'!$C$32*D126,IF(C125&gt;1,'Client Cost HIDE'!$C$32,0))</f>
        <v>0</v>
      </c>
      <c r="H126" s="233">
        <f>SUM(E126:G126)*'Client Cost HIDE'!$B$28</f>
        <v>0</v>
      </c>
      <c r="I126" s="791">
        <f t="shared" si="34"/>
        <v>0</v>
      </c>
      <c r="J126" s="752">
        <f t="shared" si="35"/>
        <v>0</v>
      </c>
      <c r="K126" s="753">
        <f t="shared" si="36"/>
        <v>0</v>
      </c>
      <c r="L126" s="754">
        <f>IF('Client Cost HIDE'!$C$39&lt;1,'Client Cost HIDE'!$C$39*D126,IF(C126&gt;1,'Client Cost HIDE'!$C$39,0))</f>
        <v>0</v>
      </c>
      <c r="M126" s="233">
        <f>IF(O125&gt;0,O125*'Client Cost HIDE'!$A$177,0)</f>
        <v>0</v>
      </c>
      <c r="N126" s="755">
        <f>IF('Client Cost HIDE'!$B$14=B126,O125+L126+M126,0)</f>
        <v>0</v>
      </c>
      <c r="O126" s="755">
        <f t="shared" si="37"/>
        <v>0</v>
      </c>
      <c r="P126" s="792">
        <f t="shared" si="30"/>
        <v>0</v>
      </c>
      <c r="Q126" s="138">
        <f>IF(int_method=1,'Rep Schedule - Basic'!Q125,'Rep Schedule - Basic'!C126)</f>
        <v>0</v>
      </c>
      <c r="R126" s="759" t="e">
        <f t="shared" si="31"/>
        <v>#N/A</v>
      </c>
      <c r="S126" s="759">
        <f>IF(C126=0,0,C126-SUM($G$6:G126)-O125)</f>
        <v>0</v>
      </c>
      <c r="T126" s="759">
        <f t="shared" si="32"/>
        <v>0</v>
      </c>
      <c r="U126" s="760">
        <f t="shared" si="38"/>
        <v>-1523.2136738798367</v>
      </c>
      <c r="V126" s="254"/>
      <c r="W126" s="1" t="b">
        <f t="shared" si="39"/>
        <v>1</v>
      </c>
      <c r="AA126" s="15">
        <f>IF(C125&gt;1,IF(int_method=2,'Client Cost HIDE'!$B$172*C125,'Client Cost HIDE'!$B$172*'Client Cost HIDE'!$B$12),0)</f>
        <v>0</v>
      </c>
      <c r="AB126" s="5">
        <f>IF(B126&gt;'Client Cost HIDE'!$B$22,AA126,0)+AB125-E125</f>
        <v>0</v>
      </c>
    </row>
    <row r="127" spans="2:29" s="85" customFormat="1" ht="16" thickTop="1" thickBot="1">
      <c r="B127" s="281"/>
      <c r="C127" s="242"/>
      <c r="D127" s="350">
        <f>SUM(D7:D126)</f>
        <v>1000.0000000000001</v>
      </c>
      <c r="E127" s="350">
        <f>SUM(E7:E126)</f>
        <v>21.667400000000001</v>
      </c>
      <c r="F127" s="350">
        <f>SUM(F7:F126)</f>
        <v>0</v>
      </c>
      <c r="G127" s="350">
        <f>SUM(G6:G126)</f>
        <v>450</v>
      </c>
      <c r="H127" s="350">
        <f>SUM(H6:H126)</f>
        <v>18.866696000000001</v>
      </c>
      <c r="I127" s="709">
        <f>IF(term&lt;=$B126,IF(AND(I6,term&gt;0),IRR(I6:I126,SeedIRR)*INDEX('Client Cost HIDE'!$E164:$E166,'Client Cost HIDE'!$A164),0),0)</f>
        <v>4.0001335933884441E-2</v>
      </c>
      <c r="J127" s="710">
        <f>IF(term&lt;=$B126,IF(AND(J6,term&gt;0),IRR(J6:J126,SeedIRR)*INDEX('Client Cost HIDE'!$E164:$E166,'Client Cost HIDE'!$A164),0),0)</f>
        <v>1.3427289028799754</v>
      </c>
      <c r="K127" s="711">
        <f>IF(term&lt;=$B126,IF(AND(K6,term&gt;0),IRR(K6:K126,SeedIRR)*INDEX('Client Cost HIDE'!$E164:$E166,'Client Cost HIDE'!$A164),0),0)</f>
        <v>1.4310447899921881</v>
      </c>
      <c r="L127" s="350">
        <f>SUM(L6:L126)</f>
        <v>200</v>
      </c>
      <c r="M127" s="350">
        <f>SUM(M6:M126)</f>
        <v>51.172754036504116</v>
      </c>
      <c r="N127" s="350">
        <f>SUM(N6:N126)</f>
        <v>251.17275403650416</v>
      </c>
      <c r="O127" s="350"/>
      <c r="P127" s="709">
        <f>IF(term&lt;=B126,IF(AND(J6,term&gt;0),IRR(P6:P126,SeedIRR)*INDEX('Client Cost HIDE'!E164:E166,'Client Cost HIDE'!A164),0),0)</f>
        <v>2.6304258122998796</v>
      </c>
      <c r="Q127" s="350"/>
      <c r="R127" s="712"/>
      <c r="S127" s="712"/>
      <c r="T127" s="712">
        <f>SUM(T6:T126)</f>
        <v>7</v>
      </c>
      <c r="U127" s="713">
        <f>U126</f>
        <v>-1523.2136738798367</v>
      </c>
      <c r="V127" s="391"/>
      <c r="AC127" s="86"/>
    </row>
    <row r="128" spans="2:29" ht="13" thickTop="1">
      <c r="C128" s="388"/>
      <c r="D128" s="388"/>
      <c r="E128" s="388"/>
      <c r="F128" s="388"/>
      <c r="G128" s="389"/>
      <c r="H128" s="389"/>
      <c r="I128" s="389"/>
      <c r="J128" s="390"/>
      <c r="K128" s="390"/>
      <c r="L128" s="388"/>
      <c r="M128" s="388"/>
      <c r="N128" s="389"/>
      <c r="O128" s="388"/>
      <c r="P128" s="388"/>
      <c r="Q128" s="1"/>
      <c r="R128" s="1"/>
    </row>
    <row r="129" spans="10:11">
      <c r="J129" s="387"/>
      <c r="K129" s="387"/>
    </row>
    <row r="177" spans="3:16">
      <c r="C177" s="4">
        <f>-MAX(C6:C127,ABS(MIN(C6:C127)))</f>
        <v>-1000</v>
      </c>
      <c r="D177" s="4">
        <f>-MAX(D6:D127,ABS(MIN(D6:D127)))</f>
        <v>-1000.0000000000001</v>
      </c>
      <c r="E177" s="4">
        <f>-MAX(E6:E127,ABS(MIN(E6:E127)))</f>
        <v>-21.667400000000001</v>
      </c>
      <c r="F177" s="4">
        <f>-MAX(F6:F127,ABS(MIN(F6:F127)))</f>
        <v>0</v>
      </c>
      <c r="G177" s="4">
        <f>-MAX(G6:G127,ABS(MIN(G6:G127)))</f>
        <v>-450</v>
      </c>
      <c r="H177" s="4"/>
      <c r="I177" s="4"/>
      <c r="J177" s="4">
        <f>-MAX(J6:J127,ABS(MIN(J6:J127)))</f>
        <v>-550</v>
      </c>
      <c r="K177" s="4"/>
      <c r="L177" s="4">
        <f>-MAX(L6:L127,ABS(MIN(L6:L127)))</f>
        <v>-200</v>
      </c>
      <c r="M177" s="4">
        <f>-MAX(M6:M127,ABS(MIN(M6:M127)))</f>
        <v>-51.172754036504116</v>
      </c>
      <c r="N177" s="4">
        <f>-MAX(N6:N127,ABS(MIN(N6:N127)))</f>
        <v>-251.17275403650416</v>
      </c>
      <c r="O177" s="4">
        <f>-MAX(O6:O127,ABS(MIN(O6:O127)))</f>
        <v>-246.44914541603023</v>
      </c>
      <c r="P177" s="4">
        <f>-MAX(P6:P127,ABS(MIN(P6:P127)))</f>
        <v>-332</v>
      </c>
    </row>
  </sheetData>
  <sheetProtection password="DE0E" sheet="1" objects="1" scenarios="1" formatColumns="0"/>
  <mergeCells count="8">
    <mergeCell ref="C4:J4"/>
    <mergeCell ref="L4:P4"/>
    <mergeCell ref="W4:W5"/>
    <mergeCell ref="R4:R5"/>
    <mergeCell ref="Q4:Q5"/>
    <mergeCell ref="S4:S5"/>
    <mergeCell ref="T4:T5"/>
    <mergeCell ref="U4:U5"/>
  </mergeCells>
  <phoneticPr fontId="6" type="noConversion"/>
  <pageMargins left="0.75" right="0.75" top="1" bottom="1" header="0.5" footer="0.5"/>
  <pageSetup scale="72" orientation="landscape" useFirstPageNumber="1" horizontalDpi="4294967292" verticalDpi="4294967292"/>
  <headerFooter>
    <oddHeader>&amp;C&amp;"Arial,Bold"PRISMA ---  Cooperative San Luis Financial Projections&amp;"Arial,Regular"_x000D_Client Cost Repayment Schedule&amp;LPrinted: &amp;D at &amp;T_x000D_Projections developed with Microfin&amp;RPage &amp;P_x000D_File name: &amp;F</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DVIntRateGraph">
    <tabColor rgb="FF0070C0"/>
  </sheetPr>
  <dimension ref="A1:AD142"/>
  <sheetViews>
    <sheetView showGridLines="0" showRowColHeaders="0" tabSelected="1" zoomScale="74" zoomScaleNormal="74" zoomScalePageLayoutView="163" workbookViewId="0">
      <selection activeCell="E4" sqref="E4"/>
    </sheetView>
  </sheetViews>
  <sheetFormatPr baseColWidth="10" defaultColWidth="9.19921875" defaultRowHeight="15"/>
  <cols>
    <col min="1" max="1" width="0.796875" style="20" customWidth="1"/>
    <col min="2" max="2" width="3.796875" style="20" customWidth="1"/>
    <col min="3" max="3" width="11.19921875" style="20" customWidth="1"/>
    <col min="4" max="4" width="12.3984375" style="20" customWidth="1"/>
    <col min="5" max="16" width="11.3984375" style="20" customWidth="1"/>
    <col min="17" max="17" width="9.19921875" style="20" bestFit="1" customWidth="1"/>
    <col min="18" max="18" width="9.3984375" style="20" bestFit="1" customWidth="1"/>
    <col min="19" max="19" width="9.3984375" style="20" customWidth="1"/>
    <col min="20" max="20" width="0.796875" style="20" customWidth="1"/>
    <col min="21" max="21" width="14.3984375" style="20" customWidth="1"/>
    <col min="22" max="22" width="9.3984375" style="20" customWidth="1"/>
    <col min="23" max="23" width="9.19921875" style="20"/>
    <col min="24" max="24" width="12.796875" style="20" customWidth="1"/>
    <col min="25" max="16384" width="9.19921875" style="20"/>
  </cols>
  <sheetData>
    <row r="1" spans="2:27" ht="23.25" customHeight="1">
      <c r="B1" s="945" t="str">
        <f>Translations!A3</f>
        <v>Calculation of Transparent Pricing</v>
      </c>
      <c r="C1" s="945"/>
      <c r="D1" s="945"/>
      <c r="E1" s="945"/>
      <c r="F1" s="945"/>
      <c r="G1" s="945"/>
      <c r="H1" s="945"/>
      <c r="I1" s="953" t="str">
        <f>Translations!A208</f>
        <v>Display EIR values</v>
      </c>
      <c r="J1" s="953"/>
      <c r="K1" s="953"/>
      <c r="M1" s="172"/>
      <c r="AA1" s="572" t="b">
        <v>1</v>
      </c>
    </row>
    <row r="2" spans="2:27" ht="6" customHeight="1">
      <c r="D2" s="163"/>
      <c r="E2" s="163"/>
      <c r="F2" s="163"/>
      <c r="H2" s="163"/>
      <c r="I2" s="163"/>
      <c r="J2" s="163"/>
      <c r="K2" s="163"/>
    </row>
    <row r="3" spans="2:27" ht="20.25" customHeight="1" thickBot="1">
      <c r="B3" s="183" t="str">
        <f>Translations!A4</f>
        <v>Basic Loan Conditions</v>
      </c>
      <c r="C3" s="183"/>
      <c r="G3" s="184" t="str">
        <f>Translations!A6</f>
        <v>Amortization:</v>
      </c>
      <c r="K3" s="652" t="str">
        <f>Translations!A231</f>
        <v>MPR threshold</v>
      </c>
      <c r="W3" s="677" t="s">
        <v>554</v>
      </c>
    </row>
    <row r="4" spans="2:27" ht="19.5" customHeight="1" thickBot="1">
      <c r="B4" s="967" t="str">
        <f>Translations!A5</f>
        <v>Loan Amount:</v>
      </c>
      <c r="C4" s="967"/>
      <c r="D4" s="968"/>
      <c r="E4" s="868"/>
      <c r="G4" s="185" t="str">
        <f>Translations!A10</f>
        <v>Interest:</v>
      </c>
      <c r="I4" s="161"/>
      <c r="J4" s="161"/>
      <c r="K4" s="667">
        <v>6</v>
      </c>
      <c r="U4" s="814">
        <f>E11</f>
        <v>0</v>
      </c>
      <c r="V4" s="819" t="str">
        <f>IF(int_method=1,"Flat","Declining")</f>
        <v>Declining</v>
      </c>
      <c r="W4" s="222" t="e">
        <f>J11</f>
        <v>#NUM!</v>
      </c>
      <c r="X4" s="678" t="s">
        <v>783</v>
      </c>
    </row>
    <row r="5" spans="2:27" ht="17" thickBot="1">
      <c r="B5" s="969" t="str">
        <f>Translations!A13</f>
        <v>Term &amp; Repay Freq.</v>
      </c>
      <c r="C5" s="969"/>
      <c r="D5" s="970"/>
      <c r="E5" s="667"/>
      <c r="J5" s="700" t="str">
        <f>Translations!A25</f>
        <v>Days/per (t):</v>
      </c>
      <c r="K5" s="698">
        <f>DaysPeriod</f>
        <v>30</v>
      </c>
      <c r="U5" s="813" t="str">
        <f>IF(E14&gt;0,TEXT(E14,"0.0%")," ")&amp;" "&amp;IF(E15&gt;0,TEXT(E15,"0.0")," ")</f>
        <v xml:space="preserve">   </v>
      </c>
      <c r="V5" s="818" t="str">
        <f>IF(AND(ISBLANK(E14),ISBLANK(E15)),"","up-front")</f>
        <v/>
      </c>
      <c r="W5" s="887" t="e">
        <f>J14</f>
        <v>#NUM!</v>
      </c>
      <c r="X5" s="920" t="s">
        <v>168</v>
      </c>
    </row>
    <row r="6" spans="2:27" ht="16" thickBot="1">
      <c r="B6" s="22"/>
      <c r="C6" s="22"/>
      <c r="D6" s="22"/>
      <c r="E6" s="126" t="str">
        <f>IF(Amort=3,"",Translations!A22)</f>
        <v>Capital</v>
      </c>
      <c r="F6" s="126" t="str">
        <f>IF(IntPmt=1,Translations!A23,"")</f>
        <v>Int Pmt</v>
      </c>
      <c r="G6" s="126" t="str">
        <f>IF(IntPmt=1,Translations!A24,"")</f>
        <v>Int Calc</v>
      </c>
      <c r="H6" s="832" t="str">
        <f>IF(Amort=3,"",Translations!A195)</f>
        <v>Balloon</v>
      </c>
      <c r="J6" s="700" t="str">
        <f>Translations!A222</f>
        <v>Per/Mon (m)</v>
      </c>
      <c r="K6" s="699">
        <f>H121</f>
        <v>1</v>
      </c>
      <c r="U6" s="813" t="str">
        <f>IF(F14&gt;0,TEXT(F14,"0.0%"),"")&amp;" "&amp;IF(F15&gt;0,TEXT(F15,"0.0"),"")</f>
        <v xml:space="preserve"> </v>
      </c>
      <c r="V6" s="818" t="str">
        <f>IF(AND(ISBLANK(F14),ISBLANK(F15)),"","ongoing")</f>
        <v/>
      </c>
      <c r="W6" s="888"/>
      <c r="X6" s="921"/>
      <c r="Z6" s="20" t="s">
        <v>747</v>
      </c>
    </row>
    <row r="7" spans="2:27" ht="16.5" customHeight="1" thickBot="1">
      <c r="B7" s="947" t="str">
        <f>IF(AND(IntPmt=2,Amort=3),"",Translations!A26&amp;" ("&amp;F121&amp;")")</f>
        <v>Grace or Prepay (Months)</v>
      </c>
      <c r="C7" s="947"/>
      <c r="D7" s="948"/>
      <c r="E7" s="667"/>
      <c r="F7" s="667"/>
      <c r="G7" s="667"/>
      <c r="H7" s="667"/>
      <c r="J7" s="700" t="str">
        <f>Translations!A35</f>
        <v>Per/Yr (n):</v>
      </c>
      <c r="K7" s="699">
        <f>O121</f>
        <v>12</v>
      </c>
      <c r="U7" s="933" t="str">
        <f>IF(E16&gt;0,TEXT(E16,"0.0%"),"")&amp;" "&amp;IF(E17&gt;0,TEXT(E17,"0.0"),"")</f>
        <v xml:space="preserve"> </v>
      </c>
      <c r="V7" s="928" t="str">
        <f>IF(AND(ISBLANK(E16),ISBLANK(E17)),"","up-front")</f>
        <v/>
      </c>
      <c r="W7" s="887" t="e">
        <f>J16</f>
        <v>#NUM!</v>
      </c>
      <c r="X7" s="930" t="s">
        <v>818</v>
      </c>
    </row>
    <row r="8" spans="2:27" ht="5.25" customHeight="1" thickBot="1">
      <c r="E8" s="173"/>
      <c r="U8" s="933"/>
      <c r="V8" s="928"/>
      <c r="W8" s="929"/>
      <c r="X8" s="931"/>
    </row>
    <row r="9" spans="2:27" ht="15.75" customHeight="1" thickBot="1">
      <c r="B9" s="946" t="str">
        <f>Translations!A39</f>
        <v>Loan Pricing</v>
      </c>
      <c r="C9" s="946"/>
      <c r="D9" s="946"/>
      <c r="F9" s="696"/>
      <c r="G9" s="696"/>
      <c r="H9" s="217" t="str">
        <f>Translations!A36</f>
        <v>Period</v>
      </c>
      <c r="I9" s="215" t="str">
        <f>Translations!A223</f>
        <v>MPR (nom)</v>
      </c>
      <c r="J9" s="215" t="str">
        <f>Translations!A37</f>
        <v>APR (nom)</v>
      </c>
      <c r="K9" s="216" t="str">
        <f>Translations!A38</f>
        <v>EIR (comp)</v>
      </c>
      <c r="U9" s="813" t="str">
        <f>IF(F16&gt;0,TEXT(F16,"0.0%"),"")&amp;" "&amp;IF(F17&gt;0,TEXT(F17,"0.0"),"")</f>
        <v xml:space="preserve"> </v>
      </c>
      <c r="V9" s="818" t="str">
        <f>IF(AND(ISBLANK(F16),ISBLANK(F17)),"","ongoing")</f>
        <v/>
      </c>
      <c r="W9" s="889"/>
      <c r="X9" s="932"/>
      <c r="Z9" s="31" t="s">
        <v>60</v>
      </c>
    </row>
    <row r="10" spans="2:27" ht="18" thickBot="1">
      <c r="B10" s="967" t="str">
        <f>Translations!$A$40</f>
        <v>Nominal interest Rate (%)</v>
      </c>
      <c r="C10" s="967"/>
      <c r="D10" s="968"/>
      <c r="E10" s="761"/>
      <c r="F10" s="30"/>
      <c r="G10" s="30"/>
      <c r="H10" s="268" t="s">
        <v>73</v>
      </c>
      <c r="I10" s="799" t="s">
        <v>1119</v>
      </c>
      <c r="J10" s="269" t="s">
        <v>202</v>
      </c>
      <c r="K10" s="270" t="s">
        <v>203</v>
      </c>
      <c r="L10" s="166"/>
      <c r="U10" s="817" t="str">
        <f>IF(F18&gt;0,F18,"")</f>
        <v/>
      </c>
      <c r="V10" s="818" t="str">
        <f>IF(ISNUMBER(U10),IF(U10&gt;0,"on fees",""),"")</f>
        <v/>
      </c>
      <c r="W10" s="887" t="e">
        <f>J18</f>
        <v>#NUM!</v>
      </c>
      <c r="X10" s="920" t="s">
        <v>819</v>
      </c>
      <c r="Z10" s="227">
        <f>IF(SUM(E20:F20)&lt;0.5,0.01,0.3)</f>
        <v>0.01</v>
      </c>
    </row>
    <row r="11" spans="2:27" ht="19" thickBot="1">
      <c r="B11" s="973" t="str">
        <f>Translations!A160</f>
        <v>Nominal Annual &amp; Method</v>
      </c>
      <c r="C11" s="973"/>
      <c r="D11" s="974"/>
      <c r="E11" s="272">
        <f>E10*O123</f>
        <v>0</v>
      </c>
      <c r="F11" s="271"/>
      <c r="G11" s="271"/>
      <c r="H11" s="804" t="e">
        <f>'Rep Schedule - Advanced'!M195</f>
        <v>#NUM!</v>
      </c>
      <c r="I11" s="829" t="e">
        <f>'Rep Schedule - Advanced'!M211</f>
        <v>#NUM!</v>
      </c>
      <c r="J11" s="829" t="e">
        <f>'Rep Schedule - Advanced'!M212</f>
        <v>#NUM!</v>
      </c>
      <c r="K11" s="223" t="e">
        <f>'Rep Schedule - Advanced'!M213</f>
        <v>#NUM!</v>
      </c>
      <c r="L11" s="164"/>
      <c r="U11" s="817" t="str">
        <f>IF(F19&gt;0,F19,"")</f>
        <v/>
      </c>
      <c r="V11" s="818" t="str">
        <f>IF(ISNUMBER(U11),IF(U11&gt;0,"on interest",""),"")</f>
        <v/>
      </c>
      <c r="W11" s="889"/>
      <c r="X11" s="921"/>
      <c r="Z11" s="31" t="s">
        <v>61</v>
      </c>
    </row>
    <row r="12" spans="2:27" ht="3.75" customHeight="1" thickBot="1">
      <c r="B12" s="22"/>
      <c r="C12" s="22"/>
      <c r="D12" s="653"/>
      <c r="E12" s="21"/>
      <c r="F12" s="21"/>
      <c r="G12" s="30"/>
      <c r="H12" s="171"/>
      <c r="I12" s="21"/>
      <c r="J12" s="172"/>
      <c r="K12" s="172"/>
      <c r="L12" s="165"/>
      <c r="V12" s="820"/>
      <c r="W12" s="887" t="e">
        <f>J20</f>
        <v>#NUM!</v>
      </c>
      <c r="X12" s="925" t="s">
        <v>820</v>
      </c>
    </row>
    <row r="13" spans="2:27" ht="16.5" customHeight="1" thickBot="1">
      <c r="B13" s="971" t="str">
        <f>IF(SUM(Z14:Z15)&gt;0,"Note! Using S.Africa fee limits",LblOk)</f>
        <v xml:space="preserve"> </v>
      </c>
      <c r="C13" s="971"/>
      <c r="D13" s="972"/>
      <c r="E13" s="186" t="str">
        <f>Translations!A44</f>
        <v>Upfront</v>
      </c>
      <c r="F13" s="186" t="str">
        <f>Translations!A45</f>
        <v>Ongoing</v>
      </c>
      <c r="G13" s="187" t="str">
        <f>Translations!A46</f>
        <v>Increment</v>
      </c>
      <c r="H13" s="922" t="str">
        <f>IF(ManualMode=TRUE,Translations!A100,LblOk)</f>
        <v xml:space="preserve"> </v>
      </c>
      <c r="I13" s="923"/>
      <c r="J13" s="923"/>
      <c r="K13" s="923"/>
      <c r="L13" s="165"/>
      <c r="U13" s="813" t="str">
        <f>IF(E20&gt;0,TEXT(E20,"0.0%"),"")&amp;" "&amp;IF(E21&gt;0,TEXT(E21,"0.0"),"")</f>
        <v xml:space="preserve"> </v>
      </c>
      <c r="V13" s="818" t="str">
        <f>IF(AND(ISBLANK(E20),ISBLANK(E21)),"","up-front")</f>
        <v/>
      </c>
      <c r="W13" s="929"/>
      <c r="X13" s="926"/>
    </row>
    <row r="14" spans="2:27" ht="15.75" customHeight="1" thickBot="1">
      <c r="B14" s="949" t="str">
        <f>Translations!A47</f>
        <v>Fee (%)</v>
      </c>
      <c r="C14" s="950"/>
      <c r="D14" s="951"/>
      <c r="E14" s="669"/>
      <c r="F14" s="670"/>
      <c r="G14" s="980" t="e">
        <f>J14-J11</f>
        <v>#NUM!</v>
      </c>
      <c r="H14" s="913" t="e">
        <f>'Rep Schedule - Advanced'!P195</f>
        <v>#NUM!</v>
      </c>
      <c r="I14" s="909" t="e">
        <f>'Rep Schedule - Advanced'!P211</f>
        <v>#NUM!</v>
      </c>
      <c r="J14" s="909" t="e">
        <f>'Rep Schedule - Advanced'!P212</f>
        <v>#NUM!</v>
      </c>
      <c r="K14" s="887" t="e">
        <f>'Rep Schedule - Advanced'!P213</f>
        <v>#NUM!</v>
      </c>
      <c r="L14" s="982"/>
      <c r="U14" s="813" t="str">
        <f>IF(F20&gt;0,TEXT(F20,"0.0%"),"")&amp;" "&amp;IF(F21&gt;0,TEXT(F21,"0.0"),"")</f>
        <v xml:space="preserve"> </v>
      </c>
      <c r="V14" s="818" t="str">
        <f>IF(AND(ISBLANK(F20),ISBLANK(F21)),"","ongoing")</f>
        <v/>
      </c>
      <c r="W14" s="889"/>
      <c r="X14" s="927"/>
      <c r="Z14" s="592"/>
      <c r="AA14" s="20" t="s">
        <v>757</v>
      </c>
    </row>
    <row r="15" spans="2:27" ht="17" thickBot="1">
      <c r="B15" s="893" t="str">
        <f>Translations!A48</f>
        <v>Fee (fixed amount)</v>
      </c>
      <c r="C15" s="894"/>
      <c r="D15" s="895"/>
      <c r="E15" s="671"/>
      <c r="F15" s="672"/>
      <c r="G15" s="981"/>
      <c r="H15" s="914"/>
      <c r="I15" s="910"/>
      <c r="J15" s="910"/>
      <c r="K15" s="924"/>
      <c r="L15" s="982"/>
      <c r="Z15" s="592"/>
      <c r="AA15" s="20" t="s">
        <v>804</v>
      </c>
    </row>
    <row r="16" spans="2:27" ht="16">
      <c r="B16" s="896" t="str">
        <f>Translations!A199</f>
        <v>Insurance (%)</v>
      </c>
      <c r="C16" s="897"/>
      <c r="D16" s="898"/>
      <c r="E16" s="669"/>
      <c r="F16" s="670"/>
      <c r="G16" s="911" t="e">
        <f>J16-J14</f>
        <v>#NUM!</v>
      </c>
      <c r="H16" s="913" t="e">
        <f>'Rep Schedule - Advanced'!T195</f>
        <v>#NUM!</v>
      </c>
      <c r="I16" s="909" t="e">
        <f>'Rep Schedule - Advanced'!T211</f>
        <v>#NUM!</v>
      </c>
      <c r="J16" s="909" t="e">
        <f>'Rep Schedule - Advanced'!T212</f>
        <v>#NUM!</v>
      </c>
      <c r="K16" s="887" t="e">
        <f>'Rep Schedule - Advanced'!T213</f>
        <v>#NUM!</v>
      </c>
      <c r="L16" s="593"/>
      <c r="V16" s="22" t="s">
        <v>1151</v>
      </c>
      <c r="W16" s="815">
        <f>cost_1</f>
        <v>0</v>
      </c>
      <c r="Z16" s="601"/>
    </row>
    <row r="17" spans="2:30" ht="17" thickBot="1">
      <c r="B17" s="975" t="str">
        <f>Translations!A200</f>
        <v>Insurance (fixed amount)</v>
      </c>
      <c r="C17" s="976"/>
      <c r="D17" s="977"/>
      <c r="E17" s="671"/>
      <c r="F17" s="672"/>
      <c r="G17" s="912"/>
      <c r="H17" s="914"/>
      <c r="I17" s="910"/>
      <c r="J17" s="910"/>
      <c r="K17" s="924"/>
      <c r="L17" s="593"/>
      <c r="V17" s="22" t="s">
        <v>1152</v>
      </c>
      <c r="W17" s="20">
        <f>term</f>
        <v>0</v>
      </c>
      <c r="X17" s="167" t="str">
        <f>F121</f>
        <v>Months</v>
      </c>
      <c r="Z17" s="601"/>
    </row>
    <row r="18" spans="2:30" ht="18" customHeight="1" thickTop="1" thickBot="1">
      <c r="B18" s="954" t="str">
        <f>Translations!A49</f>
        <v>Value-Added Tax (%)</v>
      </c>
      <c r="C18" s="955"/>
      <c r="D18" s="956"/>
      <c r="E18" s="657" t="s">
        <v>800</v>
      </c>
      <c r="F18" s="670"/>
      <c r="G18" s="911" t="e">
        <f>J18-J16</f>
        <v>#NUM!</v>
      </c>
      <c r="H18" s="904" t="e">
        <f>'Rep Schedule - Advanced'!W195</f>
        <v>#NUM!</v>
      </c>
      <c r="I18" s="909" t="e">
        <f>'Rep Schedule - Advanced'!W211</f>
        <v>#NUM!</v>
      </c>
      <c r="J18" s="909" t="e">
        <f>'Rep Schedule - Advanced'!W212</f>
        <v>#NUM!</v>
      </c>
      <c r="K18" s="940" t="e">
        <f>'Rep Schedule - Advanced'!W213</f>
        <v>#NUM!</v>
      </c>
      <c r="L18" s="934" t="str">
        <f>Translations!A84</f>
        <v>Total Financial Cost to the Client</v>
      </c>
      <c r="M18" s="935"/>
      <c r="N18" s="935"/>
      <c r="O18" s="935"/>
      <c r="P18" s="906" t="str">
        <f>Translations!A196</f>
        <v>Transparency Index</v>
      </c>
      <c r="Q18" s="907"/>
      <c r="R18" s="908"/>
      <c r="S18" s="695" t="e">
        <f>E11/J20*100</f>
        <v>#NUM!</v>
      </c>
      <c r="T18" s="694"/>
      <c r="V18" s="22" t="s">
        <v>1153</v>
      </c>
      <c r="W18" s="816">
        <f>E22</f>
        <v>0</v>
      </c>
      <c r="X18" s="20" t="s">
        <v>191</v>
      </c>
    </row>
    <row r="19" spans="2:30" ht="18" customHeight="1" thickBot="1">
      <c r="B19" s="957"/>
      <c r="C19" s="958"/>
      <c r="D19" s="959"/>
      <c r="E19" s="657" t="s">
        <v>801</v>
      </c>
      <c r="F19" s="673"/>
      <c r="G19" s="912"/>
      <c r="H19" s="905"/>
      <c r="I19" s="952"/>
      <c r="J19" s="952"/>
      <c r="K19" s="941"/>
      <c r="L19" s="917" t="str">
        <f>Translations!A85</f>
        <v>Total Cost (less Sec.Dep. int):</v>
      </c>
      <c r="M19" s="918"/>
      <c r="N19" s="919"/>
      <c r="O19" s="865">
        <f>SUM(G25:J25)-L25</f>
        <v>0</v>
      </c>
      <c r="P19" s="915" t="str">
        <f>Translations!A81&amp;" "&amp;term&amp;" "&amp;INDEX(G112:G120,E112)&amp;Translations!A82</f>
        <v>in  Months, or …..</v>
      </c>
      <c r="Q19" s="916"/>
      <c r="R19" s="867" t="e">
        <f>O19*INDEX(J112:J120,E112)/term</f>
        <v>#DIV/0!</v>
      </c>
      <c r="S19" s="736" t="str">
        <f>Translations!A83</f>
        <v>in 1 year</v>
      </c>
      <c r="T19" s="766"/>
    </row>
    <row r="20" spans="2:30" ht="15.75" customHeight="1" thickBot="1">
      <c r="B20" s="896" t="str">
        <f>Translations!A50</f>
        <v>Security Deposit (%)</v>
      </c>
      <c r="C20" s="897"/>
      <c r="D20" s="898"/>
      <c r="E20" s="675"/>
      <c r="F20" s="674"/>
      <c r="G20" s="911" t="e">
        <f>J20-J18</f>
        <v>#NUM!</v>
      </c>
      <c r="H20" s="913" t="e">
        <f>'Rep Schedule - Advanced'!AC195</f>
        <v>#NUM!</v>
      </c>
      <c r="I20" s="909" t="e">
        <f>'Rep Schedule - Advanced'!AC211</f>
        <v>#NUM!</v>
      </c>
      <c r="J20" s="909" t="e">
        <f>'Rep Schedule - Advanced'!AC212</f>
        <v>#NUM!</v>
      </c>
      <c r="K20" s="938" t="e">
        <f>'Rep Schedule - Advanced'!AC213</f>
        <v>#NUM!</v>
      </c>
      <c r="L20" s="917" t="str">
        <f>Translations!A86</f>
        <v>Avg net loan balance:</v>
      </c>
      <c r="M20" s="918"/>
      <c r="N20" s="919"/>
      <c r="O20" s="865">
        <f>'Rep Schedule - Advanced'!AK195</f>
        <v>1E-4</v>
      </c>
      <c r="P20" s="962" t="e">
        <f>Translations!A177&amp;" "&amp;TEXT(O20/E4,"00%")&amp;" "&amp;Translations!A89</f>
        <v>#DIV/0!</v>
      </c>
      <c r="Q20" s="963"/>
      <c r="R20" s="963"/>
      <c r="S20" s="964"/>
      <c r="T20" s="173"/>
    </row>
    <row r="21" spans="2:30" ht="17" thickBot="1">
      <c r="B21" s="901" t="str">
        <f>Translations!A51</f>
        <v>Security Deposit (fixed)</v>
      </c>
      <c r="C21" s="902"/>
      <c r="D21" s="903"/>
      <c r="E21" s="671"/>
      <c r="F21" s="672"/>
      <c r="G21" s="912"/>
      <c r="H21" s="914"/>
      <c r="I21" s="910"/>
      <c r="J21" s="910"/>
      <c r="K21" s="939"/>
      <c r="L21" s="936" t="str">
        <f>Translations!A87</f>
        <v>Client Breakeven Point:</v>
      </c>
      <c r="M21" s="937"/>
      <c r="N21" s="650" t="e">
        <f>IF(R19&gt;0,O20/R19,0)</f>
        <v>#DIV/0!</v>
      </c>
      <c r="O21" s="942" t="str">
        <f>Translations!A90</f>
        <v>Years until total loan cost equals the avg loan balance</v>
      </c>
      <c r="P21" s="943"/>
      <c r="Q21" s="943"/>
      <c r="R21" s="943"/>
      <c r="S21" s="944"/>
      <c r="T21" s="676"/>
    </row>
    <row r="22" spans="2:30" ht="17" thickBot="1">
      <c r="B22" s="890" t="str">
        <f>Translations!A52</f>
        <v>Interest Paid on Deposit (%)</v>
      </c>
      <c r="C22" s="891"/>
      <c r="D22" s="892"/>
      <c r="E22" s="668"/>
      <c r="F22" s="965" t="e">
        <f>IF(OR(ISERR(I20),I20&lt;-0.01),Translations!A98,".")</f>
        <v>#NUM!</v>
      </c>
      <c r="G22" s="966"/>
      <c r="H22" s="966"/>
      <c r="I22" s="966"/>
      <c r="J22" s="966"/>
      <c r="K22" s="797"/>
      <c r="L22" s="978" t="str">
        <f>Translations!A88</f>
        <v>Negative Net Balance for:</v>
      </c>
      <c r="M22" s="979"/>
      <c r="N22" s="648">
        <f>IF('Rep Schedule - Advanced'!AI189&gt;0,'Rep Schedule - Advanced'!AI189+1,0)</f>
        <v>0</v>
      </c>
      <c r="O22" s="960" t="str">
        <f>INDEX(G112:G120,E112)&amp;Translations!A91</f>
        <v>Months, which is….</v>
      </c>
      <c r="P22" s="961"/>
      <c r="Q22" s="649" t="str">
        <f>IF(term&gt;0,N22/term,"")</f>
        <v/>
      </c>
      <c r="R22" s="899" t="str">
        <f>Translations!A92</f>
        <v>% of loan term</v>
      </c>
      <c r="S22" s="900"/>
    </row>
    <row r="23" spans="2:30" ht="5.25" customHeight="1" thickBot="1">
      <c r="E23" s="32"/>
    </row>
    <row r="24" spans="2:30" ht="34.5" customHeight="1" thickBot="1">
      <c r="B24" s="886" t="str">
        <f>Translations!A99</f>
        <v>Repayment Schedule</v>
      </c>
      <c r="C24" s="886"/>
      <c r="D24" s="202" t="str">
        <f>'Rep Schedule - Advanced'!G5</f>
        <v>Principal Disbursed</v>
      </c>
      <c r="E24" s="175" t="str">
        <f>'Rep Schedule - Advanced'!H5</f>
        <v>Principal Paid</v>
      </c>
      <c r="F24" s="175" t="str">
        <f>'Rep Schedule - Advanced'!J5</f>
        <v>Balance</v>
      </c>
      <c r="G24" s="175" t="str">
        <f>'Rep Schedule - Advanced'!K5</f>
        <v>Interest Paid</v>
      </c>
      <c r="H24" s="739" t="str">
        <f>'Rep Schedule - Advanced'!N5</f>
        <v>Fees Paid</v>
      </c>
      <c r="I24" s="175" t="str">
        <f>'Rep Schedule - Advanced'!R5</f>
        <v>Insurance Paid</v>
      </c>
      <c r="J24" s="175" t="str">
        <f>'Rep Schedule - Advanced'!U5</f>
        <v>Taxes</v>
      </c>
      <c r="K24" s="201" t="str">
        <f>'Rep Schedule - Advanced'!X5</f>
        <v>Security Deposit</v>
      </c>
      <c r="L24" s="175" t="str">
        <f>'Rep Schedule - Advanced'!Y5</f>
        <v>Interest Paid</v>
      </c>
      <c r="M24" s="175" t="str">
        <f>'Rep Schedule - Advanced'!Z5</f>
        <v>Deposit Withdr.</v>
      </c>
      <c r="N24" s="176" t="str">
        <f>'Rep Schedule - Advanced'!AB5</f>
        <v>Deposit Balance</v>
      </c>
      <c r="O24" s="543" t="str">
        <f>Translations!A101</f>
        <v>Divisor</v>
      </c>
      <c r="P24" s="737" t="str">
        <f>Translations!A75</f>
        <v>Inflows (Prin+Int)</v>
      </c>
      <c r="Q24" s="738" t="str">
        <f>Translations!A76</f>
        <v>Outflows (Prin+Int)</v>
      </c>
      <c r="R24" s="176" t="str">
        <f>'Rep Schedule - Advanced'!Q5</f>
        <v>Period APR</v>
      </c>
      <c r="S24" s="798" t="str">
        <f>Translations!A198</f>
        <v>Cumulative Total Paid</v>
      </c>
    </row>
    <row r="25" spans="2:30" ht="16" thickBot="1">
      <c r="B25" s="203"/>
      <c r="C25" s="203" t="str">
        <f t="shared" ref="C25:I25" si="0">C87</f>
        <v>Totals</v>
      </c>
      <c r="D25" s="178">
        <f t="shared" si="0"/>
        <v>1E-4</v>
      </c>
      <c r="E25" s="177">
        <f t="shared" si="0"/>
        <v>0</v>
      </c>
      <c r="F25" s="179">
        <f t="shared" si="0"/>
        <v>0</v>
      </c>
      <c r="G25" s="177">
        <f t="shared" si="0"/>
        <v>0</v>
      </c>
      <c r="H25" s="177">
        <f t="shared" si="0"/>
        <v>0</v>
      </c>
      <c r="I25" s="177">
        <f t="shared" si="0"/>
        <v>0</v>
      </c>
      <c r="J25" s="177">
        <f t="shared" ref="J25:R25" si="1">J87</f>
        <v>0</v>
      </c>
      <c r="K25" s="178">
        <f t="shared" si="1"/>
        <v>0</v>
      </c>
      <c r="L25" s="177">
        <f t="shared" si="1"/>
        <v>0</v>
      </c>
      <c r="M25" s="180">
        <f t="shared" si="1"/>
        <v>0</v>
      </c>
      <c r="N25" s="180">
        <f t="shared" si="1"/>
        <v>0</v>
      </c>
      <c r="O25" s="544">
        <f t="shared" si="1"/>
        <v>0</v>
      </c>
      <c r="P25" s="545" t="e">
        <f t="shared" si="1"/>
        <v>#NUM!</v>
      </c>
      <c r="Q25" s="546" t="e">
        <f t="shared" si="1"/>
        <v>#NUM!</v>
      </c>
      <c r="R25" s="658">
        <f t="shared" si="1"/>
        <v>0</v>
      </c>
      <c r="S25" s="659"/>
    </row>
    <row r="26" spans="2:30">
      <c r="B26" s="167">
        <f>'Rep Schedule - Advanced'!B6</f>
        <v>0</v>
      </c>
      <c r="C26" s="486">
        <f>'Rep Schedule - Advanced'!E6</f>
        <v>40343</v>
      </c>
      <c r="D26" s="205">
        <f>'Rep Schedule - Advanced'!G6</f>
        <v>1E-4</v>
      </c>
      <c r="E26" s="206">
        <f>'Rep Schedule - Advanced'!H6</f>
        <v>0</v>
      </c>
      <c r="F26" s="207">
        <f>'Rep Schedule - Advanced'!J6</f>
        <v>1E-4</v>
      </c>
      <c r="G26" s="480">
        <f>'Rep Schedule - Advanced'!K6</f>
        <v>0</v>
      </c>
      <c r="H26" s="480">
        <f>'Rep Schedule - Advanced'!N6</f>
        <v>0</v>
      </c>
      <c r="I26" s="480">
        <f>'Rep Schedule - Advanced'!R6</f>
        <v>0</v>
      </c>
      <c r="J26" s="480">
        <f>'Rep Schedule - Advanced'!U6</f>
        <v>0</v>
      </c>
      <c r="K26" s="205">
        <f>'Rep Schedule - Advanced'!X6</f>
        <v>0</v>
      </c>
      <c r="L26" s="206">
        <f>'Rep Schedule - Advanced'!Y6</f>
        <v>0</v>
      </c>
      <c r="M26" s="208">
        <f>'Rep Schedule - Advanced'!Z6</f>
        <v>0</v>
      </c>
      <c r="N26" s="209">
        <f>'Rep Schedule - Advanced'!AB6</f>
        <v>0</v>
      </c>
      <c r="O26" s="547">
        <f>'Rep Schedule - Advanced'!BI6</f>
        <v>1</v>
      </c>
      <c r="P26" s="548">
        <f>'Rep Schedule - Advanced'!BK6</f>
        <v>1E-4</v>
      </c>
      <c r="Q26" s="549">
        <f>'Rep Schedule - Advanced'!BL6</f>
        <v>0</v>
      </c>
      <c r="R26" s="660"/>
      <c r="S26" s="213">
        <f t="shared" ref="S26:S57" si="2">S25+SUM(G26:J26)</f>
        <v>0</v>
      </c>
      <c r="AD26" s="167" t="str">
        <f>'Rep Schedule - Advanced'!AN6</f>
        <v>x</v>
      </c>
    </row>
    <row r="27" spans="2:30">
      <c r="B27" s="167">
        <f>'Rep Schedule - Advanced'!B7</f>
        <v>1</v>
      </c>
      <c r="C27" s="486">
        <f>'Rep Schedule - Advanced'!E7</f>
        <v>40373</v>
      </c>
      <c r="D27" s="210">
        <f>'Rep Schedule - Advanced'!G7</f>
        <v>0</v>
      </c>
      <c r="E27" s="211">
        <f>'Rep Schedule - Advanced'!H7</f>
        <v>0</v>
      </c>
      <c r="F27" s="212">
        <f>'Rep Schedule - Advanced'!J7</f>
        <v>0</v>
      </c>
      <c r="G27" s="481">
        <f>'Rep Schedule - Advanced'!K7</f>
        <v>0</v>
      </c>
      <c r="H27" s="481">
        <f>'Rep Schedule - Advanced'!N7</f>
        <v>0</v>
      </c>
      <c r="I27" s="481">
        <f>'Rep Schedule - Advanced'!R7</f>
        <v>0</v>
      </c>
      <c r="J27" s="481">
        <f>'Rep Schedule - Advanced'!U7</f>
        <v>0</v>
      </c>
      <c r="K27" s="210">
        <f>'Rep Schedule - Advanced'!X7</f>
        <v>0</v>
      </c>
      <c r="L27" s="211">
        <f>'Rep Schedule - Advanced'!Y7</f>
        <v>0</v>
      </c>
      <c r="M27" s="213">
        <f>'Rep Schedule - Advanced'!Z7</f>
        <v>0</v>
      </c>
      <c r="N27" s="214">
        <f>'Rep Schedule - Advanced'!AB7</f>
        <v>0</v>
      </c>
      <c r="O27" s="550" t="e">
        <f>'Rep Schedule - Advanced'!BI7</f>
        <v>#NUM!</v>
      </c>
      <c r="P27" s="551" t="e">
        <f>'Rep Schedule - Advanced'!BK7</f>
        <v>#NUM!</v>
      </c>
      <c r="Q27" s="552" t="e">
        <f>'Rep Schedule - Advanced'!BL7</f>
        <v>#NUM!</v>
      </c>
      <c r="R27" s="661">
        <f>'Rep Schedule - Advanced'!Q7</f>
        <v>0</v>
      </c>
      <c r="S27" s="213">
        <f t="shared" si="2"/>
        <v>0</v>
      </c>
      <c r="AD27" s="167" t="str">
        <f>'Rep Schedule - Advanced'!AN7</f>
        <v>x</v>
      </c>
    </row>
    <row r="28" spans="2:30">
      <c r="B28" s="167">
        <f>'Rep Schedule - Advanced'!B8</f>
        <v>2</v>
      </c>
      <c r="C28" s="486">
        <f>'Rep Schedule - Advanced'!E8</f>
        <v>40404</v>
      </c>
      <c r="D28" s="210">
        <f>'Rep Schedule - Advanced'!G8</f>
        <v>0</v>
      </c>
      <c r="E28" s="211">
        <f>'Rep Schedule - Advanced'!H8</f>
        <v>0</v>
      </c>
      <c r="F28" s="212">
        <f>'Rep Schedule - Advanced'!J8</f>
        <v>0</v>
      </c>
      <c r="G28" s="481">
        <f>'Rep Schedule - Advanced'!K8</f>
        <v>0</v>
      </c>
      <c r="H28" s="481">
        <f>'Rep Schedule - Advanced'!N8</f>
        <v>0</v>
      </c>
      <c r="I28" s="481">
        <f>'Rep Schedule - Advanced'!R8</f>
        <v>0</v>
      </c>
      <c r="J28" s="481">
        <f>'Rep Schedule - Advanced'!U8</f>
        <v>0</v>
      </c>
      <c r="K28" s="210">
        <f>'Rep Schedule - Advanced'!X8</f>
        <v>0</v>
      </c>
      <c r="L28" s="211">
        <f>'Rep Schedule - Advanced'!Y8</f>
        <v>0</v>
      </c>
      <c r="M28" s="213">
        <f>'Rep Schedule - Advanced'!Z8</f>
        <v>0</v>
      </c>
      <c r="N28" s="214">
        <f>'Rep Schedule - Advanced'!AB8</f>
        <v>0</v>
      </c>
      <c r="O28" s="550" t="e">
        <f>'Rep Schedule - Advanced'!BI8</f>
        <v>#NUM!</v>
      </c>
      <c r="P28" s="551" t="e">
        <f>'Rep Schedule - Advanced'!BK8</f>
        <v>#NUM!</v>
      </c>
      <c r="Q28" s="552" t="e">
        <f>'Rep Schedule - Advanced'!BL8</f>
        <v>#NUM!</v>
      </c>
      <c r="R28" s="661">
        <f>'Rep Schedule - Advanced'!Q8</f>
        <v>0</v>
      </c>
      <c r="S28" s="213">
        <f t="shared" si="2"/>
        <v>0</v>
      </c>
      <c r="AD28" s="167" t="b">
        <f>'Rep Schedule - Advanced'!AN8</f>
        <v>1</v>
      </c>
    </row>
    <row r="29" spans="2:30">
      <c r="B29" s="167">
        <f>'Rep Schedule - Advanced'!B9</f>
        <v>3</v>
      </c>
      <c r="C29" s="486">
        <f>'Rep Schedule - Advanced'!E9</f>
        <v>40435</v>
      </c>
      <c r="D29" s="210">
        <f>'Rep Schedule - Advanced'!G9</f>
        <v>0</v>
      </c>
      <c r="E29" s="211">
        <f>'Rep Schedule - Advanced'!H9</f>
        <v>0</v>
      </c>
      <c r="F29" s="212">
        <f>'Rep Schedule - Advanced'!J9</f>
        <v>0</v>
      </c>
      <c r="G29" s="481">
        <f>'Rep Schedule - Advanced'!K9</f>
        <v>0</v>
      </c>
      <c r="H29" s="481">
        <f>'Rep Schedule - Advanced'!N9</f>
        <v>0</v>
      </c>
      <c r="I29" s="481">
        <f>'Rep Schedule - Advanced'!R9</f>
        <v>0</v>
      </c>
      <c r="J29" s="481">
        <f>'Rep Schedule - Advanced'!U9</f>
        <v>0</v>
      </c>
      <c r="K29" s="210">
        <f>'Rep Schedule - Advanced'!X9</f>
        <v>0</v>
      </c>
      <c r="L29" s="211">
        <f>'Rep Schedule - Advanced'!Y9</f>
        <v>0</v>
      </c>
      <c r="M29" s="213">
        <f>'Rep Schedule - Advanced'!Z9</f>
        <v>0</v>
      </c>
      <c r="N29" s="214">
        <f>'Rep Schedule - Advanced'!AB9</f>
        <v>0</v>
      </c>
      <c r="O29" s="550" t="e">
        <f>'Rep Schedule - Advanced'!BI9</f>
        <v>#NUM!</v>
      </c>
      <c r="P29" s="551" t="e">
        <f>'Rep Schedule - Advanced'!BK9</f>
        <v>#NUM!</v>
      </c>
      <c r="Q29" s="552" t="e">
        <f>'Rep Schedule - Advanced'!BL9</f>
        <v>#NUM!</v>
      </c>
      <c r="R29" s="661">
        <f>'Rep Schedule - Advanced'!Q9</f>
        <v>0</v>
      </c>
      <c r="S29" s="213">
        <f t="shared" si="2"/>
        <v>0</v>
      </c>
      <c r="AD29" s="167" t="b">
        <f>'Rep Schedule - Advanced'!AN9</f>
        <v>1</v>
      </c>
    </row>
    <row r="30" spans="2:30">
      <c r="B30" s="167">
        <f>'Rep Schedule - Advanced'!B10</f>
        <v>4</v>
      </c>
      <c r="C30" s="486">
        <f>'Rep Schedule - Advanced'!E10</f>
        <v>40465</v>
      </c>
      <c r="D30" s="210">
        <f>'Rep Schedule - Advanced'!G10</f>
        <v>0</v>
      </c>
      <c r="E30" s="211">
        <f>'Rep Schedule - Advanced'!H10</f>
        <v>0</v>
      </c>
      <c r="F30" s="212">
        <f>'Rep Schedule - Advanced'!J10</f>
        <v>0</v>
      </c>
      <c r="G30" s="481">
        <f>'Rep Schedule - Advanced'!K10</f>
        <v>0</v>
      </c>
      <c r="H30" s="481">
        <f>'Rep Schedule - Advanced'!N10</f>
        <v>0</v>
      </c>
      <c r="I30" s="481">
        <f>'Rep Schedule - Advanced'!R10</f>
        <v>0</v>
      </c>
      <c r="J30" s="481">
        <f>'Rep Schedule - Advanced'!U10</f>
        <v>0</v>
      </c>
      <c r="K30" s="210">
        <f>'Rep Schedule - Advanced'!X10</f>
        <v>0</v>
      </c>
      <c r="L30" s="211">
        <f>'Rep Schedule - Advanced'!Y10</f>
        <v>0</v>
      </c>
      <c r="M30" s="213">
        <f>'Rep Schedule - Advanced'!Z10</f>
        <v>0</v>
      </c>
      <c r="N30" s="214">
        <f>'Rep Schedule - Advanced'!AB10</f>
        <v>0</v>
      </c>
      <c r="O30" s="550" t="e">
        <f>'Rep Schedule - Advanced'!BI10</f>
        <v>#NUM!</v>
      </c>
      <c r="P30" s="551" t="e">
        <f>'Rep Schedule - Advanced'!BK10</f>
        <v>#NUM!</v>
      </c>
      <c r="Q30" s="552" t="e">
        <f>'Rep Schedule - Advanced'!BL10</f>
        <v>#NUM!</v>
      </c>
      <c r="R30" s="661">
        <f>'Rep Schedule - Advanced'!Q10</f>
        <v>0</v>
      </c>
      <c r="S30" s="213">
        <f t="shared" si="2"/>
        <v>0</v>
      </c>
      <c r="AD30" s="167" t="b">
        <f>'Rep Schedule - Advanced'!AN10</f>
        <v>1</v>
      </c>
    </row>
    <row r="31" spans="2:30">
      <c r="B31" s="167">
        <f>'Rep Schedule - Advanced'!B11</f>
        <v>5</v>
      </c>
      <c r="C31" s="486">
        <f>'Rep Schedule - Advanced'!E11</f>
        <v>40496</v>
      </c>
      <c r="D31" s="210">
        <f>'Rep Schedule - Advanced'!G11</f>
        <v>0</v>
      </c>
      <c r="E31" s="211">
        <f>'Rep Schedule - Advanced'!H11</f>
        <v>0</v>
      </c>
      <c r="F31" s="212">
        <f>'Rep Schedule - Advanced'!J11</f>
        <v>0</v>
      </c>
      <c r="G31" s="481">
        <f>'Rep Schedule - Advanced'!K11</f>
        <v>0</v>
      </c>
      <c r="H31" s="481">
        <f>'Rep Schedule - Advanced'!N11</f>
        <v>0</v>
      </c>
      <c r="I31" s="481">
        <f>'Rep Schedule - Advanced'!R11</f>
        <v>0</v>
      </c>
      <c r="J31" s="481">
        <f>'Rep Schedule - Advanced'!U11</f>
        <v>0</v>
      </c>
      <c r="K31" s="210">
        <f>'Rep Schedule - Advanced'!X11</f>
        <v>0</v>
      </c>
      <c r="L31" s="211">
        <f>'Rep Schedule - Advanced'!Y11</f>
        <v>0</v>
      </c>
      <c r="M31" s="213">
        <f>'Rep Schedule - Advanced'!Z11</f>
        <v>0</v>
      </c>
      <c r="N31" s="214">
        <f>'Rep Schedule - Advanced'!AB11</f>
        <v>0</v>
      </c>
      <c r="O31" s="550" t="e">
        <f>'Rep Schedule - Advanced'!BI11</f>
        <v>#NUM!</v>
      </c>
      <c r="P31" s="551" t="e">
        <f>'Rep Schedule - Advanced'!BK11</f>
        <v>#NUM!</v>
      </c>
      <c r="Q31" s="552" t="e">
        <f>'Rep Schedule - Advanced'!BL11</f>
        <v>#NUM!</v>
      </c>
      <c r="R31" s="661">
        <f>'Rep Schedule - Advanced'!Q11</f>
        <v>0</v>
      </c>
      <c r="S31" s="213">
        <f t="shared" si="2"/>
        <v>0</v>
      </c>
      <c r="AD31" s="167" t="b">
        <f>'Rep Schedule - Advanced'!AN11</f>
        <v>1</v>
      </c>
    </row>
    <row r="32" spans="2:30">
      <c r="B32" s="167">
        <f>'Rep Schedule - Advanced'!B12</f>
        <v>6</v>
      </c>
      <c r="C32" s="486">
        <f>'Rep Schedule - Advanced'!E12</f>
        <v>40526</v>
      </c>
      <c r="D32" s="210">
        <f>'Rep Schedule - Advanced'!G12</f>
        <v>0</v>
      </c>
      <c r="E32" s="211">
        <f>'Rep Schedule - Advanced'!H12</f>
        <v>0</v>
      </c>
      <c r="F32" s="212">
        <f>'Rep Schedule - Advanced'!J12</f>
        <v>0</v>
      </c>
      <c r="G32" s="481">
        <f>'Rep Schedule - Advanced'!K12</f>
        <v>0</v>
      </c>
      <c r="H32" s="481">
        <f>'Rep Schedule - Advanced'!N12</f>
        <v>0</v>
      </c>
      <c r="I32" s="481">
        <f>'Rep Schedule - Advanced'!R12</f>
        <v>0</v>
      </c>
      <c r="J32" s="481">
        <f>'Rep Schedule - Advanced'!U12</f>
        <v>0</v>
      </c>
      <c r="K32" s="210">
        <f>'Rep Schedule - Advanced'!X12</f>
        <v>0</v>
      </c>
      <c r="L32" s="211">
        <f>'Rep Schedule - Advanced'!Y12</f>
        <v>0</v>
      </c>
      <c r="M32" s="213">
        <f>'Rep Schedule - Advanced'!Z12</f>
        <v>0</v>
      </c>
      <c r="N32" s="214">
        <f>'Rep Schedule - Advanced'!AB12</f>
        <v>0</v>
      </c>
      <c r="O32" s="550" t="e">
        <f>'Rep Schedule - Advanced'!BI12</f>
        <v>#NUM!</v>
      </c>
      <c r="P32" s="551" t="e">
        <f>'Rep Schedule - Advanced'!BK12</f>
        <v>#NUM!</v>
      </c>
      <c r="Q32" s="552" t="e">
        <f>'Rep Schedule - Advanced'!BL12</f>
        <v>#NUM!</v>
      </c>
      <c r="R32" s="661">
        <f>'Rep Schedule - Advanced'!Q12</f>
        <v>0</v>
      </c>
      <c r="S32" s="213">
        <f t="shared" si="2"/>
        <v>0</v>
      </c>
      <c r="AD32" s="167" t="b">
        <f>'Rep Schedule - Advanced'!AN12</f>
        <v>1</v>
      </c>
    </row>
    <row r="33" spans="2:30">
      <c r="B33" s="167">
        <f>'Rep Schedule - Advanced'!B13</f>
        <v>7</v>
      </c>
      <c r="C33" s="486">
        <f>'Rep Schedule - Advanced'!E13</f>
        <v>40557</v>
      </c>
      <c r="D33" s="210">
        <f>'Rep Schedule - Advanced'!G13</f>
        <v>0</v>
      </c>
      <c r="E33" s="211">
        <f>'Rep Schedule - Advanced'!H13</f>
        <v>0</v>
      </c>
      <c r="F33" s="212">
        <f>'Rep Schedule - Advanced'!J13</f>
        <v>0</v>
      </c>
      <c r="G33" s="481">
        <f>'Rep Schedule - Advanced'!K13</f>
        <v>0</v>
      </c>
      <c r="H33" s="481">
        <f>'Rep Schedule - Advanced'!N13</f>
        <v>0</v>
      </c>
      <c r="I33" s="481">
        <f>'Rep Schedule - Advanced'!R13</f>
        <v>0</v>
      </c>
      <c r="J33" s="481">
        <f>'Rep Schedule - Advanced'!U13</f>
        <v>0</v>
      </c>
      <c r="K33" s="210">
        <f>'Rep Schedule - Advanced'!X13</f>
        <v>0</v>
      </c>
      <c r="L33" s="211">
        <f>'Rep Schedule - Advanced'!Y13</f>
        <v>0</v>
      </c>
      <c r="M33" s="213">
        <f>'Rep Schedule - Advanced'!Z13</f>
        <v>0</v>
      </c>
      <c r="N33" s="214">
        <f>'Rep Schedule - Advanced'!AB13</f>
        <v>0</v>
      </c>
      <c r="O33" s="550" t="e">
        <f>'Rep Schedule - Advanced'!BI13</f>
        <v>#NUM!</v>
      </c>
      <c r="P33" s="551" t="e">
        <f>'Rep Schedule - Advanced'!BK13</f>
        <v>#NUM!</v>
      </c>
      <c r="Q33" s="552" t="e">
        <f>'Rep Schedule - Advanced'!BL13</f>
        <v>#NUM!</v>
      </c>
      <c r="R33" s="661">
        <f>'Rep Schedule - Advanced'!Q13</f>
        <v>0</v>
      </c>
      <c r="S33" s="213">
        <f t="shared" si="2"/>
        <v>0</v>
      </c>
      <c r="AD33" s="167" t="b">
        <f>'Rep Schedule - Advanced'!AN13</f>
        <v>1</v>
      </c>
    </row>
    <row r="34" spans="2:30">
      <c r="B34" s="167">
        <f>'Rep Schedule - Advanced'!B14</f>
        <v>8</v>
      </c>
      <c r="C34" s="486">
        <f>'Rep Schedule - Advanced'!E14</f>
        <v>40588</v>
      </c>
      <c r="D34" s="210">
        <f>'Rep Schedule - Advanced'!G14</f>
        <v>0</v>
      </c>
      <c r="E34" s="211">
        <f>'Rep Schedule - Advanced'!H14</f>
        <v>0</v>
      </c>
      <c r="F34" s="212">
        <f>'Rep Schedule - Advanced'!J14</f>
        <v>0</v>
      </c>
      <c r="G34" s="481">
        <f>'Rep Schedule - Advanced'!K14</f>
        <v>0</v>
      </c>
      <c r="H34" s="481">
        <f>'Rep Schedule - Advanced'!N14</f>
        <v>0</v>
      </c>
      <c r="I34" s="481">
        <f>'Rep Schedule - Advanced'!R14</f>
        <v>0</v>
      </c>
      <c r="J34" s="481">
        <f>'Rep Schedule - Advanced'!U14</f>
        <v>0</v>
      </c>
      <c r="K34" s="210">
        <f>'Rep Schedule - Advanced'!X14</f>
        <v>0</v>
      </c>
      <c r="L34" s="211">
        <f>'Rep Schedule - Advanced'!Y14</f>
        <v>0</v>
      </c>
      <c r="M34" s="213">
        <f>'Rep Schedule - Advanced'!Z14</f>
        <v>0</v>
      </c>
      <c r="N34" s="214">
        <f>'Rep Schedule - Advanced'!AB14</f>
        <v>0</v>
      </c>
      <c r="O34" s="550" t="e">
        <f>'Rep Schedule - Advanced'!BI14</f>
        <v>#NUM!</v>
      </c>
      <c r="P34" s="551" t="e">
        <f>'Rep Schedule - Advanced'!BK14</f>
        <v>#NUM!</v>
      </c>
      <c r="Q34" s="552" t="e">
        <f>'Rep Schedule - Advanced'!BL14</f>
        <v>#NUM!</v>
      </c>
      <c r="R34" s="661">
        <f>'Rep Schedule - Advanced'!Q14</f>
        <v>0</v>
      </c>
      <c r="S34" s="213">
        <f t="shared" si="2"/>
        <v>0</v>
      </c>
      <c r="AD34" s="167" t="b">
        <f>'Rep Schedule - Advanced'!AN14</f>
        <v>1</v>
      </c>
    </row>
    <row r="35" spans="2:30">
      <c r="B35" s="167">
        <f>'Rep Schedule - Advanced'!B15</f>
        <v>9</v>
      </c>
      <c r="C35" s="486">
        <f>'Rep Schedule - Advanced'!E15</f>
        <v>40616</v>
      </c>
      <c r="D35" s="210">
        <f>'Rep Schedule - Advanced'!G15</f>
        <v>0</v>
      </c>
      <c r="E35" s="211">
        <f>'Rep Schedule - Advanced'!H15</f>
        <v>0</v>
      </c>
      <c r="F35" s="212">
        <f>'Rep Schedule - Advanced'!J15</f>
        <v>0</v>
      </c>
      <c r="G35" s="481">
        <f>'Rep Schedule - Advanced'!K15</f>
        <v>0</v>
      </c>
      <c r="H35" s="481">
        <f>'Rep Schedule - Advanced'!N15</f>
        <v>0</v>
      </c>
      <c r="I35" s="481">
        <f>'Rep Schedule - Advanced'!R15</f>
        <v>0</v>
      </c>
      <c r="J35" s="481">
        <f>'Rep Schedule - Advanced'!U15</f>
        <v>0</v>
      </c>
      <c r="K35" s="210">
        <f>'Rep Schedule - Advanced'!X15</f>
        <v>0</v>
      </c>
      <c r="L35" s="211">
        <f>'Rep Schedule - Advanced'!Y15</f>
        <v>0</v>
      </c>
      <c r="M35" s="213">
        <f>'Rep Schedule - Advanced'!Z15</f>
        <v>0</v>
      </c>
      <c r="N35" s="214">
        <f>'Rep Schedule - Advanced'!AB15</f>
        <v>0</v>
      </c>
      <c r="O35" s="550" t="e">
        <f>'Rep Schedule - Advanced'!BI15</f>
        <v>#NUM!</v>
      </c>
      <c r="P35" s="551" t="e">
        <f>'Rep Schedule - Advanced'!BK15</f>
        <v>#NUM!</v>
      </c>
      <c r="Q35" s="552" t="e">
        <f>'Rep Schedule - Advanced'!BL15</f>
        <v>#NUM!</v>
      </c>
      <c r="R35" s="661">
        <f>'Rep Schedule - Advanced'!Q15</f>
        <v>0</v>
      </c>
      <c r="S35" s="213">
        <f t="shared" si="2"/>
        <v>0</v>
      </c>
      <c r="AD35" s="167" t="b">
        <f>'Rep Schedule - Advanced'!AN15</f>
        <v>1</v>
      </c>
    </row>
    <row r="36" spans="2:30">
      <c r="B36" s="167">
        <f>'Rep Schedule - Advanced'!B16</f>
        <v>10</v>
      </c>
      <c r="C36" s="486">
        <f>'Rep Schedule - Advanced'!E16</f>
        <v>40647</v>
      </c>
      <c r="D36" s="210">
        <f>'Rep Schedule - Advanced'!G16</f>
        <v>0</v>
      </c>
      <c r="E36" s="211">
        <f>'Rep Schedule - Advanced'!H16</f>
        <v>0</v>
      </c>
      <c r="F36" s="212">
        <f>'Rep Schedule - Advanced'!J16</f>
        <v>0</v>
      </c>
      <c r="G36" s="481">
        <f>'Rep Schedule - Advanced'!K16</f>
        <v>0</v>
      </c>
      <c r="H36" s="481">
        <f>'Rep Schedule - Advanced'!N16</f>
        <v>0</v>
      </c>
      <c r="I36" s="481">
        <f>'Rep Schedule - Advanced'!R16</f>
        <v>0</v>
      </c>
      <c r="J36" s="481">
        <f>'Rep Schedule - Advanced'!U16</f>
        <v>0</v>
      </c>
      <c r="K36" s="210">
        <f>'Rep Schedule - Advanced'!X16</f>
        <v>0</v>
      </c>
      <c r="L36" s="211">
        <f>'Rep Schedule - Advanced'!Y16</f>
        <v>0</v>
      </c>
      <c r="M36" s="213">
        <f>'Rep Schedule - Advanced'!Z16</f>
        <v>0</v>
      </c>
      <c r="N36" s="214">
        <f>'Rep Schedule - Advanced'!AB16</f>
        <v>0</v>
      </c>
      <c r="O36" s="550" t="e">
        <f>'Rep Schedule - Advanced'!BI16</f>
        <v>#NUM!</v>
      </c>
      <c r="P36" s="551" t="e">
        <f>'Rep Schedule - Advanced'!BK16</f>
        <v>#NUM!</v>
      </c>
      <c r="Q36" s="552" t="e">
        <f>'Rep Schedule - Advanced'!BL16</f>
        <v>#NUM!</v>
      </c>
      <c r="R36" s="661">
        <f>'Rep Schedule - Advanced'!Q16</f>
        <v>0</v>
      </c>
      <c r="S36" s="213">
        <f t="shared" si="2"/>
        <v>0</v>
      </c>
      <c r="AD36" s="167" t="b">
        <f>'Rep Schedule - Advanced'!AN16</f>
        <v>1</v>
      </c>
    </row>
    <row r="37" spans="2:30">
      <c r="B37" s="167">
        <f>'Rep Schedule - Advanced'!B17</f>
        <v>11</v>
      </c>
      <c r="C37" s="486">
        <f>'Rep Schedule - Advanced'!E17</f>
        <v>40677</v>
      </c>
      <c r="D37" s="210">
        <f>'Rep Schedule - Advanced'!G17</f>
        <v>0</v>
      </c>
      <c r="E37" s="211">
        <f>'Rep Schedule - Advanced'!H17</f>
        <v>0</v>
      </c>
      <c r="F37" s="212">
        <f>'Rep Schedule - Advanced'!J17</f>
        <v>0</v>
      </c>
      <c r="G37" s="481">
        <f>'Rep Schedule - Advanced'!K17</f>
        <v>0</v>
      </c>
      <c r="H37" s="481">
        <f>'Rep Schedule - Advanced'!N17</f>
        <v>0</v>
      </c>
      <c r="I37" s="481">
        <f>'Rep Schedule - Advanced'!R17</f>
        <v>0</v>
      </c>
      <c r="J37" s="481">
        <f>'Rep Schedule - Advanced'!U17</f>
        <v>0</v>
      </c>
      <c r="K37" s="210">
        <f>'Rep Schedule - Advanced'!X17</f>
        <v>0</v>
      </c>
      <c r="L37" s="211">
        <f>'Rep Schedule - Advanced'!Y17</f>
        <v>0</v>
      </c>
      <c r="M37" s="213">
        <f>'Rep Schedule - Advanced'!Z17</f>
        <v>0</v>
      </c>
      <c r="N37" s="214">
        <f>'Rep Schedule - Advanced'!AB17</f>
        <v>0</v>
      </c>
      <c r="O37" s="550" t="e">
        <f>'Rep Schedule - Advanced'!BI17</f>
        <v>#NUM!</v>
      </c>
      <c r="P37" s="551" t="e">
        <f>'Rep Schedule - Advanced'!BK17</f>
        <v>#NUM!</v>
      </c>
      <c r="Q37" s="552" t="e">
        <f>'Rep Schedule - Advanced'!BL17</f>
        <v>#NUM!</v>
      </c>
      <c r="R37" s="661">
        <f>'Rep Schedule - Advanced'!Q17</f>
        <v>0</v>
      </c>
      <c r="S37" s="213">
        <f t="shared" si="2"/>
        <v>0</v>
      </c>
      <c r="AD37" s="167" t="b">
        <f>'Rep Schedule - Advanced'!AN17</f>
        <v>1</v>
      </c>
    </row>
    <row r="38" spans="2:30" ht="16" thickBot="1">
      <c r="B38" s="167">
        <f>'Rep Schedule - Advanced'!B18</f>
        <v>12</v>
      </c>
      <c r="C38" s="486">
        <f>'Rep Schedule - Advanced'!E18</f>
        <v>40708</v>
      </c>
      <c r="D38" s="210">
        <f>'Rep Schedule - Advanced'!G18</f>
        <v>0</v>
      </c>
      <c r="E38" s="211">
        <f>'Rep Schedule - Advanced'!H18</f>
        <v>0</v>
      </c>
      <c r="F38" s="212">
        <f>'Rep Schedule - Advanced'!J18</f>
        <v>0</v>
      </c>
      <c r="G38" s="481">
        <f>'Rep Schedule - Advanced'!K18</f>
        <v>0</v>
      </c>
      <c r="H38" s="481">
        <f>'Rep Schedule - Advanced'!N18</f>
        <v>0</v>
      </c>
      <c r="I38" s="481">
        <f>'Rep Schedule - Advanced'!R18</f>
        <v>0</v>
      </c>
      <c r="J38" s="481">
        <f>'Rep Schedule - Advanced'!U18</f>
        <v>0</v>
      </c>
      <c r="K38" s="210">
        <f>'Rep Schedule - Advanced'!X18</f>
        <v>0</v>
      </c>
      <c r="L38" s="211">
        <f>'Rep Schedule - Advanced'!Y18</f>
        <v>0</v>
      </c>
      <c r="M38" s="213">
        <f>'Rep Schedule - Advanced'!Z18</f>
        <v>0</v>
      </c>
      <c r="N38" s="214">
        <f>'Rep Schedule - Advanced'!AB18</f>
        <v>0</v>
      </c>
      <c r="O38" s="550" t="e">
        <f>'Rep Schedule - Advanced'!BI18</f>
        <v>#NUM!</v>
      </c>
      <c r="P38" s="551" t="e">
        <f>'Rep Schedule - Advanced'!BK18</f>
        <v>#NUM!</v>
      </c>
      <c r="Q38" s="552" t="e">
        <f>'Rep Schedule - Advanced'!BL18</f>
        <v>#NUM!</v>
      </c>
      <c r="R38" s="661">
        <f>'Rep Schedule - Advanced'!Q18</f>
        <v>0</v>
      </c>
      <c r="S38" s="213">
        <f t="shared" si="2"/>
        <v>0</v>
      </c>
      <c r="AD38" s="167" t="b">
        <f>'Rep Schedule - Advanced'!AN18</f>
        <v>1</v>
      </c>
    </row>
    <row r="39" spans="2:30" hidden="1">
      <c r="B39" s="167">
        <f>'Rep Schedule - Advanced'!B19</f>
        <v>13</v>
      </c>
      <c r="C39" s="486">
        <f>'Rep Schedule - Advanced'!E19</f>
        <v>40738</v>
      </c>
      <c r="D39" s="210">
        <f>'Rep Schedule - Advanced'!G19</f>
        <v>0</v>
      </c>
      <c r="E39" s="211">
        <f>'Rep Schedule - Advanced'!H19</f>
        <v>0</v>
      </c>
      <c r="F39" s="212">
        <f>'Rep Schedule - Advanced'!J19</f>
        <v>0</v>
      </c>
      <c r="G39" s="481">
        <f>'Rep Schedule - Advanced'!K19</f>
        <v>0</v>
      </c>
      <c r="H39" s="481">
        <f>'Rep Schedule - Advanced'!N19</f>
        <v>0</v>
      </c>
      <c r="I39" s="481">
        <f>'Rep Schedule - Advanced'!R19</f>
        <v>0</v>
      </c>
      <c r="J39" s="481">
        <f>'Rep Schedule - Advanced'!U19</f>
        <v>0</v>
      </c>
      <c r="K39" s="210">
        <f>'Rep Schedule - Advanced'!X19</f>
        <v>0</v>
      </c>
      <c r="L39" s="211">
        <f>'Rep Schedule - Advanced'!Y19</f>
        <v>0</v>
      </c>
      <c r="M39" s="213">
        <f>'Rep Schedule - Advanced'!Z19</f>
        <v>0</v>
      </c>
      <c r="N39" s="214">
        <f>'Rep Schedule - Advanced'!AB19</f>
        <v>0</v>
      </c>
      <c r="O39" s="550" t="e">
        <f>'Rep Schedule - Advanced'!BI19</f>
        <v>#NUM!</v>
      </c>
      <c r="P39" s="551" t="e">
        <f>'Rep Schedule - Advanced'!BK19</f>
        <v>#NUM!</v>
      </c>
      <c r="Q39" s="552" t="e">
        <f>'Rep Schedule - Advanced'!BL19</f>
        <v>#NUM!</v>
      </c>
      <c r="R39" s="661">
        <f>'Rep Schedule - Advanced'!Q19</f>
        <v>0</v>
      </c>
      <c r="S39" s="213">
        <f t="shared" si="2"/>
        <v>0</v>
      </c>
      <c r="AD39" s="167" t="b">
        <f>'Rep Schedule - Advanced'!AN19</f>
        <v>1</v>
      </c>
    </row>
    <row r="40" spans="2:30" hidden="1">
      <c r="B40" s="167">
        <f>'Rep Schedule - Advanced'!B20</f>
        <v>14</v>
      </c>
      <c r="C40" s="486">
        <f>'Rep Schedule - Advanced'!E20</f>
        <v>40769</v>
      </c>
      <c r="D40" s="210">
        <f>'Rep Schedule - Advanced'!G20</f>
        <v>0</v>
      </c>
      <c r="E40" s="211">
        <f>'Rep Schedule - Advanced'!H20</f>
        <v>0</v>
      </c>
      <c r="F40" s="212">
        <f>'Rep Schedule - Advanced'!J20</f>
        <v>0</v>
      </c>
      <c r="G40" s="481">
        <f>'Rep Schedule - Advanced'!K20</f>
        <v>0</v>
      </c>
      <c r="H40" s="481">
        <f>'Rep Schedule - Advanced'!N20</f>
        <v>0</v>
      </c>
      <c r="I40" s="481">
        <f>'Rep Schedule - Advanced'!R20</f>
        <v>0</v>
      </c>
      <c r="J40" s="481">
        <f>'Rep Schedule - Advanced'!U20</f>
        <v>0</v>
      </c>
      <c r="K40" s="210">
        <f>'Rep Schedule - Advanced'!X20</f>
        <v>0</v>
      </c>
      <c r="L40" s="211">
        <f>'Rep Schedule - Advanced'!Y20</f>
        <v>0</v>
      </c>
      <c r="M40" s="213">
        <f>'Rep Schedule - Advanced'!Z20</f>
        <v>0</v>
      </c>
      <c r="N40" s="214">
        <f>'Rep Schedule - Advanced'!AB20</f>
        <v>0</v>
      </c>
      <c r="O40" s="550" t="e">
        <f>'Rep Schedule - Advanced'!BI20</f>
        <v>#NUM!</v>
      </c>
      <c r="P40" s="551" t="e">
        <f>'Rep Schedule - Advanced'!BK20</f>
        <v>#NUM!</v>
      </c>
      <c r="Q40" s="552" t="e">
        <f>'Rep Schedule - Advanced'!BL20</f>
        <v>#NUM!</v>
      </c>
      <c r="R40" s="661">
        <f>'Rep Schedule - Advanced'!Q20</f>
        <v>0</v>
      </c>
      <c r="S40" s="213">
        <f t="shared" si="2"/>
        <v>0</v>
      </c>
      <c r="AD40" s="167" t="b">
        <f>'Rep Schedule - Advanced'!AN20</f>
        <v>1</v>
      </c>
    </row>
    <row r="41" spans="2:30" hidden="1">
      <c r="B41" s="167">
        <f>'Rep Schedule - Advanced'!B21</f>
        <v>15</v>
      </c>
      <c r="C41" s="486">
        <f>'Rep Schedule - Advanced'!E21</f>
        <v>40800</v>
      </c>
      <c r="D41" s="210">
        <f>'Rep Schedule - Advanced'!G21</f>
        <v>0</v>
      </c>
      <c r="E41" s="211">
        <f>'Rep Schedule - Advanced'!H21</f>
        <v>0</v>
      </c>
      <c r="F41" s="212">
        <f>'Rep Schedule - Advanced'!J21</f>
        <v>0</v>
      </c>
      <c r="G41" s="481">
        <f>'Rep Schedule - Advanced'!K21</f>
        <v>0</v>
      </c>
      <c r="H41" s="481">
        <f>'Rep Schedule - Advanced'!N21</f>
        <v>0</v>
      </c>
      <c r="I41" s="481">
        <f>'Rep Schedule - Advanced'!R21</f>
        <v>0</v>
      </c>
      <c r="J41" s="481">
        <f>'Rep Schedule - Advanced'!U21</f>
        <v>0</v>
      </c>
      <c r="K41" s="210">
        <f>'Rep Schedule - Advanced'!X21</f>
        <v>0</v>
      </c>
      <c r="L41" s="211">
        <f>'Rep Schedule - Advanced'!Y21</f>
        <v>0</v>
      </c>
      <c r="M41" s="213">
        <f>'Rep Schedule - Advanced'!Z21</f>
        <v>0</v>
      </c>
      <c r="N41" s="214">
        <f>'Rep Schedule - Advanced'!AB21</f>
        <v>0</v>
      </c>
      <c r="O41" s="550" t="e">
        <f>'Rep Schedule - Advanced'!BI21</f>
        <v>#NUM!</v>
      </c>
      <c r="P41" s="551" t="e">
        <f>'Rep Schedule - Advanced'!BK21</f>
        <v>#NUM!</v>
      </c>
      <c r="Q41" s="552" t="e">
        <f>'Rep Schedule - Advanced'!BL21</f>
        <v>#NUM!</v>
      </c>
      <c r="R41" s="661">
        <f>'Rep Schedule - Advanced'!Q21</f>
        <v>0</v>
      </c>
      <c r="S41" s="213">
        <f t="shared" si="2"/>
        <v>0</v>
      </c>
      <c r="AD41" s="167" t="b">
        <f>'Rep Schedule - Advanced'!AN21</f>
        <v>1</v>
      </c>
    </row>
    <row r="42" spans="2:30" hidden="1">
      <c r="B42" s="167">
        <f>'Rep Schedule - Advanced'!B22</f>
        <v>16</v>
      </c>
      <c r="C42" s="486">
        <f>'Rep Schedule - Advanced'!E22</f>
        <v>40830</v>
      </c>
      <c r="D42" s="210">
        <f>'Rep Schedule - Advanced'!G22</f>
        <v>0</v>
      </c>
      <c r="E42" s="211">
        <f>'Rep Schedule - Advanced'!H22</f>
        <v>0</v>
      </c>
      <c r="F42" s="212">
        <f>'Rep Schedule - Advanced'!J22</f>
        <v>0</v>
      </c>
      <c r="G42" s="481">
        <f>'Rep Schedule - Advanced'!K22</f>
        <v>0</v>
      </c>
      <c r="H42" s="481">
        <f>'Rep Schedule - Advanced'!N22</f>
        <v>0</v>
      </c>
      <c r="I42" s="481">
        <f>'Rep Schedule - Advanced'!R22</f>
        <v>0</v>
      </c>
      <c r="J42" s="481">
        <f>'Rep Schedule - Advanced'!U22</f>
        <v>0</v>
      </c>
      <c r="K42" s="210">
        <f>'Rep Schedule - Advanced'!X22</f>
        <v>0</v>
      </c>
      <c r="L42" s="211">
        <f>'Rep Schedule - Advanced'!Y22</f>
        <v>0</v>
      </c>
      <c r="M42" s="213">
        <f>'Rep Schedule - Advanced'!Z22</f>
        <v>0</v>
      </c>
      <c r="N42" s="214">
        <f>'Rep Schedule - Advanced'!AB22</f>
        <v>0</v>
      </c>
      <c r="O42" s="550" t="e">
        <f>'Rep Schedule - Advanced'!BI22</f>
        <v>#NUM!</v>
      </c>
      <c r="P42" s="551" t="e">
        <f>'Rep Schedule - Advanced'!BK22</f>
        <v>#NUM!</v>
      </c>
      <c r="Q42" s="552" t="e">
        <f>'Rep Schedule - Advanced'!BL22</f>
        <v>#NUM!</v>
      </c>
      <c r="R42" s="661">
        <f>'Rep Schedule - Advanced'!Q22</f>
        <v>0</v>
      </c>
      <c r="S42" s="213">
        <f t="shared" si="2"/>
        <v>0</v>
      </c>
      <c r="AD42" s="167" t="b">
        <f>'Rep Schedule - Advanced'!AN22</f>
        <v>1</v>
      </c>
    </row>
    <row r="43" spans="2:30" hidden="1">
      <c r="B43" s="167">
        <f>'Rep Schedule - Advanced'!B23</f>
        <v>17</v>
      </c>
      <c r="C43" s="486">
        <f>'Rep Schedule - Advanced'!E23</f>
        <v>40861</v>
      </c>
      <c r="D43" s="210">
        <f>'Rep Schedule - Advanced'!G23</f>
        <v>0</v>
      </c>
      <c r="E43" s="211">
        <f>'Rep Schedule - Advanced'!H23</f>
        <v>0</v>
      </c>
      <c r="F43" s="212">
        <f>'Rep Schedule - Advanced'!J23</f>
        <v>0</v>
      </c>
      <c r="G43" s="481">
        <f>'Rep Schedule - Advanced'!K23</f>
        <v>0</v>
      </c>
      <c r="H43" s="481">
        <f>'Rep Schedule - Advanced'!N23</f>
        <v>0</v>
      </c>
      <c r="I43" s="481">
        <f>'Rep Schedule - Advanced'!R23</f>
        <v>0</v>
      </c>
      <c r="J43" s="481">
        <f>'Rep Schedule - Advanced'!U23</f>
        <v>0</v>
      </c>
      <c r="K43" s="210">
        <f>'Rep Schedule - Advanced'!X23</f>
        <v>0</v>
      </c>
      <c r="L43" s="211">
        <f>'Rep Schedule - Advanced'!Y23</f>
        <v>0</v>
      </c>
      <c r="M43" s="213">
        <f>'Rep Schedule - Advanced'!Z23</f>
        <v>0</v>
      </c>
      <c r="N43" s="214">
        <f>'Rep Schedule - Advanced'!AB23</f>
        <v>0</v>
      </c>
      <c r="O43" s="550" t="e">
        <f>'Rep Schedule - Advanced'!BI23</f>
        <v>#NUM!</v>
      </c>
      <c r="P43" s="551" t="e">
        <f>'Rep Schedule - Advanced'!BK23</f>
        <v>#NUM!</v>
      </c>
      <c r="Q43" s="552" t="e">
        <f>'Rep Schedule - Advanced'!BL23</f>
        <v>#NUM!</v>
      </c>
      <c r="R43" s="661">
        <f>'Rep Schedule - Advanced'!Q23</f>
        <v>0</v>
      </c>
      <c r="S43" s="213">
        <f t="shared" si="2"/>
        <v>0</v>
      </c>
      <c r="AD43" s="167" t="b">
        <f>'Rep Schedule - Advanced'!AN23</f>
        <v>1</v>
      </c>
    </row>
    <row r="44" spans="2:30" hidden="1">
      <c r="B44" s="167">
        <f>'Rep Schedule - Advanced'!B24</f>
        <v>18</v>
      </c>
      <c r="C44" s="486">
        <f>'Rep Schedule - Advanced'!E24</f>
        <v>40891</v>
      </c>
      <c r="D44" s="210">
        <f>'Rep Schedule - Advanced'!G24</f>
        <v>0</v>
      </c>
      <c r="E44" s="211">
        <f>'Rep Schedule - Advanced'!H24</f>
        <v>0</v>
      </c>
      <c r="F44" s="212">
        <f>'Rep Schedule - Advanced'!J24</f>
        <v>0</v>
      </c>
      <c r="G44" s="481">
        <f>'Rep Schedule - Advanced'!K24</f>
        <v>0</v>
      </c>
      <c r="H44" s="481">
        <f>'Rep Schedule - Advanced'!N24</f>
        <v>0</v>
      </c>
      <c r="I44" s="481">
        <f>'Rep Schedule - Advanced'!R24</f>
        <v>0</v>
      </c>
      <c r="J44" s="481">
        <f>'Rep Schedule - Advanced'!U24</f>
        <v>0</v>
      </c>
      <c r="K44" s="210">
        <f>'Rep Schedule - Advanced'!X24</f>
        <v>0</v>
      </c>
      <c r="L44" s="211">
        <f>'Rep Schedule - Advanced'!Y24</f>
        <v>0</v>
      </c>
      <c r="M44" s="213">
        <f>'Rep Schedule - Advanced'!Z24</f>
        <v>0</v>
      </c>
      <c r="N44" s="214">
        <f>'Rep Schedule - Advanced'!AB24</f>
        <v>0</v>
      </c>
      <c r="O44" s="550" t="e">
        <f>'Rep Schedule - Advanced'!BI24</f>
        <v>#NUM!</v>
      </c>
      <c r="P44" s="551" t="e">
        <f>'Rep Schedule - Advanced'!BK24</f>
        <v>#NUM!</v>
      </c>
      <c r="Q44" s="552" t="e">
        <f>'Rep Schedule - Advanced'!BL24</f>
        <v>#NUM!</v>
      </c>
      <c r="R44" s="661">
        <f>'Rep Schedule - Advanced'!Q24</f>
        <v>0</v>
      </c>
      <c r="S44" s="213">
        <f t="shared" si="2"/>
        <v>0</v>
      </c>
      <c r="AD44" s="167" t="b">
        <f>'Rep Schedule - Advanced'!AN24</f>
        <v>1</v>
      </c>
    </row>
    <row r="45" spans="2:30" hidden="1">
      <c r="B45" s="167">
        <f>'Rep Schedule - Advanced'!B25</f>
        <v>19</v>
      </c>
      <c r="C45" s="486">
        <f>'Rep Schedule - Advanced'!E25</f>
        <v>40922</v>
      </c>
      <c r="D45" s="210">
        <f>'Rep Schedule - Advanced'!G25</f>
        <v>0</v>
      </c>
      <c r="E45" s="211">
        <f>'Rep Schedule - Advanced'!H25</f>
        <v>0</v>
      </c>
      <c r="F45" s="212">
        <f>'Rep Schedule - Advanced'!J25</f>
        <v>0</v>
      </c>
      <c r="G45" s="481">
        <f>'Rep Schedule - Advanced'!K25</f>
        <v>0</v>
      </c>
      <c r="H45" s="481">
        <f>'Rep Schedule - Advanced'!N25</f>
        <v>0</v>
      </c>
      <c r="I45" s="481">
        <f>'Rep Schedule - Advanced'!R25</f>
        <v>0</v>
      </c>
      <c r="J45" s="481">
        <f>'Rep Schedule - Advanced'!U25</f>
        <v>0</v>
      </c>
      <c r="K45" s="210">
        <f>'Rep Schedule - Advanced'!X25</f>
        <v>0</v>
      </c>
      <c r="L45" s="211">
        <f>'Rep Schedule - Advanced'!Y25</f>
        <v>0</v>
      </c>
      <c r="M45" s="213">
        <f>'Rep Schedule - Advanced'!Z25</f>
        <v>0</v>
      </c>
      <c r="N45" s="214">
        <f>'Rep Schedule - Advanced'!AB25</f>
        <v>0</v>
      </c>
      <c r="O45" s="550" t="e">
        <f>'Rep Schedule - Advanced'!BI25</f>
        <v>#NUM!</v>
      </c>
      <c r="P45" s="551" t="e">
        <f>'Rep Schedule - Advanced'!BK25</f>
        <v>#NUM!</v>
      </c>
      <c r="Q45" s="552" t="e">
        <f>'Rep Schedule - Advanced'!BL25</f>
        <v>#NUM!</v>
      </c>
      <c r="R45" s="661">
        <f>'Rep Schedule - Advanced'!Q25</f>
        <v>0</v>
      </c>
      <c r="S45" s="213">
        <f t="shared" si="2"/>
        <v>0</v>
      </c>
      <c r="AD45" s="167" t="b">
        <f>'Rep Schedule - Advanced'!AN25</f>
        <v>1</v>
      </c>
    </row>
    <row r="46" spans="2:30" hidden="1">
      <c r="B46" s="167">
        <f>'Rep Schedule - Advanced'!B26</f>
        <v>20</v>
      </c>
      <c r="C46" s="486">
        <f>'Rep Schedule - Advanced'!E26</f>
        <v>40953</v>
      </c>
      <c r="D46" s="210">
        <f>'Rep Schedule - Advanced'!G26</f>
        <v>0</v>
      </c>
      <c r="E46" s="211">
        <f>'Rep Schedule - Advanced'!H26</f>
        <v>0</v>
      </c>
      <c r="F46" s="212">
        <f>'Rep Schedule - Advanced'!J26</f>
        <v>0</v>
      </c>
      <c r="G46" s="481">
        <f>'Rep Schedule - Advanced'!K26</f>
        <v>0</v>
      </c>
      <c r="H46" s="481">
        <f>'Rep Schedule - Advanced'!N26</f>
        <v>0</v>
      </c>
      <c r="I46" s="481">
        <f>'Rep Schedule - Advanced'!R26</f>
        <v>0</v>
      </c>
      <c r="J46" s="481">
        <f>'Rep Schedule - Advanced'!U26</f>
        <v>0</v>
      </c>
      <c r="K46" s="210">
        <f>'Rep Schedule - Advanced'!X26</f>
        <v>0</v>
      </c>
      <c r="L46" s="211">
        <f>'Rep Schedule - Advanced'!Y26</f>
        <v>0</v>
      </c>
      <c r="M46" s="213">
        <f>'Rep Schedule - Advanced'!Z26</f>
        <v>0</v>
      </c>
      <c r="N46" s="214">
        <f>'Rep Schedule - Advanced'!AB26</f>
        <v>0</v>
      </c>
      <c r="O46" s="550" t="e">
        <f>'Rep Schedule - Advanced'!BI26</f>
        <v>#NUM!</v>
      </c>
      <c r="P46" s="551" t="e">
        <f>'Rep Schedule - Advanced'!BK26</f>
        <v>#NUM!</v>
      </c>
      <c r="Q46" s="552" t="e">
        <f>'Rep Schedule - Advanced'!BL26</f>
        <v>#NUM!</v>
      </c>
      <c r="R46" s="661">
        <f>'Rep Schedule - Advanced'!Q26</f>
        <v>0</v>
      </c>
      <c r="S46" s="213">
        <f t="shared" si="2"/>
        <v>0</v>
      </c>
      <c r="AD46" s="167" t="b">
        <f>'Rep Schedule - Advanced'!AN26</f>
        <v>1</v>
      </c>
    </row>
    <row r="47" spans="2:30" hidden="1">
      <c r="B47" s="167">
        <f>'Rep Schedule - Advanced'!B27</f>
        <v>21</v>
      </c>
      <c r="C47" s="486">
        <f>'Rep Schedule - Advanced'!E27</f>
        <v>40982</v>
      </c>
      <c r="D47" s="210">
        <f>'Rep Schedule - Advanced'!G27</f>
        <v>0</v>
      </c>
      <c r="E47" s="211">
        <f>'Rep Schedule - Advanced'!H27</f>
        <v>0</v>
      </c>
      <c r="F47" s="212">
        <f>'Rep Schedule - Advanced'!J27</f>
        <v>0</v>
      </c>
      <c r="G47" s="481">
        <f>'Rep Schedule - Advanced'!K27</f>
        <v>0</v>
      </c>
      <c r="H47" s="481">
        <f>'Rep Schedule - Advanced'!N27</f>
        <v>0</v>
      </c>
      <c r="I47" s="481">
        <f>'Rep Schedule - Advanced'!R27</f>
        <v>0</v>
      </c>
      <c r="J47" s="481">
        <f>'Rep Schedule - Advanced'!U27</f>
        <v>0</v>
      </c>
      <c r="K47" s="210">
        <f>'Rep Schedule - Advanced'!X27</f>
        <v>0</v>
      </c>
      <c r="L47" s="211">
        <f>'Rep Schedule - Advanced'!Y27</f>
        <v>0</v>
      </c>
      <c r="M47" s="213">
        <f>'Rep Schedule - Advanced'!Z27</f>
        <v>0</v>
      </c>
      <c r="N47" s="214">
        <f>'Rep Schedule - Advanced'!AB27</f>
        <v>0</v>
      </c>
      <c r="O47" s="550" t="e">
        <f>'Rep Schedule - Advanced'!BI27</f>
        <v>#NUM!</v>
      </c>
      <c r="P47" s="551" t="e">
        <f>'Rep Schedule - Advanced'!BK27</f>
        <v>#NUM!</v>
      </c>
      <c r="Q47" s="552" t="e">
        <f>'Rep Schedule - Advanced'!BL27</f>
        <v>#NUM!</v>
      </c>
      <c r="R47" s="661">
        <f>'Rep Schedule - Advanced'!Q27</f>
        <v>0</v>
      </c>
      <c r="S47" s="213">
        <f t="shared" si="2"/>
        <v>0</v>
      </c>
      <c r="AD47" s="167" t="b">
        <f>'Rep Schedule - Advanced'!AN27</f>
        <v>1</v>
      </c>
    </row>
    <row r="48" spans="2:30" hidden="1">
      <c r="B48" s="167">
        <f>'Rep Schedule - Advanced'!B28</f>
        <v>22</v>
      </c>
      <c r="C48" s="486">
        <f>'Rep Schedule - Advanced'!E28</f>
        <v>41013</v>
      </c>
      <c r="D48" s="210">
        <f>'Rep Schedule - Advanced'!G28</f>
        <v>0</v>
      </c>
      <c r="E48" s="211">
        <f>'Rep Schedule - Advanced'!H28</f>
        <v>0</v>
      </c>
      <c r="F48" s="212">
        <f>'Rep Schedule - Advanced'!J28</f>
        <v>0</v>
      </c>
      <c r="G48" s="481">
        <f>'Rep Schedule - Advanced'!K28</f>
        <v>0</v>
      </c>
      <c r="H48" s="481">
        <f>'Rep Schedule - Advanced'!N28</f>
        <v>0</v>
      </c>
      <c r="I48" s="481">
        <f>'Rep Schedule - Advanced'!R28</f>
        <v>0</v>
      </c>
      <c r="J48" s="481">
        <f>'Rep Schedule - Advanced'!U28</f>
        <v>0</v>
      </c>
      <c r="K48" s="210">
        <f>'Rep Schedule - Advanced'!X28</f>
        <v>0</v>
      </c>
      <c r="L48" s="211">
        <f>'Rep Schedule - Advanced'!Y28</f>
        <v>0</v>
      </c>
      <c r="M48" s="213">
        <f>'Rep Schedule - Advanced'!Z28</f>
        <v>0</v>
      </c>
      <c r="N48" s="214">
        <f>'Rep Schedule - Advanced'!AB28</f>
        <v>0</v>
      </c>
      <c r="O48" s="550" t="e">
        <f>'Rep Schedule - Advanced'!BI28</f>
        <v>#NUM!</v>
      </c>
      <c r="P48" s="551" t="e">
        <f>'Rep Schedule - Advanced'!BK28</f>
        <v>#NUM!</v>
      </c>
      <c r="Q48" s="552" t="e">
        <f>'Rep Schedule - Advanced'!BL28</f>
        <v>#NUM!</v>
      </c>
      <c r="R48" s="661">
        <f>'Rep Schedule - Advanced'!Q28</f>
        <v>0</v>
      </c>
      <c r="S48" s="213">
        <f t="shared" si="2"/>
        <v>0</v>
      </c>
      <c r="AD48" s="167" t="b">
        <f>'Rep Schedule - Advanced'!AN28</f>
        <v>1</v>
      </c>
    </row>
    <row r="49" spans="2:30" hidden="1">
      <c r="B49" s="167">
        <f>'Rep Schedule - Advanced'!B29</f>
        <v>23</v>
      </c>
      <c r="C49" s="486">
        <f>'Rep Schedule - Advanced'!E29</f>
        <v>41043</v>
      </c>
      <c r="D49" s="210">
        <f>'Rep Schedule - Advanced'!G29</f>
        <v>0</v>
      </c>
      <c r="E49" s="211">
        <f>'Rep Schedule - Advanced'!H29</f>
        <v>0</v>
      </c>
      <c r="F49" s="212">
        <f>'Rep Schedule - Advanced'!J29</f>
        <v>0</v>
      </c>
      <c r="G49" s="481">
        <f>'Rep Schedule - Advanced'!K29</f>
        <v>0</v>
      </c>
      <c r="H49" s="481">
        <f>'Rep Schedule - Advanced'!N29</f>
        <v>0</v>
      </c>
      <c r="I49" s="481">
        <f>'Rep Schedule - Advanced'!R29</f>
        <v>0</v>
      </c>
      <c r="J49" s="481">
        <f>'Rep Schedule - Advanced'!U29</f>
        <v>0</v>
      </c>
      <c r="K49" s="210">
        <f>'Rep Schedule - Advanced'!X29</f>
        <v>0</v>
      </c>
      <c r="L49" s="211">
        <f>'Rep Schedule - Advanced'!Y29</f>
        <v>0</v>
      </c>
      <c r="M49" s="213">
        <f>'Rep Schedule - Advanced'!Z29</f>
        <v>0</v>
      </c>
      <c r="N49" s="214">
        <f>'Rep Schedule - Advanced'!AB29</f>
        <v>0</v>
      </c>
      <c r="O49" s="550" t="e">
        <f>'Rep Schedule - Advanced'!BI29</f>
        <v>#NUM!</v>
      </c>
      <c r="P49" s="551" t="e">
        <f>'Rep Schedule - Advanced'!BK29</f>
        <v>#NUM!</v>
      </c>
      <c r="Q49" s="552" t="e">
        <f>'Rep Schedule - Advanced'!BL29</f>
        <v>#NUM!</v>
      </c>
      <c r="R49" s="661">
        <f>'Rep Schedule - Advanced'!Q29</f>
        <v>0</v>
      </c>
      <c r="S49" s="213">
        <f t="shared" si="2"/>
        <v>0</v>
      </c>
      <c r="AD49" s="167" t="b">
        <f>'Rep Schedule - Advanced'!AN29</f>
        <v>1</v>
      </c>
    </row>
    <row r="50" spans="2:30" hidden="1">
      <c r="B50" s="167">
        <f>'Rep Schedule - Advanced'!B30</f>
        <v>24</v>
      </c>
      <c r="C50" s="486">
        <f>'Rep Schedule - Advanced'!E30</f>
        <v>41074</v>
      </c>
      <c r="D50" s="210">
        <f>'Rep Schedule - Advanced'!G30</f>
        <v>0</v>
      </c>
      <c r="E50" s="211">
        <f>'Rep Schedule - Advanced'!H30</f>
        <v>0</v>
      </c>
      <c r="F50" s="212">
        <f>'Rep Schedule - Advanced'!J30</f>
        <v>0</v>
      </c>
      <c r="G50" s="481">
        <f>'Rep Schedule - Advanced'!K30</f>
        <v>0</v>
      </c>
      <c r="H50" s="481">
        <f>'Rep Schedule - Advanced'!N30</f>
        <v>0</v>
      </c>
      <c r="I50" s="481">
        <f>'Rep Schedule - Advanced'!R30</f>
        <v>0</v>
      </c>
      <c r="J50" s="481">
        <f>'Rep Schedule - Advanced'!U30</f>
        <v>0</v>
      </c>
      <c r="K50" s="210">
        <f>'Rep Schedule - Advanced'!X30</f>
        <v>0</v>
      </c>
      <c r="L50" s="211">
        <f>'Rep Schedule - Advanced'!Y30</f>
        <v>0</v>
      </c>
      <c r="M50" s="213">
        <f>'Rep Schedule - Advanced'!Z30</f>
        <v>0</v>
      </c>
      <c r="N50" s="214">
        <f>'Rep Schedule - Advanced'!AB30</f>
        <v>0</v>
      </c>
      <c r="O50" s="550" t="e">
        <f>'Rep Schedule - Advanced'!BI30</f>
        <v>#NUM!</v>
      </c>
      <c r="P50" s="551" t="e">
        <f>'Rep Schedule - Advanced'!BK30</f>
        <v>#NUM!</v>
      </c>
      <c r="Q50" s="552" t="e">
        <f>'Rep Schedule - Advanced'!BL30</f>
        <v>#NUM!</v>
      </c>
      <c r="R50" s="661">
        <f>'Rep Schedule - Advanced'!Q30</f>
        <v>0</v>
      </c>
      <c r="S50" s="213">
        <f t="shared" si="2"/>
        <v>0</v>
      </c>
      <c r="AD50" s="167" t="b">
        <f>'Rep Schedule - Advanced'!AN30</f>
        <v>1</v>
      </c>
    </row>
    <row r="51" spans="2:30" hidden="1">
      <c r="B51" s="167">
        <f>'Rep Schedule - Advanced'!B31</f>
        <v>25</v>
      </c>
      <c r="C51" s="486">
        <f>'Rep Schedule - Advanced'!E31</f>
        <v>41104</v>
      </c>
      <c r="D51" s="210">
        <f>'Rep Schedule - Advanced'!G31</f>
        <v>0</v>
      </c>
      <c r="E51" s="211">
        <f>'Rep Schedule - Advanced'!H31</f>
        <v>0</v>
      </c>
      <c r="F51" s="212">
        <f>'Rep Schedule - Advanced'!J31</f>
        <v>0</v>
      </c>
      <c r="G51" s="481">
        <f>'Rep Schedule - Advanced'!K31</f>
        <v>0</v>
      </c>
      <c r="H51" s="481">
        <f>'Rep Schedule - Advanced'!N31</f>
        <v>0</v>
      </c>
      <c r="I51" s="481">
        <f>'Rep Schedule - Advanced'!R31</f>
        <v>0</v>
      </c>
      <c r="J51" s="481">
        <f>'Rep Schedule - Advanced'!U31</f>
        <v>0</v>
      </c>
      <c r="K51" s="210">
        <f>'Rep Schedule - Advanced'!X31</f>
        <v>0</v>
      </c>
      <c r="L51" s="211">
        <f>'Rep Schedule - Advanced'!Y31</f>
        <v>0</v>
      </c>
      <c r="M51" s="213">
        <f>'Rep Schedule - Advanced'!Z31</f>
        <v>0</v>
      </c>
      <c r="N51" s="214">
        <f>'Rep Schedule - Advanced'!AB31</f>
        <v>0</v>
      </c>
      <c r="O51" s="550" t="e">
        <f>'Rep Schedule - Advanced'!BI31</f>
        <v>#NUM!</v>
      </c>
      <c r="P51" s="551" t="e">
        <f>'Rep Schedule - Advanced'!BK31</f>
        <v>#NUM!</v>
      </c>
      <c r="Q51" s="552" t="e">
        <f>'Rep Schedule - Advanced'!BL31</f>
        <v>#NUM!</v>
      </c>
      <c r="R51" s="661">
        <f>'Rep Schedule - Advanced'!Q31</f>
        <v>0</v>
      </c>
      <c r="S51" s="213">
        <f t="shared" si="2"/>
        <v>0</v>
      </c>
      <c r="AD51" s="167" t="b">
        <f>'Rep Schedule - Advanced'!AN31</f>
        <v>1</v>
      </c>
    </row>
    <row r="52" spans="2:30" hidden="1">
      <c r="B52" s="167">
        <f>'Rep Schedule - Advanced'!B32</f>
        <v>26</v>
      </c>
      <c r="C52" s="486">
        <f>'Rep Schedule - Advanced'!E32</f>
        <v>41135</v>
      </c>
      <c r="D52" s="210">
        <f>'Rep Schedule - Advanced'!G32</f>
        <v>0</v>
      </c>
      <c r="E52" s="211">
        <f>'Rep Schedule - Advanced'!H32</f>
        <v>0</v>
      </c>
      <c r="F52" s="212">
        <f>'Rep Schedule - Advanced'!J32</f>
        <v>0</v>
      </c>
      <c r="G52" s="481">
        <f>'Rep Schedule - Advanced'!K32</f>
        <v>0</v>
      </c>
      <c r="H52" s="481">
        <f>'Rep Schedule - Advanced'!N32</f>
        <v>0</v>
      </c>
      <c r="I52" s="481">
        <f>'Rep Schedule - Advanced'!R32</f>
        <v>0</v>
      </c>
      <c r="J52" s="481">
        <f>'Rep Schedule - Advanced'!U32</f>
        <v>0</v>
      </c>
      <c r="K52" s="210">
        <f>'Rep Schedule - Advanced'!X32</f>
        <v>0</v>
      </c>
      <c r="L52" s="211">
        <f>'Rep Schedule - Advanced'!Y32</f>
        <v>0</v>
      </c>
      <c r="M52" s="213">
        <f>'Rep Schedule - Advanced'!Z32</f>
        <v>0</v>
      </c>
      <c r="N52" s="214">
        <f>'Rep Schedule - Advanced'!AB32</f>
        <v>0</v>
      </c>
      <c r="O52" s="550" t="e">
        <f>'Rep Schedule - Advanced'!BI32</f>
        <v>#NUM!</v>
      </c>
      <c r="P52" s="551" t="e">
        <f>'Rep Schedule - Advanced'!BK32</f>
        <v>#NUM!</v>
      </c>
      <c r="Q52" s="552" t="e">
        <f>'Rep Schedule - Advanced'!BL32</f>
        <v>#NUM!</v>
      </c>
      <c r="R52" s="661">
        <f>'Rep Schedule - Advanced'!Q32</f>
        <v>0</v>
      </c>
      <c r="S52" s="213">
        <f t="shared" si="2"/>
        <v>0</v>
      </c>
      <c r="AD52" s="167" t="b">
        <f>'Rep Schedule - Advanced'!AN32</f>
        <v>1</v>
      </c>
    </row>
    <row r="53" spans="2:30" hidden="1">
      <c r="B53" s="167">
        <f>'Rep Schedule - Advanced'!B33</f>
        <v>27</v>
      </c>
      <c r="C53" s="486">
        <f>'Rep Schedule - Advanced'!E33</f>
        <v>41166</v>
      </c>
      <c r="D53" s="210">
        <f>'Rep Schedule - Advanced'!G33</f>
        <v>0</v>
      </c>
      <c r="E53" s="211">
        <f>'Rep Schedule - Advanced'!H33</f>
        <v>0</v>
      </c>
      <c r="F53" s="212">
        <f>'Rep Schedule - Advanced'!J33</f>
        <v>0</v>
      </c>
      <c r="G53" s="481">
        <f>'Rep Schedule - Advanced'!K33</f>
        <v>0</v>
      </c>
      <c r="H53" s="481">
        <f>'Rep Schedule - Advanced'!N33</f>
        <v>0</v>
      </c>
      <c r="I53" s="481">
        <f>'Rep Schedule - Advanced'!R33</f>
        <v>0</v>
      </c>
      <c r="J53" s="481">
        <f>'Rep Schedule - Advanced'!U33</f>
        <v>0</v>
      </c>
      <c r="K53" s="210">
        <f>'Rep Schedule - Advanced'!X33</f>
        <v>0</v>
      </c>
      <c r="L53" s="211">
        <f>'Rep Schedule - Advanced'!Y33</f>
        <v>0</v>
      </c>
      <c r="M53" s="213">
        <f>'Rep Schedule - Advanced'!Z33</f>
        <v>0</v>
      </c>
      <c r="N53" s="214">
        <f>'Rep Schedule - Advanced'!AB33</f>
        <v>0</v>
      </c>
      <c r="O53" s="550" t="e">
        <f>'Rep Schedule - Advanced'!BI33</f>
        <v>#NUM!</v>
      </c>
      <c r="P53" s="551" t="e">
        <f>'Rep Schedule - Advanced'!BK33</f>
        <v>#NUM!</v>
      </c>
      <c r="Q53" s="552" t="e">
        <f>'Rep Schedule - Advanced'!BL33</f>
        <v>#NUM!</v>
      </c>
      <c r="R53" s="661">
        <f>'Rep Schedule - Advanced'!Q33</f>
        <v>0</v>
      </c>
      <c r="S53" s="213">
        <f t="shared" si="2"/>
        <v>0</v>
      </c>
      <c r="AD53" s="167" t="b">
        <f>'Rep Schedule - Advanced'!AN33</f>
        <v>1</v>
      </c>
    </row>
    <row r="54" spans="2:30" hidden="1">
      <c r="B54" s="167">
        <f>'Rep Schedule - Advanced'!B34</f>
        <v>28</v>
      </c>
      <c r="C54" s="486">
        <f>'Rep Schedule - Advanced'!E34</f>
        <v>41196</v>
      </c>
      <c r="D54" s="210">
        <f>'Rep Schedule - Advanced'!G34</f>
        <v>0</v>
      </c>
      <c r="E54" s="211">
        <f>'Rep Schedule - Advanced'!H34</f>
        <v>0</v>
      </c>
      <c r="F54" s="212">
        <f>'Rep Schedule - Advanced'!J34</f>
        <v>0</v>
      </c>
      <c r="G54" s="481">
        <f>'Rep Schedule - Advanced'!K34</f>
        <v>0</v>
      </c>
      <c r="H54" s="481">
        <f>'Rep Schedule - Advanced'!N34</f>
        <v>0</v>
      </c>
      <c r="I54" s="481">
        <f>'Rep Schedule - Advanced'!R34</f>
        <v>0</v>
      </c>
      <c r="J54" s="481">
        <f>'Rep Schedule - Advanced'!U34</f>
        <v>0</v>
      </c>
      <c r="K54" s="210">
        <f>'Rep Schedule - Advanced'!X34</f>
        <v>0</v>
      </c>
      <c r="L54" s="211">
        <f>'Rep Schedule - Advanced'!Y34</f>
        <v>0</v>
      </c>
      <c r="M54" s="213">
        <f>'Rep Schedule - Advanced'!Z34</f>
        <v>0</v>
      </c>
      <c r="N54" s="214">
        <f>'Rep Schedule - Advanced'!AB34</f>
        <v>0</v>
      </c>
      <c r="O54" s="550" t="e">
        <f>'Rep Schedule - Advanced'!BI34</f>
        <v>#NUM!</v>
      </c>
      <c r="P54" s="551" t="e">
        <f>'Rep Schedule - Advanced'!BK34</f>
        <v>#NUM!</v>
      </c>
      <c r="Q54" s="552" t="e">
        <f>'Rep Schedule - Advanced'!BL34</f>
        <v>#NUM!</v>
      </c>
      <c r="R54" s="661">
        <f>'Rep Schedule - Advanced'!Q34</f>
        <v>0</v>
      </c>
      <c r="S54" s="213">
        <f t="shared" si="2"/>
        <v>0</v>
      </c>
      <c r="AD54" s="167" t="b">
        <f>'Rep Schedule - Advanced'!AN34</f>
        <v>1</v>
      </c>
    </row>
    <row r="55" spans="2:30" hidden="1">
      <c r="B55" s="167">
        <f>'Rep Schedule - Advanced'!B35</f>
        <v>29</v>
      </c>
      <c r="C55" s="486">
        <f>'Rep Schedule - Advanced'!E35</f>
        <v>41227</v>
      </c>
      <c r="D55" s="210">
        <f>'Rep Schedule - Advanced'!G35</f>
        <v>0</v>
      </c>
      <c r="E55" s="211">
        <f>'Rep Schedule - Advanced'!H35</f>
        <v>0</v>
      </c>
      <c r="F55" s="212">
        <f>'Rep Schedule - Advanced'!J35</f>
        <v>0</v>
      </c>
      <c r="G55" s="481">
        <f>'Rep Schedule - Advanced'!K35</f>
        <v>0</v>
      </c>
      <c r="H55" s="481">
        <f>'Rep Schedule - Advanced'!N35</f>
        <v>0</v>
      </c>
      <c r="I55" s="481">
        <f>'Rep Schedule - Advanced'!R35</f>
        <v>0</v>
      </c>
      <c r="J55" s="481">
        <f>'Rep Schedule - Advanced'!U35</f>
        <v>0</v>
      </c>
      <c r="K55" s="210">
        <f>'Rep Schedule - Advanced'!X35</f>
        <v>0</v>
      </c>
      <c r="L55" s="211">
        <f>'Rep Schedule - Advanced'!Y35</f>
        <v>0</v>
      </c>
      <c r="M55" s="213">
        <f>'Rep Schedule - Advanced'!Z35</f>
        <v>0</v>
      </c>
      <c r="N55" s="214">
        <f>'Rep Schedule - Advanced'!AB35</f>
        <v>0</v>
      </c>
      <c r="O55" s="550" t="e">
        <f>'Rep Schedule - Advanced'!BI35</f>
        <v>#NUM!</v>
      </c>
      <c r="P55" s="551" t="e">
        <f>'Rep Schedule - Advanced'!BK35</f>
        <v>#NUM!</v>
      </c>
      <c r="Q55" s="552" t="e">
        <f>'Rep Schedule - Advanced'!BL35</f>
        <v>#NUM!</v>
      </c>
      <c r="R55" s="661">
        <f>'Rep Schedule - Advanced'!Q35</f>
        <v>0</v>
      </c>
      <c r="S55" s="213">
        <f t="shared" si="2"/>
        <v>0</v>
      </c>
      <c r="AD55" s="167" t="b">
        <f>'Rep Schedule - Advanced'!AN35</f>
        <v>1</v>
      </c>
    </row>
    <row r="56" spans="2:30" hidden="1">
      <c r="B56" s="167">
        <f>'Rep Schedule - Advanced'!B36</f>
        <v>30</v>
      </c>
      <c r="C56" s="486">
        <f>'Rep Schedule - Advanced'!E36</f>
        <v>41257</v>
      </c>
      <c r="D56" s="210">
        <f>'Rep Schedule - Advanced'!G36</f>
        <v>0</v>
      </c>
      <c r="E56" s="211">
        <f>'Rep Schedule - Advanced'!H36</f>
        <v>0</v>
      </c>
      <c r="F56" s="212">
        <f>'Rep Schedule - Advanced'!J36</f>
        <v>0</v>
      </c>
      <c r="G56" s="481">
        <f>'Rep Schedule - Advanced'!K36</f>
        <v>0</v>
      </c>
      <c r="H56" s="481">
        <f>'Rep Schedule - Advanced'!N36</f>
        <v>0</v>
      </c>
      <c r="I56" s="481">
        <f>'Rep Schedule - Advanced'!R36</f>
        <v>0</v>
      </c>
      <c r="J56" s="481">
        <f>'Rep Schedule - Advanced'!U36</f>
        <v>0</v>
      </c>
      <c r="K56" s="210">
        <f>'Rep Schedule - Advanced'!X36</f>
        <v>0</v>
      </c>
      <c r="L56" s="211">
        <f>'Rep Schedule - Advanced'!Y36</f>
        <v>0</v>
      </c>
      <c r="M56" s="213">
        <f>'Rep Schedule - Advanced'!Z36</f>
        <v>0</v>
      </c>
      <c r="N56" s="214">
        <f>'Rep Schedule - Advanced'!AB36</f>
        <v>0</v>
      </c>
      <c r="O56" s="550" t="e">
        <f>'Rep Schedule - Advanced'!BI36</f>
        <v>#NUM!</v>
      </c>
      <c r="P56" s="551" t="e">
        <f>'Rep Schedule - Advanced'!BK36</f>
        <v>#NUM!</v>
      </c>
      <c r="Q56" s="552" t="e">
        <f>'Rep Schedule - Advanced'!BL36</f>
        <v>#NUM!</v>
      </c>
      <c r="R56" s="661">
        <f>'Rep Schedule - Advanced'!Q36</f>
        <v>0</v>
      </c>
      <c r="S56" s="213">
        <f t="shared" si="2"/>
        <v>0</v>
      </c>
      <c r="AD56" s="167" t="b">
        <f>'Rep Schedule - Advanced'!AN36</f>
        <v>1</v>
      </c>
    </row>
    <row r="57" spans="2:30" hidden="1">
      <c r="B57" s="167">
        <f>'Rep Schedule - Advanced'!B37</f>
        <v>31</v>
      </c>
      <c r="C57" s="486">
        <f>'Rep Schedule - Advanced'!E37</f>
        <v>41288</v>
      </c>
      <c r="D57" s="210">
        <f>'Rep Schedule - Advanced'!G37</f>
        <v>0</v>
      </c>
      <c r="E57" s="211">
        <f>'Rep Schedule - Advanced'!H37</f>
        <v>0</v>
      </c>
      <c r="F57" s="212">
        <f>'Rep Schedule - Advanced'!J37</f>
        <v>0</v>
      </c>
      <c r="G57" s="481">
        <f>'Rep Schedule - Advanced'!K37</f>
        <v>0</v>
      </c>
      <c r="H57" s="481">
        <f>'Rep Schedule - Advanced'!N37</f>
        <v>0</v>
      </c>
      <c r="I57" s="481">
        <f>'Rep Schedule - Advanced'!R37</f>
        <v>0</v>
      </c>
      <c r="J57" s="481">
        <f>'Rep Schedule - Advanced'!U37</f>
        <v>0</v>
      </c>
      <c r="K57" s="210">
        <f>'Rep Schedule - Advanced'!X37</f>
        <v>0</v>
      </c>
      <c r="L57" s="211">
        <f>'Rep Schedule - Advanced'!Y37</f>
        <v>0</v>
      </c>
      <c r="M57" s="213">
        <f>'Rep Schedule - Advanced'!Z37</f>
        <v>0</v>
      </c>
      <c r="N57" s="214">
        <f>'Rep Schedule - Advanced'!AB37</f>
        <v>0</v>
      </c>
      <c r="O57" s="550" t="e">
        <f>'Rep Schedule - Advanced'!BI37</f>
        <v>#NUM!</v>
      </c>
      <c r="P57" s="551" t="e">
        <f>'Rep Schedule - Advanced'!BK37</f>
        <v>#NUM!</v>
      </c>
      <c r="Q57" s="552" t="e">
        <f>'Rep Schedule - Advanced'!BL37</f>
        <v>#NUM!</v>
      </c>
      <c r="R57" s="661">
        <f>'Rep Schedule - Advanced'!Q37</f>
        <v>0</v>
      </c>
      <c r="S57" s="213">
        <f t="shared" si="2"/>
        <v>0</v>
      </c>
      <c r="AD57" s="167" t="b">
        <f>'Rep Schedule - Advanced'!AN37</f>
        <v>1</v>
      </c>
    </row>
    <row r="58" spans="2:30" hidden="1">
      <c r="B58" s="167">
        <f>'Rep Schedule - Advanced'!B38</f>
        <v>32</v>
      </c>
      <c r="C58" s="486">
        <f>'Rep Schedule - Advanced'!E38</f>
        <v>41319</v>
      </c>
      <c r="D58" s="210">
        <f>'Rep Schedule - Advanced'!G38</f>
        <v>0</v>
      </c>
      <c r="E58" s="211">
        <f>'Rep Schedule - Advanced'!H38</f>
        <v>0</v>
      </c>
      <c r="F58" s="212">
        <f>'Rep Schedule - Advanced'!J38</f>
        <v>0</v>
      </c>
      <c r="G58" s="481">
        <f>'Rep Schedule - Advanced'!K38</f>
        <v>0</v>
      </c>
      <c r="H58" s="481">
        <f>'Rep Schedule - Advanced'!N38</f>
        <v>0</v>
      </c>
      <c r="I58" s="481">
        <f>'Rep Schedule - Advanced'!R38</f>
        <v>0</v>
      </c>
      <c r="J58" s="481">
        <f>'Rep Schedule - Advanced'!U38</f>
        <v>0</v>
      </c>
      <c r="K58" s="210">
        <f>'Rep Schedule - Advanced'!X38</f>
        <v>0</v>
      </c>
      <c r="L58" s="211">
        <f>'Rep Schedule - Advanced'!Y38</f>
        <v>0</v>
      </c>
      <c r="M58" s="213">
        <f>'Rep Schedule - Advanced'!Z38</f>
        <v>0</v>
      </c>
      <c r="N58" s="214">
        <f>'Rep Schedule - Advanced'!AB38</f>
        <v>0</v>
      </c>
      <c r="O58" s="550" t="e">
        <f>'Rep Schedule - Advanced'!BI38</f>
        <v>#NUM!</v>
      </c>
      <c r="P58" s="551" t="e">
        <f>'Rep Schedule - Advanced'!BK38</f>
        <v>#NUM!</v>
      </c>
      <c r="Q58" s="552" t="e">
        <f>'Rep Schedule - Advanced'!BL38</f>
        <v>#NUM!</v>
      </c>
      <c r="R58" s="661">
        <f>'Rep Schedule - Advanced'!Q38</f>
        <v>0</v>
      </c>
      <c r="S58" s="213">
        <f t="shared" ref="S58:S86" si="3">S57+SUM(G58:J58)</f>
        <v>0</v>
      </c>
      <c r="AD58" s="167" t="b">
        <f>'Rep Schedule - Advanced'!AN38</f>
        <v>1</v>
      </c>
    </row>
    <row r="59" spans="2:30" hidden="1">
      <c r="B59" s="167">
        <f>'Rep Schedule - Advanced'!B39</f>
        <v>33</v>
      </c>
      <c r="C59" s="486">
        <f>'Rep Schedule - Advanced'!E39</f>
        <v>41347</v>
      </c>
      <c r="D59" s="210">
        <f>'Rep Schedule - Advanced'!G39</f>
        <v>0</v>
      </c>
      <c r="E59" s="211">
        <f>'Rep Schedule - Advanced'!H39</f>
        <v>0</v>
      </c>
      <c r="F59" s="212">
        <f>'Rep Schedule - Advanced'!J39</f>
        <v>0</v>
      </c>
      <c r="G59" s="481">
        <f>'Rep Schedule - Advanced'!K39</f>
        <v>0</v>
      </c>
      <c r="H59" s="481">
        <f>'Rep Schedule - Advanced'!N39</f>
        <v>0</v>
      </c>
      <c r="I59" s="481">
        <f>'Rep Schedule - Advanced'!R39</f>
        <v>0</v>
      </c>
      <c r="J59" s="481">
        <f>'Rep Schedule - Advanced'!U39</f>
        <v>0</v>
      </c>
      <c r="K59" s="210">
        <f>'Rep Schedule - Advanced'!X39</f>
        <v>0</v>
      </c>
      <c r="L59" s="211">
        <f>'Rep Schedule - Advanced'!Y39</f>
        <v>0</v>
      </c>
      <c r="M59" s="213">
        <f>'Rep Schedule - Advanced'!Z39</f>
        <v>0</v>
      </c>
      <c r="N59" s="214">
        <f>'Rep Schedule - Advanced'!AB39</f>
        <v>0</v>
      </c>
      <c r="O59" s="550" t="e">
        <f>'Rep Schedule - Advanced'!BI39</f>
        <v>#NUM!</v>
      </c>
      <c r="P59" s="551" t="e">
        <f>'Rep Schedule - Advanced'!BK39</f>
        <v>#NUM!</v>
      </c>
      <c r="Q59" s="552" t="e">
        <f>'Rep Schedule - Advanced'!BL39</f>
        <v>#NUM!</v>
      </c>
      <c r="R59" s="661">
        <f>'Rep Schedule - Advanced'!Q39</f>
        <v>0</v>
      </c>
      <c r="S59" s="213">
        <f t="shared" si="3"/>
        <v>0</v>
      </c>
      <c r="AD59" s="167" t="b">
        <f>'Rep Schedule - Advanced'!AN39</f>
        <v>1</v>
      </c>
    </row>
    <row r="60" spans="2:30" hidden="1">
      <c r="B60" s="167">
        <f>'Rep Schedule - Advanced'!B40</f>
        <v>34</v>
      </c>
      <c r="C60" s="486">
        <f>'Rep Schedule - Advanced'!E40</f>
        <v>41378</v>
      </c>
      <c r="D60" s="210">
        <f>'Rep Schedule - Advanced'!G40</f>
        <v>0</v>
      </c>
      <c r="E60" s="211">
        <f>'Rep Schedule - Advanced'!H40</f>
        <v>0</v>
      </c>
      <c r="F60" s="212">
        <f>'Rep Schedule - Advanced'!J40</f>
        <v>0</v>
      </c>
      <c r="G60" s="481">
        <f>'Rep Schedule - Advanced'!K40</f>
        <v>0</v>
      </c>
      <c r="H60" s="481">
        <f>'Rep Schedule - Advanced'!N40</f>
        <v>0</v>
      </c>
      <c r="I60" s="481">
        <f>'Rep Schedule - Advanced'!R40</f>
        <v>0</v>
      </c>
      <c r="J60" s="481">
        <f>'Rep Schedule - Advanced'!U40</f>
        <v>0</v>
      </c>
      <c r="K60" s="210">
        <f>'Rep Schedule - Advanced'!X40</f>
        <v>0</v>
      </c>
      <c r="L60" s="211">
        <f>'Rep Schedule - Advanced'!Y40</f>
        <v>0</v>
      </c>
      <c r="M60" s="213">
        <f>'Rep Schedule - Advanced'!Z40</f>
        <v>0</v>
      </c>
      <c r="N60" s="214">
        <f>'Rep Schedule - Advanced'!AB40</f>
        <v>0</v>
      </c>
      <c r="O60" s="550" t="e">
        <f>'Rep Schedule - Advanced'!BI40</f>
        <v>#NUM!</v>
      </c>
      <c r="P60" s="551" t="e">
        <f>'Rep Schedule - Advanced'!BK40</f>
        <v>#NUM!</v>
      </c>
      <c r="Q60" s="552" t="e">
        <f>'Rep Schedule - Advanced'!BL40</f>
        <v>#NUM!</v>
      </c>
      <c r="R60" s="661">
        <f>'Rep Schedule - Advanced'!Q40</f>
        <v>0</v>
      </c>
      <c r="S60" s="213">
        <f t="shared" si="3"/>
        <v>0</v>
      </c>
      <c r="AD60" s="167" t="b">
        <f>'Rep Schedule - Advanced'!AN40</f>
        <v>1</v>
      </c>
    </row>
    <row r="61" spans="2:30" hidden="1">
      <c r="B61" s="167">
        <f>'Rep Schedule - Advanced'!B41</f>
        <v>35</v>
      </c>
      <c r="C61" s="486">
        <f>'Rep Schedule - Advanced'!E41</f>
        <v>41408</v>
      </c>
      <c r="D61" s="210">
        <f>'Rep Schedule - Advanced'!G41</f>
        <v>0</v>
      </c>
      <c r="E61" s="211">
        <f>'Rep Schedule - Advanced'!H41</f>
        <v>0</v>
      </c>
      <c r="F61" s="212">
        <f>'Rep Schedule - Advanced'!J41</f>
        <v>0</v>
      </c>
      <c r="G61" s="481">
        <f>'Rep Schedule - Advanced'!K41</f>
        <v>0</v>
      </c>
      <c r="H61" s="481">
        <f>'Rep Schedule - Advanced'!N41</f>
        <v>0</v>
      </c>
      <c r="I61" s="481">
        <f>'Rep Schedule - Advanced'!R41</f>
        <v>0</v>
      </c>
      <c r="J61" s="481">
        <f>'Rep Schedule - Advanced'!U41</f>
        <v>0</v>
      </c>
      <c r="K61" s="210">
        <f>'Rep Schedule - Advanced'!X41</f>
        <v>0</v>
      </c>
      <c r="L61" s="211">
        <f>'Rep Schedule - Advanced'!Y41</f>
        <v>0</v>
      </c>
      <c r="M61" s="213">
        <f>'Rep Schedule - Advanced'!Z41</f>
        <v>0</v>
      </c>
      <c r="N61" s="214">
        <f>'Rep Schedule - Advanced'!AB41</f>
        <v>0</v>
      </c>
      <c r="O61" s="550" t="e">
        <f>'Rep Schedule - Advanced'!BI41</f>
        <v>#NUM!</v>
      </c>
      <c r="P61" s="551" t="e">
        <f>'Rep Schedule - Advanced'!BK41</f>
        <v>#NUM!</v>
      </c>
      <c r="Q61" s="552" t="e">
        <f>'Rep Schedule - Advanced'!BL41</f>
        <v>#NUM!</v>
      </c>
      <c r="R61" s="661">
        <f>'Rep Schedule - Advanced'!Q41</f>
        <v>0</v>
      </c>
      <c r="S61" s="213">
        <f t="shared" si="3"/>
        <v>0</v>
      </c>
      <c r="AD61" s="167" t="b">
        <f>'Rep Schedule - Advanced'!AN41</f>
        <v>1</v>
      </c>
    </row>
    <row r="62" spans="2:30" hidden="1">
      <c r="B62" s="167">
        <f>'Rep Schedule - Advanced'!B42</f>
        <v>36</v>
      </c>
      <c r="C62" s="486">
        <f>'Rep Schedule - Advanced'!E42</f>
        <v>41439</v>
      </c>
      <c r="D62" s="210">
        <f>'Rep Schedule - Advanced'!G42</f>
        <v>0</v>
      </c>
      <c r="E62" s="211">
        <f>'Rep Schedule - Advanced'!H42</f>
        <v>0</v>
      </c>
      <c r="F62" s="212">
        <f>'Rep Schedule - Advanced'!J42</f>
        <v>0</v>
      </c>
      <c r="G62" s="481">
        <f>'Rep Schedule - Advanced'!K42</f>
        <v>0</v>
      </c>
      <c r="H62" s="481">
        <f>'Rep Schedule - Advanced'!N42</f>
        <v>0</v>
      </c>
      <c r="I62" s="481">
        <f>'Rep Schedule - Advanced'!R42</f>
        <v>0</v>
      </c>
      <c r="J62" s="481">
        <f>'Rep Schedule - Advanced'!U42</f>
        <v>0</v>
      </c>
      <c r="K62" s="210">
        <f>'Rep Schedule - Advanced'!X42</f>
        <v>0</v>
      </c>
      <c r="L62" s="211">
        <f>'Rep Schedule - Advanced'!Y42</f>
        <v>0</v>
      </c>
      <c r="M62" s="213">
        <f>'Rep Schedule - Advanced'!Z42</f>
        <v>0</v>
      </c>
      <c r="N62" s="214">
        <f>'Rep Schedule - Advanced'!AB42</f>
        <v>0</v>
      </c>
      <c r="O62" s="550" t="e">
        <f>'Rep Schedule - Advanced'!BI42</f>
        <v>#NUM!</v>
      </c>
      <c r="P62" s="551" t="e">
        <f>'Rep Schedule - Advanced'!BK42</f>
        <v>#NUM!</v>
      </c>
      <c r="Q62" s="552" t="e">
        <f>'Rep Schedule - Advanced'!BL42</f>
        <v>#NUM!</v>
      </c>
      <c r="R62" s="661">
        <f>'Rep Schedule - Advanced'!Q42</f>
        <v>0</v>
      </c>
      <c r="S62" s="213">
        <f t="shared" si="3"/>
        <v>0</v>
      </c>
      <c r="AD62" s="167" t="b">
        <f>'Rep Schedule - Advanced'!AN42</f>
        <v>1</v>
      </c>
    </row>
    <row r="63" spans="2:30" hidden="1">
      <c r="B63" s="167">
        <f>'Rep Schedule - Advanced'!B43</f>
        <v>37</v>
      </c>
      <c r="C63" s="486">
        <f>'Rep Schedule - Advanced'!E43</f>
        <v>41469</v>
      </c>
      <c r="D63" s="210">
        <f>'Rep Schedule - Advanced'!G43</f>
        <v>0</v>
      </c>
      <c r="E63" s="211">
        <f>'Rep Schedule - Advanced'!H43</f>
        <v>0</v>
      </c>
      <c r="F63" s="212">
        <f>'Rep Schedule - Advanced'!J43</f>
        <v>0</v>
      </c>
      <c r="G63" s="481">
        <f>'Rep Schedule - Advanced'!K43</f>
        <v>0</v>
      </c>
      <c r="H63" s="481">
        <f>'Rep Schedule - Advanced'!N43</f>
        <v>0</v>
      </c>
      <c r="I63" s="481">
        <f>'Rep Schedule - Advanced'!R43</f>
        <v>0</v>
      </c>
      <c r="J63" s="481">
        <f>'Rep Schedule - Advanced'!U43</f>
        <v>0</v>
      </c>
      <c r="K63" s="210">
        <f>'Rep Schedule - Advanced'!X43</f>
        <v>0</v>
      </c>
      <c r="L63" s="211">
        <f>'Rep Schedule - Advanced'!Y43</f>
        <v>0</v>
      </c>
      <c r="M63" s="213">
        <f>'Rep Schedule - Advanced'!Z43</f>
        <v>0</v>
      </c>
      <c r="N63" s="214">
        <f>'Rep Schedule - Advanced'!AB43</f>
        <v>0</v>
      </c>
      <c r="O63" s="550" t="e">
        <f>'Rep Schedule - Advanced'!BI43</f>
        <v>#NUM!</v>
      </c>
      <c r="P63" s="551" t="e">
        <f>'Rep Schedule - Advanced'!BK43</f>
        <v>#NUM!</v>
      </c>
      <c r="Q63" s="552" t="e">
        <f>'Rep Schedule - Advanced'!BL43</f>
        <v>#NUM!</v>
      </c>
      <c r="R63" s="661">
        <f>'Rep Schedule - Advanced'!Q43</f>
        <v>0</v>
      </c>
      <c r="S63" s="213">
        <f t="shared" si="3"/>
        <v>0</v>
      </c>
      <c r="AD63" s="167" t="b">
        <f>'Rep Schedule - Advanced'!AN43</f>
        <v>1</v>
      </c>
    </row>
    <row r="64" spans="2:30" hidden="1">
      <c r="B64" s="167">
        <f>'Rep Schedule - Advanced'!B44</f>
        <v>38</v>
      </c>
      <c r="C64" s="486">
        <f>'Rep Schedule - Advanced'!E44</f>
        <v>41500</v>
      </c>
      <c r="D64" s="210">
        <f>'Rep Schedule - Advanced'!G44</f>
        <v>0</v>
      </c>
      <c r="E64" s="211">
        <f>'Rep Schedule - Advanced'!H44</f>
        <v>0</v>
      </c>
      <c r="F64" s="212">
        <f>'Rep Schedule - Advanced'!J44</f>
        <v>0</v>
      </c>
      <c r="G64" s="481">
        <f>'Rep Schedule - Advanced'!K44</f>
        <v>0</v>
      </c>
      <c r="H64" s="481">
        <f>'Rep Schedule - Advanced'!N44</f>
        <v>0</v>
      </c>
      <c r="I64" s="481">
        <f>'Rep Schedule - Advanced'!R44</f>
        <v>0</v>
      </c>
      <c r="J64" s="481">
        <f>'Rep Schedule - Advanced'!U44</f>
        <v>0</v>
      </c>
      <c r="K64" s="210">
        <f>'Rep Schedule - Advanced'!X44</f>
        <v>0</v>
      </c>
      <c r="L64" s="211">
        <f>'Rep Schedule - Advanced'!Y44</f>
        <v>0</v>
      </c>
      <c r="M64" s="213">
        <f>'Rep Schedule - Advanced'!Z44</f>
        <v>0</v>
      </c>
      <c r="N64" s="214">
        <f>'Rep Schedule - Advanced'!AB44</f>
        <v>0</v>
      </c>
      <c r="O64" s="550" t="e">
        <f>'Rep Schedule - Advanced'!BI44</f>
        <v>#NUM!</v>
      </c>
      <c r="P64" s="551" t="e">
        <f>'Rep Schedule - Advanced'!BK44</f>
        <v>#NUM!</v>
      </c>
      <c r="Q64" s="552" t="e">
        <f>'Rep Schedule - Advanced'!BL44</f>
        <v>#NUM!</v>
      </c>
      <c r="R64" s="661">
        <f>'Rep Schedule - Advanced'!Q44</f>
        <v>0</v>
      </c>
      <c r="S64" s="213">
        <f t="shared" si="3"/>
        <v>0</v>
      </c>
      <c r="AD64" s="167" t="b">
        <f>'Rep Schedule - Advanced'!AN44</f>
        <v>1</v>
      </c>
    </row>
    <row r="65" spans="2:30" hidden="1">
      <c r="B65" s="167">
        <f>'Rep Schedule - Advanced'!B45</f>
        <v>39</v>
      </c>
      <c r="C65" s="486">
        <f>'Rep Schedule - Advanced'!E45</f>
        <v>41531</v>
      </c>
      <c r="D65" s="210">
        <f>'Rep Schedule - Advanced'!G45</f>
        <v>0</v>
      </c>
      <c r="E65" s="211">
        <f>'Rep Schedule - Advanced'!H45</f>
        <v>0</v>
      </c>
      <c r="F65" s="212">
        <f>'Rep Schedule - Advanced'!J45</f>
        <v>0</v>
      </c>
      <c r="G65" s="481">
        <f>'Rep Schedule - Advanced'!K45</f>
        <v>0</v>
      </c>
      <c r="H65" s="481">
        <f>'Rep Schedule - Advanced'!N45</f>
        <v>0</v>
      </c>
      <c r="I65" s="481">
        <f>'Rep Schedule - Advanced'!R45</f>
        <v>0</v>
      </c>
      <c r="J65" s="481">
        <f>'Rep Schedule - Advanced'!U45</f>
        <v>0</v>
      </c>
      <c r="K65" s="210">
        <f>'Rep Schedule - Advanced'!X45</f>
        <v>0</v>
      </c>
      <c r="L65" s="211">
        <f>'Rep Schedule - Advanced'!Y45</f>
        <v>0</v>
      </c>
      <c r="M65" s="213">
        <f>'Rep Schedule - Advanced'!Z45</f>
        <v>0</v>
      </c>
      <c r="N65" s="214">
        <f>'Rep Schedule - Advanced'!AB45</f>
        <v>0</v>
      </c>
      <c r="O65" s="550" t="e">
        <f>'Rep Schedule - Advanced'!BI45</f>
        <v>#NUM!</v>
      </c>
      <c r="P65" s="551" t="e">
        <f>'Rep Schedule - Advanced'!BK45</f>
        <v>#NUM!</v>
      </c>
      <c r="Q65" s="552" t="e">
        <f>'Rep Schedule - Advanced'!BL45</f>
        <v>#NUM!</v>
      </c>
      <c r="R65" s="661">
        <f>'Rep Schedule - Advanced'!Q45</f>
        <v>0</v>
      </c>
      <c r="S65" s="213">
        <f t="shared" si="3"/>
        <v>0</v>
      </c>
      <c r="AD65" s="167" t="b">
        <f>'Rep Schedule - Advanced'!AN45</f>
        <v>1</v>
      </c>
    </row>
    <row r="66" spans="2:30" hidden="1">
      <c r="B66" s="167">
        <f>'Rep Schedule - Advanced'!B46</f>
        <v>40</v>
      </c>
      <c r="C66" s="486">
        <f>'Rep Schedule - Advanced'!E46</f>
        <v>41561</v>
      </c>
      <c r="D66" s="210">
        <f>'Rep Schedule - Advanced'!G46</f>
        <v>0</v>
      </c>
      <c r="E66" s="211">
        <f>'Rep Schedule - Advanced'!H46</f>
        <v>0</v>
      </c>
      <c r="F66" s="212">
        <f>'Rep Schedule - Advanced'!J46</f>
        <v>0</v>
      </c>
      <c r="G66" s="481">
        <f>'Rep Schedule - Advanced'!K46</f>
        <v>0</v>
      </c>
      <c r="H66" s="481">
        <f>'Rep Schedule - Advanced'!N46</f>
        <v>0</v>
      </c>
      <c r="I66" s="481">
        <f>'Rep Schedule - Advanced'!R46</f>
        <v>0</v>
      </c>
      <c r="J66" s="481">
        <f>'Rep Schedule - Advanced'!U46</f>
        <v>0</v>
      </c>
      <c r="K66" s="210">
        <f>'Rep Schedule - Advanced'!X46</f>
        <v>0</v>
      </c>
      <c r="L66" s="211">
        <f>'Rep Schedule - Advanced'!Y46</f>
        <v>0</v>
      </c>
      <c r="M66" s="213">
        <f>'Rep Schedule - Advanced'!Z46</f>
        <v>0</v>
      </c>
      <c r="N66" s="214">
        <f>'Rep Schedule - Advanced'!AB46</f>
        <v>0</v>
      </c>
      <c r="O66" s="550" t="e">
        <f>'Rep Schedule - Advanced'!BI46</f>
        <v>#NUM!</v>
      </c>
      <c r="P66" s="551" t="e">
        <f>'Rep Schedule - Advanced'!BK46</f>
        <v>#NUM!</v>
      </c>
      <c r="Q66" s="552" t="e">
        <f>'Rep Schedule - Advanced'!BL46</f>
        <v>#NUM!</v>
      </c>
      <c r="R66" s="661">
        <f>'Rep Schedule - Advanced'!Q46</f>
        <v>0</v>
      </c>
      <c r="S66" s="213">
        <f t="shared" si="3"/>
        <v>0</v>
      </c>
      <c r="AD66" s="167" t="b">
        <f>'Rep Schedule - Advanced'!AN46</f>
        <v>1</v>
      </c>
    </row>
    <row r="67" spans="2:30" hidden="1">
      <c r="B67" s="167">
        <f>'Rep Schedule - Advanced'!B47</f>
        <v>41</v>
      </c>
      <c r="C67" s="486">
        <f>'Rep Schedule - Advanced'!E47</f>
        <v>41592</v>
      </c>
      <c r="D67" s="210">
        <f>'Rep Schedule - Advanced'!G47</f>
        <v>0</v>
      </c>
      <c r="E67" s="211">
        <f>'Rep Schedule - Advanced'!H47</f>
        <v>0</v>
      </c>
      <c r="F67" s="212">
        <f>'Rep Schedule - Advanced'!J47</f>
        <v>0</v>
      </c>
      <c r="G67" s="481">
        <f>'Rep Schedule - Advanced'!K47</f>
        <v>0</v>
      </c>
      <c r="H67" s="481">
        <f>'Rep Schedule - Advanced'!N47</f>
        <v>0</v>
      </c>
      <c r="I67" s="481">
        <f>'Rep Schedule - Advanced'!R47</f>
        <v>0</v>
      </c>
      <c r="J67" s="481">
        <f>'Rep Schedule - Advanced'!U47</f>
        <v>0</v>
      </c>
      <c r="K67" s="210">
        <f>'Rep Schedule - Advanced'!X47</f>
        <v>0</v>
      </c>
      <c r="L67" s="211">
        <f>'Rep Schedule - Advanced'!Y47</f>
        <v>0</v>
      </c>
      <c r="M67" s="213">
        <f>'Rep Schedule - Advanced'!Z47</f>
        <v>0</v>
      </c>
      <c r="N67" s="214">
        <f>'Rep Schedule - Advanced'!AB47</f>
        <v>0</v>
      </c>
      <c r="O67" s="550" t="e">
        <f>'Rep Schedule - Advanced'!BI47</f>
        <v>#NUM!</v>
      </c>
      <c r="P67" s="551" t="e">
        <f>'Rep Schedule - Advanced'!BK47</f>
        <v>#NUM!</v>
      </c>
      <c r="Q67" s="552" t="e">
        <f>'Rep Schedule - Advanced'!BL47</f>
        <v>#NUM!</v>
      </c>
      <c r="R67" s="661">
        <f>'Rep Schedule - Advanced'!Q47</f>
        <v>0</v>
      </c>
      <c r="S67" s="213">
        <f t="shared" si="3"/>
        <v>0</v>
      </c>
      <c r="AD67" s="167" t="b">
        <f>'Rep Schedule - Advanced'!AN47</f>
        <v>1</v>
      </c>
    </row>
    <row r="68" spans="2:30" hidden="1">
      <c r="B68" s="167">
        <f>'Rep Schedule - Advanced'!B48</f>
        <v>42</v>
      </c>
      <c r="C68" s="486">
        <f>'Rep Schedule - Advanced'!E48</f>
        <v>41622</v>
      </c>
      <c r="D68" s="210">
        <f>'Rep Schedule - Advanced'!G48</f>
        <v>0</v>
      </c>
      <c r="E68" s="211">
        <f>'Rep Schedule - Advanced'!H48</f>
        <v>0</v>
      </c>
      <c r="F68" s="212">
        <f>'Rep Schedule - Advanced'!J48</f>
        <v>0</v>
      </c>
      <c r="G68" s="481">
        <f>'Rep Schedule - Advanced'!K48</f>
        <v>0</v>
      </c>
      <c r="H68" s="481">
        <f>'Rep Schedule - Advanced'!N48</f>
        <v>0</v>
      </c>
      <c r="I68" s="481">
        <f>'Rep Schedule - Advanced'!R48</f>
        <v>0</v>
      </c>
      <c r="J68" s="481">
        <f>'Rep Schedule - Advanced'!U48</f>
        <v>0</v>
      </c>
      <c r="K68" s="210">
        <f>'Rep Schedule - Advanced'!X48</f>
        <v>0</v>
      </c>
      <c r="L68" s="211">
        <f>'Rep Schedule - Advanced'!Y48</f>
        <v>0</v>
      </c>
      <c r="M68" s="213">
        <f>'Rep Schedule - Advanced'!Z48</f>
        <v>0</v>
      </c>
      <c r="N68" s="214">
        <f>'Rep Schedule - Advanced'!AB48</f>
        <v>0</v>
      </c>
      <c r="O68" s="550" t="e">
        <f>'Rep Schedule - Advanced'!BI48</f>
        <v>#NUM!</v>
      </c>
      <c r="P68" s="551" t="e">
        <f>'Rep Schedule - Advanced'!BK48</f>
        <v>#NUM!</v>
      </c>
      <c r="Q68" s="552" t="e">
        <f>'Rep Schedule - Advanced'!BL48</f>
        <v>#NUM!</v>
      </c>
      <c r="R68" s="661">
        <f>'Rep Schedule - Advanced'!Q48</f>
        <v>0</v>
      </c>
      <c r="S68" s="213">
        <f t="shared" si="3"/>
        <v>0</v>
      </c>
      <c r="AD68" s="167" t="b">
        <f>'Rep Schedule - Advanced'!AN48</f>
        <v>1</v>
      </c>
    </row>
    <row r="69" spans="2:30" hidden="1">
      <c r="B69" s="167">
        <f>'Rep Schedule - Advanced'!B49</f>
        <v>43</v>
      </c>
      <c r="C69" s="486">
        <f>'Rep Schedule - Advanced'!E49</f>
        <v>41653</v>
      </c>
      <c r="D69" s="210">
        <f>'Rep Schedule - Advanced'!G49</f>
        <v>0</v>
      </c>
      <c r="E69" s="211">
        <f>'Rep Schedule - Advanced'!H49</f>
        <v>0</v>
      </c>
      <c r="F69" s="212">
        <f>'Rep Schedule - Advanced'!J49</f>
        <v>0</v>
      </c>
      <c r="G69" s="481">
        <f>'Rep Schedule - Advanced'!K49</f>
        <v>0</v>
      </c>
      <c r="H69" s="481">
        <f>'Rep Schedule - Advanced'!N49</f>
        <v>0</v>
      </c>
      <c r="I69" s="481">
        <f>'Rep Schedule - Advanced'!R49</f>
        <v>0</v>
      </c>
      <c r="J69" s="481">
        <f>'Rep Schedule - Advanced'!U49</f>
        <v>0</v>
      </c>
      <c r="K69" s="210">
        <f>'Rep Schedule - Advanced'!X49</f>
        <v>0</v>
      </c>
      <c r="L69" s="211">
        <f>'Rep Schedule - Advanced'!Y49</f>
        <v>0</v>
      </c>
      <c r="M69" s="213">
        <f>'Rep Schedule - Advanced'!Z49</f>
        <v>0</v>
      </c>
      <c r="N69" s="214">
        <f>'Rep Schedule - Advanced'!AB49</f>
        <v>0</v>
      </c>
      <c r="O69" s="550" t="e">
        <f>'Rep Schedule - Advanced'!BI49</f>
        <v>#NUM!</v>
      </c>
      <c r="P69" s="551" t="e">
        <f>'Rep Schedule - Advanced'!BK49</f>
        <v>#NUM!</v>
      </c>
      <c r="Q69" s="552" t="e">
        <f>'Rep Schedule - Advanced'!BL49</f>
        <v>#NUM!</v>
      </c>
      <c r="R69" s="661">
        <f>'Rep Schedule - Advanced'!Q49</f>
        <v>0</v>
      </c>
      <c r="S69" s="213">
        <f t="shared" si="3"/>
        <v>0</v>
      </c>
      <c r="AD69" s="167" t="b">
        <f>'Rep Schedule - Advanced'!AN49</f>
        <v>1</v>
      </c>
    </row>
    <row r="70" spans="2:30" hidden="1">
      <c r="B70" s="167">
        <f>'Rep Schedule - Advanced'!B50</f>
        <v>44</v>
      </c>
      <c r="C70" s="486">
        <f>'Rep Schedule - Advanced'!E50</f>
        <v>41684</v>
      </c>
      <c r="D70" s="210">
        <f>'Rep Schedule - Advanced'!G50</f>
        <v>0</v>
      </c>
      <c r="E70" s="211">
        <f>'Rep Schedule - Advanced'!H50</f>
        <v>0</v>
      </c>
      <c r="F70" s="212">
        <f>'Rep Schedule - Advanced'!J50</f>
        <v>0</v>
      </c>
      <c r="G70" s="481">
        <f>'Rep Schedule - Advanced'!K50</f>
        <v>0</v>
      </c>
      <c r="H70" s="481">
        <f>'Rep Schedule - Advanced'!N50</f>
        <v>0</v>
      </c>
      <c r="I70" s="481">
        <f>'Rep Schedule - Advanced'!R50</f>
        <v>0</v>
      </c>
      <c r="J70" s="481">
        <f>'Rep Schedule - Advanced'!U50</f>
        <v>0</v>
      </c>
      <c r="K70" s="210">
        <f>'Rep Schedule - Advanced'!X50</f>
        <v>0</v>
      </c>
      <c r="L70" s="211">
        <f>'Rep Schedule - Advanced'!Y50</f>
        <v>0</v>
      </c>
      <c r="M70" s="213">
        <f>'Rep Schedule - Advanced'!Z50</f>
        <v>0</v>
      </c>
      <c r="N70" s="214">
        <f>'Rep Schedule - Advanced'!AB50</f>
        <v>0</v>
      </c>
      <c r="O70" s="550" t="e">
        <f>'Rep Schedule - Advanced'!BI50</f>
        <v>#NUM!</v>
      </c>
      <c r="P70" s="551" t="e">
        <f>'Rep Schedule - Advanced'!BK50</f>
        <v>#NUM!</v>
      </c>
      <c r="Q70" s="552" t="e">
        <f>'Rep Schedule - Advanced'!BL50</f>
        <v>#NUM!</v>
      </c>
      <c r="R70" s="661">
        <f>'Rep Schedule - Advanced'!Q50</f>
        <v>0</v>
      </c>
      <c r="S70" s="213">
        <f t="shared" si="3"/>
        <v>0</v>
      </c>
      <c r="AD70" s="167" t="b">
        <f>'Rep Schedule - Advanced'!AN50</f>
        <v>1</v>
      </c>
    </row>
    <row r="71" spans="2:30" hidden="1">
      <c r="B71" s="167">
        <f>'Rep Schedule - Advanced'!B51</f>
        <v>45</v>
      </c>
      <c r="C71" s="486">
        <f>'Rep Schedule - Advanced'!E51</f>
        <v>41712</v>
      </c>
      <c r="D71" s="210">
        <f>'Rep Schedule - Advanced'!G51</f>
        <v>0</v>
      </c>
      <c r="E71" s="211">
        <f>'Rep Schedule - Advanced'!H51</f>
        <v>0</v>
      </c>
      <c r="F71" s="212">
        <f>'Rep Schedule - Advanced'!J51</f>
        <v>0</v>
      </c>
      <c r="G71" s="481">
        <f>'Rep Schedule - Advanced'!K51</f>
        <v>0</v>
      </c>
      <c r="H71" s="481">
        <f>'Rep Schedule - Advanced'!N51</f>
        <v>0</v>
      </c>
      <c r="I71" s="481">
        <f>'Rep Schedule - Advanced'!R51</f>
        <v>0</v>
      </c>
      <c r="J71" s="481">
        <f>'Rep Schedule - Advanced'!U51</f>
        <v>0</v>
      </c>
      <c r="K71" s="210">
        <f>'Rep Schedule - Advanced'!X51</f>
        <v>0</v>
      </c>
      <c r="L71" s="211">
        <f>'Rep Schedule - Advanced'!Y51</f>
        <v>0</v>
      </c>
      <c r="M71" s="213">
        <f>'Rep Schedule - Advanced'!Z51</f>
        <v>0</v>
      </c>
      <c r="N71" s="214">
        <f>'Rep Schedule - Advanced'!AB51</f>
        <v>0</v>
      </c>
      <c r="O71" s="550" t="e">
        <f>'Rep Schedule - Advanced'!BI51</f>
        <v>#NUM!</v>
      </c>
      <c r="P71" s="551" t="e">
        <f>'Rep Schedule - Advanced'!BK51</f>
        <v>#NUM!</v>
      </c>
      <c r="Q71" s="552" t="e">
        <f>'Rep Schedule - Advanced'!BL51</f>
        <v>#NUM!</v>
      </c>
      <c r="R71" s="661">
        <f>'Rep Schedule - Advanced'!Q51</f>
        <v>0</v>
      </c>
      <c r="S71" s="213">
        <f t="shared" si="3"/>
        <v>0</v>
      </c>
      <c r="AD71" s="167" t="b">
        <f>'Rep Schedule - Advanced'!AN51</f>
        <v>1</v>
      </c>
    </row>
    <row r="72" spans="2:30" hidden="1">
      <c r="B72" s="167">
        <f>'Rep Schedule - Advanced'!B52</f>
        <v>46</v>
      </c>
      <c r="C72" s="486">
        <f>'Rep Schedule - Advanced'!E52</f>
        <v>41743</v>
      </c>
      <c r="D72" s="210">
        <f>'Rep Schedule - Advanced'!G52</f>
        <v>0</v>
      </c>
      <c r="E72" s="211">
        <f>'Rep Schedule - Advanced'!H52</f>
        <v>0</v>
      </c>
      <c r="F72" s="212">
        <f>'Rep Schedule - Advanced'!J52</f>
        <v>0</v>
      </c>
      <c r="G72" s="481">
        <f>'Rep Schedule - Advanced'!K52</f>
        <v>0</v>
      </c>
      <c r="H72" s="481">
        <f>'Rep Schedule - Advanced'!N52</f>
        <v>0</v>
      </c>
      <c r="I72" s="481">
        <f>'Rep Schedule - Advanced'!R52</f>
        <v>0</v>
      </c>
      <c r="J72" s="481">
        <f>'Rep Schedule - Advanced'!U52</f>
        <v>0</v>
      </c>
      <c r="K72" s="210">
        <f>'Rep Schedule - Advanced'!X52</f>
        <v>0</v>
      </c>
      <c r="L72" s="211">
        <f>'Rep Schedule - Advanced'!Y52</f>
        <v>0</v>
      </c>
      <c r="M72" s="213">
        <f>'Rep Schedule - Advanced'!Z52</f>
        <v>0</v>
      </c>
      <c r="N72" s="214">
        <f>'Rep Schedule - Advanced'!AB52</f>
        <v>0</v>
      </c>
      <c r="O72" s="550" t="e">
        <f>'Rep Schedule - Advanced'!BI52</f>
        <v>#NUM!</v>
      </c>
      <c r="P72" s="551" t="e">
        <f>'Rep Schedule - Advanced'!BK52</f>
        <v>#NUM!</v>
      </c>
      <c r="Q72" s="552" t="e">
        <f>'Rep Schedule - Advanced'!BL52</f>
        <v>#NUM!</v>
      </c>
      <c r="R72" s="661">
        <f>'Rep Schedule - Advanced'!Q52</f>
        <v>0</v>
      </c>
      <c r="S72" s="213">
        <f t="shared" si="3"/>
        <v>0</v>
      </c>
      <c r="AD72" s="167" t="b">
        <f>'Rep Schedule - Advanced'!AN52</f>
        <v>1</v>
      </c>
    </row>
    <row r="73" spans="2:30" hidden="1">
      <c r="B73" s="167">
        <f>'Rep Schedule - Advanced'!B53</f>
        <v>47</v>
      </c>
      <c r="C73" s="486">
        <f>'Rep Schedule - Advanced'!E53</f>
        <v>41773</v>
      </c>
      <c r="D73" s="210">
        <f>'Rep Schedule - Advanced'!G53</f>
        <v>0</v>
      </c>
      <c r="E73" s="211">
        <f>'Rep Schedule - Advanced'!H53</f>
        <v>0</v>
      </c>
      <c r="F73" s="212">
        <f>'Rep Schedule - Advanced'!J53</f>
        <v>0</v>
      </c>
      <c r="G73" s="481">
        <f>'Rep Schedule - Advanced'!K53</f>
        <v>0</v>
      </c>
      <c r="H73" s="481">
        <f>'Rep Schedule - Advanced'!N53</f>
        <v>0</v>
      </c>
      <c r="I73" s="481">
        <f>'Rep Schedule - Advanced'!R53</f>
        <v>0</v>
      </c>
      <c r="J73" s="481">
        <f>'Rep Schedule - Advanced'!U53</f>
        <v>0</v>
      </c>
      <c r="K73" s="210">
        <f>'Rep Schedule - Advanced'!X53</f>
        <v>0</v>
      </c>
      <c r="L73" s="211">
        <f>'Rep Schedule - Advanced'!Y53</f>
        <v>0</v>
      </c>
      <c r="M73" s="213">
        <f>'Rep Schedule - Advanced'!Z53</f>
        <v>0</v>
      </c>
      <c r="N73" s="214">
        <f>'Rep Schedule - Advanced'!AB53</f>
        <v>0</v>
      </c>
      <c r="O73" s="550" t="e">
        <f>'Rep Schedule - Advanced'!BI53</f>
        <v>#NUM!</v>
      </c>
      <c r="P73" s="551" t="e">
        <f>'Rep Schedule - Advanced'!BK53</f>
        <v>#NUM!</v>
      </c>
      <c r="Q73" s="552" t="e">
        <f>'Rep Schedule - Advanced'!BL53</f>
        <v>#NUM!</v>
      </c>
      <c r="R73" s="661">
        <f>'Rep Schedule - Advanced'!Q53</f>
        <v>0</v>
      </c>
      <c r="S73" s="213">
        <f t="shared" si="3"/>
        <v>0</v>
      </c>
      <c r="AD73" s="167" t="b">
        <f>'Rep Schedule - Advanced'!AN53</f>
        <v>1</v>
      </c>
    </row>
    <row r="74" spans="2:30" hidden="1">
      <c r="B74" s="167">
        <f>'Rep Schedule - Advanced'!B54</f>
        <v>48</v>
      </c>
      <c r="C74" s="486">
        <f>'Rep Schedule - Advanced'!E54</f>
        <v>41804</v>
      </c>
      <c r="D74" s="210">
        <f>'Rep Schedule - Advanced'!G54</f>
        <v>0</v>
      </c>
      <c r="E74" s="211">
        <f>'Rep Schedule - Advanced'!H54</f>
        <v>0</v>
      </c>
      <c r="F74" s="212">
        <f>'Rep Schedule - Advanced'!J54</f>
        <v>0</v>
      </c>
      <c r="G74" s="481">
        <f>'Rep Schedule - Advanced'!K54</f>
        <v>0</v>
      </c>
      <c r="H74" s="481">
        <f>'Rep Schedule - Advanced'!N54</f>
        <v>0</v>
      </c>
      <c r="I74" s="481">
        <f>'Rep Schedule - Advanced'!R54</f>
        <v>0</v>
      </c>
      <c r="J74" s="481">
        <f>'Rep Schedule - Advanced'!U54</f>
        <v>0</v>
      </c>
      <c r="K74" s="210">
        <f>'Rep Schedule - Advanced'!X54</f>
        <v>0</v>
      </c>
      <c r="L74" s="211">
        <f>'Rep Schedule - Advanced'!Y54</f>
        <v>0</v>
      </c>
      <c r="M74" s="213">
        <f>'Rep Schedule - Advanced'!Z54</f>
        <v>0</v>
      </c>
      <c r="N74" s="214">
        <f>'Rep Schedule - Advanced'!AB54</f>
        <v>0</v>
      </c>
      <c r="O74" s="550" t="e">
        <f>'Rep Schedule - Advanced'!BI54</f>
        <v>#NUM!</v>
      </c>
      <c r="P74" s="551" t="e">
        <f>'Rep Schedule - Advanced'!BK54</f>
        <v>#NUM!</v>
      </c>
      <c r="Q74" s="552" t="e">
        <f>'Rep Schedule - Advanced'!BL54</f>
        <v>#NUM!</v>
      </c>
      <c r="R74" s="661">
        <f>'Rep Schedule - Advanced'!Q54</f>
        <v>0</v>
      </c>
      <c r="S74" s="213">
        <f t="shared" si="3"/>
        <v>0</v>
      </c>
      <c r="AD74" s="167" t="b">
        <f>'Rep Schedule - Advanced'!AN54</f>
        <v>1</v>
      </c>
    </row>
    <row r="75" spans="2:30" hidden="1">
      <c r="B75" s="167">
        <f>'Rep Schedule - Advanced'!B55</f>
        <v>49</v>
      </c>
      <c r="C75" s="486">
        <f>'Rep Schedule - Advanced'!E55</f>
        <v>41834</v>
      </c>
      <c r="D75" s="210">
        <f>'Rep Schedule - Advanced'!G55</f>
        <v>0</v>
      </c>
      <c r="E75" s="211">
        <f>'Rep Schedule - Advanced'!H55</f>
        <v>0</v>
      </c>
      <c r="F75" s="212">
        <f>'Rep Schedule - Advanced'!J55</f>
        <v>0</v>
      </c>
      <c r="G75" s="481">
        <f>'Rep Schedule - Advanced'!K55</f>
        <v>0</v>
      </c>
      <c r="H75" s="481">
        <f>'Rep Schedule - Advanced'!N55</f>
        <v>0</v>
      </c>
      <c r="I75" s="481">
        <f>'Rep Schedule - Advanced'!R55</f>
        <v>0</v>
      </c>
      <c r="J75" s="481">
        <f>'Rep Schedule - Advanced'!U55</f>
        <v>0</v>
      </c>
      <c r="K75" s="210">
        <f>'Rep Schedule - Advanced'!X55</f>
        <v>0</v>
      </c>
      <c r="L75" s="211">
        <f>'Rep Schedule - Advanced'!Y55</f>
        <v>0</v>
      </c>
      <c r="M75" s="213">
        <f>'Rep Schedule - Advanced'!Z55</f>
        <v>0</v>
      </c>
      <c r="N75" s="214">
        <f>'Rep Schedule - Advanced'!AB55</f>
        <v>0</v>
      </c>
      <c r="O75" s="550" t="e">
        <f>'Rep Schedule - Advanced'!BI55</f>
        <v>#NUM!</v>
      </c>
      <c r="P75" s="551" t="e">
        <f>'Rep Schedule - Advanced'!BK55</f>
        <v>#NUM!</v>
      </c>
      <c r="Q75" s="552" t="e">
        <f>'Rep Schedule - Advanced'!BL55</f>
        <v>#NUM!</v>
      </c>
      <c r="R75" s="661">
        <f>'Rep Schedule - Advanced'!Q55</f>
        <v>0</v>
      </c>
      <c r="S75" s="213">
        <f t="shared" si="3"/>
        <v>0</v>
      </c>
      <c r="AD75" s="167" t="b">
        <f>'Rep Schedule - Advanced'!AN55</f>
        <v>1</v>
      </c>
    </row>
    <row r="76" spans="2:30" hidden="1">
      <c r="B76" s="167">
        <f>'Rep Schedule - Advanced'!B56</f>
        <v>50</v>
      </c>
      <c r="C76" s="486">
        <f>'Rep Schedule - Advanced'!E56</f>
        <v>41865</v>
      </c>
      <c r="D76" s="210">
        <f>'Rep Schedule - Advanced'!G56</f>
        <v>0</v>
      </c>
      <c r="E76" s="211">
        <f>'Rep Schedule - Advanced'!H56</f>
        <v>0</v>
      </c>
      <c r="F76" s="212">
        <f>'Rep Schedule - Advanced'!J56</f>
        <v>0</v>
      </c>
      <c r="G76" s="481">
        <f>'Rep Schedule - Advanced'!K56</f>
        <v>0</v>
      </c>
      <c r="H76" s="481">
        <f>'Rep Schedule - Advanced'!N56</f>
        <v>0</v>
      </c>
      <c r="I76" s="481">
        <f>'Rep Schedule - Advanced'!R56</f>
        <v>0</v>
      </c>
      <c r="J76" s="481">
        <f>'Rep Schedule - Advanced'!U56</f>
        <v>0</v>
      </c>
      <c r="K76" s="210">
        <f>'Rep Schedule - Advanced'!X56</f>
        <v>0</v>
      </c>
      <c r="L76" s="211">
        <f>'Rep Schedule - Advanced'!Y56</f>
        <v>0</v>
      </c>
      <c r="M76" s="213">
        <f>'Rep Schedule - Advanced'!Z56</f>
        <v>0</v>
      </c>
      <c r="N76" s="214">
        <f>'Rep Schedule - Advanced'!AB56</f>
        <v>0</v>
      </c>
      <c r="O76" s="550" t="e">
        <f>'Rep Schedule - Advanced'!BI56</f>
        <v>#NUM!</v>
      </c>
      <c r="P76" s="551" t="e">
        <f>'Rep Schedule - Advanced'!BK56</f>
        <v>#NUM!</v>
      </c>
      <c r="Q76" s="552" t="e">
        <f>'Rep Schedule - Advanced'!BL56</f>
        <v>#NUM!</v>
      </c>
      <c r="R76" s="661">
        <f>'Rep Schedule - Advanced'!Q56</f>
        <v>0</v>
      </c>
      <c r="S76" s="213">
        <f t="shared" si="3"/>
        <v>0</v>
      </c>
      <c r="AD76" s="167" t="b">
        <f>'Rep Schedule - Advanced'!AN56</f>
        <v>1</v>
      </c>
    </row>
    <row r="77" spans="2:30" hidden="1">
      <c r="B77" s="167">
        <f>'Rep Schedule - Advanced'!B57</f>
        <v>51</v>
      </c>
      <c r="C77" s="486">
        <f>'Rep Schedule - Advanced'!E57</f>
        <v>41896</v>
      </c>
      <c r="D77" s="210">
        <f>'Rep Schedule - Advanced'!G57</f>
        <v>0</v>
      </c>
      <c r="E77" s="211">
        <f>'Rep Schedule - Advanced'!H57</f>
        <v>0</v>
      </c>
      <c r="F77" s="212">
        <f>'Rep Schedule - Advanced'!J57</f>
        <v>0</v>
      </c>
      <c r="G77" s="481">
        <f>'Rep Schedule - Advanced'!K57</f>
        <v>0</v>
      </c>
      <c r="H77" s="481">
        <f>'Rep Schedule - Advanced'!N57</f>
        <v>0</v>
      </c>
      <c r="I77" s="481">
        <f>'Rep Schedule - Advanced'!R57</f>
        <v>0</v>
      </c>
      <c r="J77" s="481">
        <f>'Rep Schedule - Advanced'!U57</f>
        <v>0</v>
      </c>
      <c r="K77" s="210">
        <f>'Rep Schedule - Advanced'!X57</f>
        <v>0</v>
      </c>
      <c r="L77" s="211">
        <f>'Rep Schedule - Advanced'!Y57</f>
        <v>0</v>
      </c>
      <c r="M77" s="213">
        <f>'Rep Schedule - Advanced'!Z57</f>
        <v>0</v>
      </c>
      <c r="N77" s="214">
        <f>'Rep Schedule - Advanced'!AB57</f>
        <v>0</v>
      </c>
      <c r="O77" s="550" t="e">
        <f>'Rep Schedule - Advanced'!BI57</f>
        <v>#NUM!</v>
      </c>
      <c r="P77" s="551" t="e">
        <f>'Rep Schedule - Advanced'!BK57</f>
        <v>#NUM!</v>
      </c>
      <c r="Q77" s="552" t="e">
        <f>'Rep Schedule - Advanced'!BL57</f>
        <v>#NUM!</v>
      </c>
      <c r="R77" s="661">
        <f>'Rep Schedule - Advanced'!Q57</f>
        <v>0</v>
      </c>
      <c r="S77" s="213">
        <f t="shared" si="3"/>
        <v>0</v>
      </c>
      <c r="AD77" s="167" t="b">
        <f>'Rep Schedule - Advanced'!AN57</f>
        <v>1</v>
      </c>
    </row>
    <row r="78" spans="2:30" hidden="1">
      <c r="B78" s="167">
        <f>'Rep Schedule - Advanced'!B58</f>
        <v>52</v>
      </c>
      <c r="C78" s="486">
        <f>'Rep Schedule - Advanced'!E58</f>
        <v>41926</v>
      </c>
      <c r="D78" s="210">
        <f>'Rep Schedule - Advanced'!G58</f>
        <v>0</v>
      </c>
      <c r="E78" s="211">
        <f>'Rep Schedule - Advanced'!H58</f>
        <v>0</v>
      </c>
      <c r="F78" s="212">
        <f>'Rep Schedule - Advanced'!J58</f>
        <v>0</v>
      </c>
      <c r="G78" s="481">
        <f>'Rep Schedule - Advanced'!K58</f>
        <v>0</v>
      </c>
      <c r="H78" s="481">
        <f>'Rep Schedule - Advanced'!N58</f>
        <v>0</v>
      </c>
      <c r="I78" s="481">
        <f>'Rep Schedule - Advanced'!R58</f>
        <v>0</v>
      </c>
      <c r="J78" s="481">
        <f>'Rep Schedule - Advanced'!U58</f>
        <v>0</v>
      </c>
      <c r="K78" s="210">
        <f>'Rep Schedule - Advanced'!X58</f>
        <v>0</v>
      </c>
      <c r="L78" s="211">
        <f>'Rep Schedule - Advanced'!Y58</f>
        <v>0</v>
      </c>
      <c r="M78" s="213">
        <f>'Rep Schedule - Advanced'!Z58</f>
        <v>0</v>
      </c>
      <c r="N78" s="214">
        <f>'Rep Schedule - Advanced'!AB58</f>
        <v>0</v>
      </c>
      <c r="O78" s="550" t="e">
        <f>'Rep Schedule - Advanced'!BI58</f>
        <v>#NUM!</v>
      </c>
      <c r="P78" s="551" t="e">
        <f>'Rep Schedule - Advanced'!BK58</f>
        <v>#NUM!</v>
      </c>
      <c r="Q78" s="552" t="e">
        <f>'Rep Schedule - Advanced'!BL58</f>
        <v>#NUM!</v>
      </c>
      <c r="R78" s="661">
        <f>'Rep Schedule - Advanced'!Q58</f>
        <v>0</v>
      </c>
      <c r="S78" s="213">
        <f t="shared" si="3"/>
        <v>0</v>
      </c>
      <c r="AD78" s="167" t="b">
        <f>'Rep Schedule - Advanced'!AN58</f>
        <v>1</v>
      </c>
    </row>
    <row r="79" spans="2:30" hidden="1">
      <c r="B79" s="167">
        <f>'Rep Schedule - Advanced'!B59</f>
        <v>53</v>
      </c>
      <c r="C79" s="486">
        <f>'Rep Schedule - Advanced'!E59</f>
        <v>41957</v>
      </c>
      <c r="D79" s="210">
        <f>'Rep Schedule - Advanced'!G59</f>
        <v>0</v>
      </c>
      <c r="E79" s="211">
        <f>'Rep Schedule - Advanced'!H59</f>
        <v>0</v>
      </c>
      <c r="F79" s="212">
        <f>'Rep Schedule - Advanced'!J59</f>
        <v>0</v>
      </c>
      <c r="G79" s="481">
        <f>'Rep Schedule - Advanced'!K59</f>
        <v>0</v>
      </c>
      <c r="H79" s="481">
        <f>'Rep Schedule - Advanced'!N59</f>
        <v>0</v>
      </c>
      <c r="I79" s="481">
        <f>'Rep Schedule - Advanced'!R59</f>
        <v>0</v>
      </c>
      <c r="J79" s="481">
        <f>'Rep Schedule - Advanced'!U59</f>
        <v>0</v>
      </c>
      <c r="K79" s="210">
        <f>'Rep Schedule - Advanced'!X59</f>
        <v>0</v>
      </c>
      <c r="L79" s="211">
        <f>'Rep Schedule - Advanced'!Y59</f>
        <v>0</v>
      </c>
      <c r="M79" s="213">
        <f>'Rep Schedule - Advanced'!Z59</f>
        <v>0</v>
      </c>
      <c r="N79" s="214">
        <f>'Rep Schedule - Advanced'!AB59</f>
        <v>0</v>
      </c>
      <c r="O79" s="550" t="e">
        <f>'Rep Schedule - Advanced'!BI59</f>
        <v>#NUM!</v>
      </c>
      <c r="P79" s="551" t="e">
        <f>'Rep Schedule - Advanced'!BK59</f>
        <v>#NUM!</v>
      </c>
      <c r="Q79" s="552" t="e">
        <f>'Rep Schedule - Advanced'!BL59</f>
        <v>#NUM!</v>
      </c>
      <c r="R79" s="661">
        <f>'Rep Schedule - Advanced'!Q59</f>
        <v>0</v>
      </c>
      <c r="S79" s="213">
        <f t="shared" si="3"/>
        <v>0</v>
      </c>
      <c r="AD79" s="167" t="b">
        <f>'Rep Schedule - Advanced'!AN59</f>
        <v>1</v>
      </c>
    </row>
    <row r="80" spans="2:30" hidden="1">
      <c r="B80" s="167">
        <f>'Rep Schedule - Advanced'!B60</f>
        <v>54</v>
      </c>
      <c r="C80" s="486">
        <f>'Rep Schedule - Advanced'!E60</f>
        <v>41987</v>
      </c>
      <c r="D80" s="210">
        <f>'Rep Schedule - Advanced'!G60</f>
        <v>0</v>
      </c>
      <c r="E80" s="211">
        <f>'Rep Schedule - Advanced'!H60</f>
        <v>0</v>
      </c>
      <c r="F80" s="212">
        <f>'Rep Schedule - Advanced'!J60</f>
        <v>0</v>
      </c>
      <c r="G80" s="481">
        <f>'Rep Schedule - Advanced'!K60</f>
        <v>0</v>
      </c>
      <c r="H80" s="481">
        <f>'Rep Schedule - Advanced'!N60</f>
        <v>0</v>
      </c>
      <c r="I80" s="481">
        <f>'Rep Schedule - Advanced'!R60</f>
        <v>0</v>
      </c>
      <c r="J80" s="481">
        <f>'Rep Schedule - Advanced'!U60</f>
        <v>0</v>
      </c>
      <c r="K80" s="210">
        <f>'Rep Schedule - Advanced'!X60</f>
        <v>0</v>
      </c>
      <c r="L80" s="211">
        <f>'Rep Schedule - Advanced'!Y60</f>
        <v>0</v>
      </c>
      <c r="M80" s="213">
        <f>'Rep Schedule - Advanced'!Z60</f>
        <v>0</v>
      </c>
      <c r="N80" s="214">
        <f>'Rep Schedule - Advanced'!AB60</f>
        <v>0</v>
      </c>
      <c r="O80" s="550" t="e">
        <f>'Rep Schedule - Advanced'!BI60</f>
        <v>#NUM!</v>
      </c>
      <c r="P80" s="551" t="e">
        <f>'Rep Schedule - Advanced'!BK60</f>
        <v>#NUM!</v>
      </c>
      <c r="Q80" s="552" t="e">
        <f>'Rep Schedule - Advanced'!BL60</f>
        <v>#NUM!</v>
      </c>
      <c r="R80" s="661">
        <f>'Rep Schedule - Advanced'!Q60</f>
        <v>0</v>
      </c>
      <c r="S80" s="213">
        <f t="shared" si="3"/>
        <v>0</v>
      </c>
      <c r="AD80" s="167" t="b">
        <f>'Rep Schedule - Advanced'!AN60</f>
        <v>1</v>
      </c>
    </row>
    <row r="81" spans="2:30" hidden="1">
      <c r="B81" s="167">
        <f>'Rep Schedule - Advanced'!B61</f>
        <v>55</v>
      </c>
      <c r="C81" s="486">
        <f>'Rep Schedule - Advanced'!E61</f>
        <v>42018</v>
      </c>
      <c r="D81" s="210">
        <f>'Rep Schedule - Advanced'!G61</f>
        <v>0</v>
      </c>
      <c r="E81" s="211">
        <f>'Rep Schedule - Advanced'!H61</f>
        <v>0</v>
      </c>
      <c r="F81" s="212">
        <f>'Rep Schedule - Advanced'!J61</f>
        <v>0</v>
      </c>
      <c r="G81" s="481">
        <f>'Rep Schedule - Advanced'!K61</f>
        <v>0</v>
      </c>
      <c r="H81" s="481">
        <f>'Rep Schedule - Advanced'!N61</f>
        <v>0</v>
      </c>
      <c r="I81" s="481">
        <f>'Rep Schedule - Advanced'!R61</f>
        <v>0</v>
      </c>
      <c r="J81" s="481">
        <f>'Rep Schedule - Advanced'!U61</f>
        <v>0</v>
      </c>
      <c r="K81" s="210">
        <f>'Rep Schedule - Advanced'!X61</f>
        <v>0</v>
      </c>
      <c r="L81" s="211">
        <f>'Rep Schedule - Advanced'!Y61</f>
        <v>0</v>
      </c>
      <c r="M81" s="213">
        <f>'Rep Schedule - Advanced'!Z61</f>
        <v>0</v>
      </c>
      <c r="N81" s="214">
        <f>'Rep Schedule - Advanced'!AB61</f>
        <v>0</v>
      </c>
      <c r="O81" s="550" t="e">
        <f>'Rep Schedule - Advanced'!BI61</f>
        <v>#NUM!</v>
      </c>
      <c r="P81" s="551" t="e">
        <f>'Rep Schedule - Advanced'!BK61</f>
        <v>#NUM!</v>
      </c>
      <c r="Q81" s="552" t="e">
        <f>'Rep Schedule - Advanced'!BL61</f>
        <v>#NUM!</v>
      </c>
      <c r="R81" s="661">
        <f>'Rep Schedule - Advanced'!Q61</f>
        <v>0</v>
      </c>
      <c r="S81" s="213">
        <f t="shared" si="3"/>
        <v>0</v>
      </c>
      <c r="AD81" s="167" t="b">
        <f>'Rep Schedule - Advanced'!AN61</f>
        <v>1</v>
      </c>
    </row>
    <row r="82" spans="2:30" hidden="1">
      <c r="B82" s="167">
        <f>'Rep Schedule - Advanced'!B62</f>
        <v>56</v>
      </c>
      <c r="C82" s="486">
        <f>'Rep Schedule - Advanced'!E62</f>
        <v>42049</v>
      </c>
      <c r="D82" s="210">
        <f>'Rep Schedule - Advanced'!G62</f>
        <v>0</v>
      </c>
      <c r="E82" s="211">
        <f>'Rep Schedule - Advanced'!H62</f>
        <v>0</v>
      </c>
      <c r="F82" s="212">
        <f>'Rep Schedule - Advanced'!J62</f>
        <v>0</v>
      </c>
      <c r="G82" s="481">
        <f>'Rep Schedule - Advanced'!K62</f>
        <v>0</v>
      </c>
      <c r="H82" s="481">
        <f>'Rep Schedule - Advanced'!N62</f>
        <v>0</v>
      </c>
      <c r="I82" s="481">
        <f>'Rep Schedule - Advanced'!R62</f>
        <v>0</v>
      </c>
      <c r="J82" s="481">
        <f>'Rep Schedule - Advanced'!U62</f>
        <v>0</v>
      </c>
      <c r="K82" s="210">
        <f>'Rep Schedule - Advanced'!X62</f>
        <v>0</v>
      </c>
      <c r="L82" s="211">
        <f>'Rep Schedule - Advanced'!Y62</f>
        <v>0</v>
      </c>
      <c r="M82" s="213">
        <f>'Rep Schedule - Advanced'!Z62</f>
        <v>0</v>
      </c>
      <c r="N82" s="214">
        <f>'Rep Schedule - Advanced'!AB62</f>
        <v>0</v>
      </c>
      <c r="O82" s="550" t="e">
        <f>'Rep Schedule - Advanced'!BI62</f>
        <v>#NUM!</v>
      </c>
      <c r="P82" s="551" t="e">
        <f>'Rep Schedule - Advanced'!BK62</f>
        <v>#NUM!</v>
      </c>
      <c r="Q82" s="552" t="e">
        <f>'Rep Schedule - Advanced'!BL62</f>
        <v>#NUM!</v>
      </c>
      <c r="R82" s="661">
        <f>'Rep Schedule - Advanced'!Q62</f>
        <v>0</v>
      </c>
      <c r="S82" s="213">
        <f t="shared" si="3"/>
        <v>0</v>
      </c>
      <c r="AD82" s="167" t="b">
        <f>'Rep Schedule - Advanced'!AN62</f>
        <v>1</v>
      </c>
    </row>
    <row r="83" spans="2:30" hidden="1">
      <c r="B83" s="167">
        <f>'Rep Schedule - Advanced'!B63</f>
        <v>57</v>
      </c>
      <c r="C83" s="486">
        <f>'Rep Schedule - Advanced'!E63</f>
        <v>42077</v>
      </c>
      <c r="D83" s="210">
        <f>'Rep Schedule - Advanced'!G63</f>
        <v>0</v>
      </c>
      <c r="E83" s="211">
        <f>'Rep Schedule - Advanced'!H63</f>
        <v>0</v>
      </c>
      <c r="F83" s="212">
        <f>'Rep Schedule - Advanced'!J63</f>
        <v>0</v>
      </c>
      <c r="G83" s="481">
        <f>'Rep Schedule - Advanced'!K63</f>
        <v>0</v>
      </c>
      <c r="H83" s="481">
        <f>'Rep Schedule - Advanced'!N63</f>
        <v>0</v>
      </c>
      <c r="I83" s="481">
        <f>'Rep Schedule - Advanced'!R63</f>
        <v>0</v>
      </c>
      <c r="J83" s="481">
        <f>'Rep Schedule - Advanced'!U63</f>
        <v>0</v>
      </c>
      <c r="K83" s="210">
        <f>'Rep Schedule - Advanced'!X63</f>
        <v>0</v>
      </c>
      <c r="L83" s="211">
        <f>'Rep Schedule - Advanced'!Y63</f>
        <v>0</v>
      </c>
      <c r="M83" s="213">
        <f>'Rep Schedule - Advanced'!Z63</f>
        <v>0</v>
      </c>
      <c r="N83" s="214">
        <f>'Rep Schedule - Advanced'!AB63</f>
        <v>0</v>
      </c>
      <c r="O83" s="550" t="e">
        <f>'Rep Schedule - Advanced'!BI63</f>
        <v>#NUM!</v>
      </c>
      <c r="P83" s="551" t="e">
        <f>'Rep Schedule - Advanced'!BK63</f>
        <v>#NUM!</v>
      </c>
      <c r="Q83" s="552" t="e">
        <f>'Rep Schedule - Advanced'!BL63</f>
        <v>#NUM!</v>
      </c>
      <c r="R83" s="661">
        <f>'Rep Schedule - Advanced'!Q63</f>
        <v>0</v>
      </c>
      <c r="S83" s="213">
        <f t="shared" si="3"/>
        <v>0</v>
      </c>
      <c r="AD83" s="167" t="b">
        <f>'Rep Schedule - Advanced'!AN63</f>
        <v>1</v>
      </c>
    </row>
    <row r="84" spans="2:30" hidden="1">
      <c r="B84" s="167">
        <f>'Rep Schedule - Advanced'!B64</f>
        <v>58</v>
      </c>
      <c r="C84" s="486">
        <f>'Rep Schedule - Advanced'!E64</f>
        <v>42108</v>
      </c>
      <c r="D84" s="210">
        <f>'Rep Schedule - Advanced'!G64</f>
        <v>0</v>
      </c>
      <c r="E84" s="211">
        <f>'Rep Schedule - Advanced'!H64</f>
        <v>0</v>
      </c>
      <c r="F84" s="212">
        <f>'Rep Schedule - Advanced'!J64</f>
        <v>0</v>
      </c>
      <c r="G84" s="481">
        <f>'Rep Schedule - Advanced'!K64</f>
        <v>0</v>
      </c>
      <c r="H84" s="481">
        <f>'Rep Schedule - Advanced'!N64</f>
        <v>0</v>
      </c>
      <c r="I84" s="481">
        <f>'Rep Schedule - Advanced'!R64</f>
        <v>0</v>
      </c>
      <c r="J84" s="481">
        <f>'Rep Schedule - Advanced'!U64</f>
        <v>0</v>
      </c>
      <c r="K84" s="210">
        <f>'Rep Schedule - Advanced'!X64</f>
        <v>0</v>
      </c>
      <c r="L84" s="211">
        <f>'Rep Schedule - Advanced'!Y64</f>
        <v>0</v>
      </c>
      <c r="M84" s="213">
        <f>'Rep Schedule - Advanced'!Z64</f>
        <v>0</v>
      </c>
      <c r="N84" s="214">
        <f>'Rep Schedule - Advanced'!AB64</f>
        <v>0</v>
      </c>
      <c r="O84" s="550" t="e">
        <f>'Rep Schedule - Advanced'!BI64</f>
        <v>#NUM!</v>
      </c>
      <c r="P84" s="551" t="e">
        <f>'Rep Schedule - Advanced'!BK64</f>
        <v>#NUM!</v>
      </c>
      <c r="Q84" s="552" t="e">
        <f>'Rep Schedule - Advanced'!BL64</f>
        <v>#NUM!</v>
      </c>
      <c r="R84" s="661">
        <f>'Rep Schedule - Advanced'!Q64</f>
        <v>0</v>
      </c>
      <c r="S84" s="213">
        <f t="shared" si="3"/>
        <v>0</v>
      </c>
      <c r="AD84" s="167" t="b">
        <f>'Rep Schedule - Advanced'!AN64</f>
        <v>1</v>
      </c>
    </row>
    <row r="85" spans="2:30" hidden="1">
      <c r="B85" s="167">
        <f>'Rep Schedule - Advanced'!B65</f>
        <v>59</v>
      </c>
      <c r="C85" s="486">
        <f>'Rep Schedule - Advanced'!E65</f>
        <v>42138</v>
      </c>
      <c r="D85" s="210">
        <f>'Rep Schedule - Advanced'!G65</f>
        <v>0</v>
      </c>
      <c r="E85" s="211">
        <f>'Rep Schedule - Advanced'!H65</f>
        <v>0</v>
      </c>
      <c r="F85" s="212">
        <f>'Rep Schedule - Advanced'!J65</f>
        <v>0</v>
      </c>
      <c r="G85" s="481">
        <f>'Rep Schedule - Advanced'!K65</f>
        <v>0</v>
      </c>
      <c r="H85" s="481">
        <f>'Rep Schedule - Advanced'!N65</f>
        <v>0</v>
      </c>
      <c r="I85" s="481">
        <f>'Rep Schedule - Advanced'!R65</f>
        <v>0</v>
      </c>
      <c r="J85" s="481">
        <f>'Rep Schedule - Advanced'!U65</f>
        <v>0</v>
      </c>
      <c r="K85" s="210">
        <f>'Rep Schedule - Advanced'!X65</f>
        <v>0</v>
      </c>
      <c r="L85" s="211">
        <f>'Rep Schedule - Advanced'!Y65</f>
        <v>0</v>
      </c>
      <c r="M85" s="213">
        <f>'Rep Schedule - Advanced'!Z65</f>
        <v>0</v>
      </c>
      <c r="N85" s="214">
        <f>'Rep Schedule - Advanced'!AB65</f>
        <v>0</v>
      </c>
      <c r="O85" s="550" t="e">
        <f>'Rep Schedule - Advanced'!BI65</f>
        <v>#NUM!</v>
      </c>
      <c r="P85" s="551" t="e">
        <f>'Rep Schedule - Advanced'!BK65</f>
        <v>#NUM!</v>
      </c>
      <c r="Q85" s="552" t="e">
        <f>'Rep Schedule - Advanced'!BL65</f>
        <v>#NUM!</v>
      </c>
      <c r="R85" s="661">
        <f>'Rep Schedule - Advanced'!Q65</f>
        <v>0</v>
      </c>
      <c r="S85" s="213">
        <f t="shared" si="3"/>
        <v>0</v>
      </c>
      <c r="AD85" s="167" t="b">
        <f>'Rep Schedule - Advanced'!AN65</f>
        <v>1</v>
      </c>
    </row>
    <row r="86" spans="2:30" ht="16" hidden="1" thickBot="1">
      <c r="B86" s="167">
        <f>'Rep Schedule - Advanced'!B66</f>
        <v>60</v>
      </c>
      <c r="C86" s="486">
        <f>'Rep Schedule - Advanced'!E66</f>
        <v>42169</v>
      </c>
      <c r="D86" s="210">
        <f>'Rep Schedule - Advanced'!G66</f>
        <v>0</v>
      </c>
      <c r="E86" s="211">
        <f>'Rep Schedule - Advanced'!H66</f>
        <v>0</v>
      </c>
      <c r="F86" s="212">
        <f>'Rep Schedule - Advanced'!J66</f>
        <v>0</v>
      </c>
      <c r="G86" s="481">
        <f>'Rep Schedule - Advanced'!K66</f>
        <v>0</v>
      </c>
      <c r="H86" s="481">
        <f>'Rep Schedule - Advanced'!N66</f>
        <v>0</v>
      </c>
      <c r="I86" s="481">
        <f>'Rep Schedule - Advanced'!R66</f>
        <v>0</v>
      </c>
      <c r="J86" s="481">
        <f>'Rep Schedule - Advanced'!U66</f>
        <v>0</v>
      </c>
      <c r="K86" s="210">
        <f>'Rep Schedule - Advanced'!X66</f>
        <v>0</v>
      </c>
      <c r="L86" s="211">
        <f>'Rep Schedule - Advanced'!Y66</f>
        <v>0</v>
      </c>
      <c r="M86" s="213">
        <f>'Rep Schedule - Advanced'!Z66</f>
        <v>0</v>
      </c>
      <c r="N86" s="214">
        <f>'Rep Schedule - Advanced'!AB66</f>
        <v>0</v>
      </c>
      <c r="O86" s="550" t="e">
        <f>'Rep Schedule - Advanced'!BI66</f>
        <v>#NUM!</v>
      </c>
      <c r="P86" s="551" t="e">
        <f>'Rep Schedule - Advanced'!BK66</f>
        <v>#NUM!</v>
      </c>
      <c r="Q86" s="552" t="e">
        <f>'Rep Schedule - Advanced'!BL66</f>
        <v>#NUM!</v>
      </c>
      <c r="R86" s="661">
        <f>'Rep Schedule - Advanced'!Q66</f>
        <v>0</v>
      </c>
      <c r="S86" s="213">
        <f t="shared" si="3"/>
        <v>0</v>
      </c>
      <c r="AD86" s="167" t="b">
        <f>'Rep Schedule - Advanced'!AN66</f>
        <v>1</v>
      </c>
    </row>
    <row r="87" spans="2:30" ht="16" thickBot="1">
      <c r="C87" s="219" t="str">
        <f>Translations!A102</f>
        <v>Totals</v>
      </c>
      <c r="D87" s="178">
        <f>'Rep Schedule - Advanced'!G189</f>
        <v>1E-4</v>
      </c>
      <c r="E87" s="177">
        <f>'Rep Schedule - Advanced'!H189</f>
        <v>0</v>
      </c>
      <c r="F87" s="179">
        <f>'Rep Schedule - Advanced'!J189</f>
        <v>0</v>
      </c>
      <c r="G87" s="482">
        <f>'Rep Schedule - Advanced'!K189</f>
        <v>0</v>
      </c>
      <c r="H87" s="482">
        <f>'Rep Schedule - Advanced'!N189</f>
        <v>0</v>
      </c>
      <c r="I87" s="482">
        <f>'Rep Schedule - Advanced'!R189</f>
        <v>0</v>
      </c>
      <c r="J87" s="482">
        <f>'Rep Schedule - Advanced'!U189</f>
        <v>0</v>
      </c>
      <c r="K87" s="178">
        <f>'Rep Schedule - Advanced'!X189</f>
        <v>0</v>
      </c>
      <c r="L87" s="177">
        <f>'Rep Schedule - Advanced'!Y189</f>
        <v>0</v>
      </c>
      <c r="M87" s="180">
        <f>'Rep Schedule - Advanced'!Z189</f>
        <v>0</v>
      </c>
      <c r="N87" s="180">
        <f>'Rep Schedule - Advanced'!AB189</f>
        <v>0</v>
      </c>
      <c r="O87" s="224"/>
      <c r="P87" s="220" t="e">
        <f>'Rep Schedule - Advanced'!BK3</f>
        <v>#NUM!</v>
      </c>
      <c r="Q87" s="221" t="e">
        <f>'Rep Schedule - Advanced'!BL3</f>
        <v>#NUM!</v>
      </c>
      <c r="R87" s="662">
        <f>'Rep Schedule - Advanced'!Q67</f>
        <v>0</v>
      </c>
      <c r="S87" s="663"/>
      <c r="AD87" s="20" t="s">
        <v>17</v>
      </c>
    </row>
    <row r="88" spans="2:30" hidden="1">
      <c r="D88" s="168"/>
      <c r="E88" s="168"/>
      <c r="F88" s="168"/>
      <c r="G88" s="168"/>
      <c r="H88" s="168"/>
      <c r="I88" s="168"/>
      <c r="J88" s="168"/>
      <c r="K88" s="168"/>
      <c r="L88" s="168"/>
      <c r="M88" s="168"/>
      <c r="S88" s="652"/>
      <c r="AD88" s="20" t="b">
        <f>TRUE</f>
        <v>1</v>
      </c>
    </row>
    <row r="89" spans="2:30">
      <c r="C89" s="168"/>
      <c r="D89" s="168"/>
      <c r="E89" s="168"/>
      <c r="F89" s="168"/>
      <c r="G89" s="168"/>
      <c r="H89" s="168"/>
      <c r="I89" s="168"/>
      <c r="J89" s="168"/>
      <c r="K89" s="168"/>
      <c r="L89" s="168"/>
      <c r="S89" s="652"/>
    </row>
    <row r="90" spans="2:30">
      <c r="C90" s="168"/>
      <c r="D90" s="168"/>
      <c r="E90" s="168"/>
      <c r="F90" s="168"/>
      <c r="G90" s="168"/>
      <c r="H90" s="168"/>
      <c r="I90" s="168"/>
      <c r="J90" s="168"/>
      <c r="K90" s="168"/>
      <c r="L90" s="168"/>
      <c r="M90" s="168"/>
    </row>
    <row r="91" spans="2:30">
      <c r="C91" s="168"/>
      <c r="D91" s="168"/>
      <c r="E91" s="168"/>
      <c r="F91" s="168"/>
      <c r="G91" s="168"/>
      <c r="H91" s="168"/>
      <c r="I91" s="168"/>
      <c r="J91" s="168"/>
      <c r="K91" s="168"/>
      <c r="L91" s="168"/>
      <c r="M91" s="168"/>
    </row>
    <row r="92" spans="2:30">
      <c r="E92" s="168"/>
      <c r="F92" s="168"/>
      <c r="G92" s="168"/>
      <c r="H92" s="168"/>
      <c r="I92" s="168"/>
      <c r="J92" s="168"/>
      <c r="K92" s="168"/>
      <c r="L92" s="168"/>
      <c r="M92" s="168"/>
      <c r="N92" s="168"/>
    </row>
    <row r="100" spans="1:20" customFormat="1" ht="12"/>
    <row r="101" spans="1:20" customFormat="1">
      <c r="T101" s="20"/>
    </row>
    <row r="102" spans="1:20" customFormat="1">
      <c r="T102" s="20"/>
    </row>
    <row r="103" spans="1:20" customFormat="1" ht="18">
      <c r="A103" s="20"/>
      <c r="B103" s="20"/>
      <c r="C103" s="20"/>
      <c r="D103" s="20" t="s">
        <v>196</v>
      </c>
      <c r="F103" s="169" t="s">
        <v>197</v>
      </c>
      <c r="T103" s="20"/>
    </row>
    <row r="104" spans="1:20" customFormat="1">
      <c r="A104" s="20"/>
      <c r="B104" s="20"/>
      <c r="C104" s="20"/>
      <c r="D104" s="22" t="s">
        <v>199</v>
      </c>
      <c r="E104" s="8">
        <v>1</v>
      </c>
      <c r="F104" t="str">
        <f>Translations!A11</f>
        <v>Multiple installments</v>
      </c>
      <c r="T104" s="20"/>
    </row>
    <row r="105" spans="1:20" customFormat="1">
      <c r="A105" s="20"/>
      <c r="B105" s="20"/>
      <c r="C105" s="20"/>
      <c r="D105" s="20"/>
      <c r="F105" t="str">
        <f>Translations!A12</f>
        <v>Single end-term payment</v>
      </c>
      <c r="T105" s="20"/>
    </row>
    <row r="106" spans="1:20" customFormat="1">
      <c r="A106" s="20"/>
      <c r="B106" s="20"/>
      <c r="C106" s="20"/>
      <c r="D106" s="20"/>
      <c r="T106" s="20"/>
    </row>
    <row r="107" spans="1:20" customFormat="1">
      <c r="A107" s="20"/>
      <c r="B107" s="20"/>
      <c r="C107" s="20"/>
      <c r="D107" s="22" t="s">
        <v>198</v>
      </c>
      <c r="E107" s="8">
        <v>1</v>
      </c>
      <c r="F107" t="str">
        <f>Translations!A7</f>
        <v>Equal principal payments</v>
      </c>
      <c r="J107" t="e">
        <f>CalcAPRs(J20)</f>
        <v>#VALUE!</v>
      </c>
      <c r="K107" t="s">
        <v>658</v>
      </c>
      <c r="M107" s="20"/>
      <c r="T107" s="20"/>
    </row>
    <row r="108" spans="1:20" customFormat="1">
      <c r="A108" s="20"/>
      <c r="B108" s="20"/>
      <c r="C108" s="20"/>
      <c r="D108" s="20"/>
      <c r="E108" s="20"/>
      <c r="F108" t="str">
        <f>Translations!A8</f>
        <v>Equal installments (amortized)</v>
      </c>
      <c r="T108" s="20"/>
    </row>
    <row r="109" spans="1:20" customFormat="1">
      <c r="A109" s="20"/>
      <c r="B109" s="20"/>
      <c r="C109" s="20"/>
      <c r="D109" s="20"/>
      <c r="F109" t="str">
        <f>Translations!A9</f>
        <v>Single end-term principal payment</v>
      </c>
      <c r="T109" s="20"/>
    </row>
    <row r="110" spans="1:20" customFormat="1">
      <c r="A110" s="20"/>
      <c r="B110" s="20"/>
      <c r="C110" s="20"/>
      <c r="D110" s="20"/>
      <c r="H110" s="20" t="s">
        <v>1121</v>
      </c>
      <c r="I110" s="595">
        <v>30</v>
      </c>
      <c r="J110" t="s">
        <v>1120</v>
      </c>
      <c r="M110" s="20" t="s">
        <v>423</v>
      </c>
      <c r="N110" s="595">
        <v>365.25</v>
      </c>
      <c r="T110" s="20"/>
    </row>
    <row r="111" spans="1:20" customFormat="1">
      <c r="A111" s="20"/>
      <c r="B111" s="20"/>
      <c r="C111" s="20"/>
      <c r="D111" s="20"/>
      <c r="F111" t="s">
        <v>367</v>
      </c>
      <c r="H111" s="1" t="s">
        <v>368</v>
      </c>
      <c r="I111" s="1" t="s">
        <v>369</v>
      </c>
      <c r="J111" s="1" t="s">
        <v>368</v>
      </c>
      <c r="K111" s="1" t="s">
        <v>369</v>
      </c>
      <c r="M111" s="1" t="s">
        <v>368</v>
      </c>
      <c r="N111" s="1" t="s">
        <v>651</v>
      </c>
      <c r="T111" s="20"/>
    </row>
    <row r="112" spans="1:20" customFormat="1">
      <c r="A112" s="20"/>
      <c r="B112" s="20"/>
      <c r="C112" s="20"/>
      <c r="D112" s="22" t="s">
        <v>201</v>
      </c>
      <c r="E112" s="8">
        <v>6</v>
      </c>
      <c r="F112" t="str">
        <f>Translations!A27</f>
        <v>Daily</v>
      </c>
      <c r="G112" t="str">
        <f>Translations!A14</f>
        <v>Days</v>
      </c>
      <c r="H112" s="800">
        <f>J112/12</f>
        <v>30.416666666666668</v>
      </c>
      <c r="I112" s="1">
        <v>1</v>
      </c>
      <c r="J112" s="1">
        <v>365</v>
      </c>
      <c r="K112" s="1">
        <v>1</v>
      </c>
      <c r="L112" t="str">
        <f>Translations!A152</f>
        <v>Per day</v>
      </c>
      <c r="M112" s="249">
        <f>N110</f>
        <v>365.25</v>
      </c>
      <c r="N112" t="b">
        <v>0</v>
      </c>
      <c r="R112" s="800" t="e">
        <f t="shared" ref="R112:R120" si="4">$I$110/S112</f>
        <v>#DIV/0!</v>
      </c>
      <c r="T112" s="20"/>
    </row>
    <row r="113" spans="1:20" customFormat="1">
      <c r="A113" s="20"/>
      <c r="B113" s="20"/>
      <c r="C113" s="20"/>
      <c r="D113" s="20"/>
      <c r="F113" t="str">
        <f>Translations!A28</f>
        <v>Weekly</v>
      </c>
      <c r="G113" t="str">
        <f>Translations!A15</f>
        <v>Weeks</v>
      </c>
      <c r="H113" s="800">
        <f t="shared" ref="H113:H120" si="5">J113/12</f>
        <v>4.333333333333333</v>
      </c>
      <c r="I113" s="1">
        <v>7</v>
      </c>
      <c r="J113" s="1">
        <v>52</v>
      </c>
      <c r="K113" s="1">
        <v>7</v>
      </c>
      <c r="L113" t="str">
        <f>Translations!A153</f>
        <v>Per week</v>
      </c>
      <c r="M113" s="249">
        <f t="shared" ref="M113:M120" si="6">$N$110/K113</f>
        <v>52.178571428571431</v>
      </c>
      <c r="N113" t="b">
        <v>0</v>
      </c>
      <c r="R113" s="800" t="e">
        <f t="shared" si="4"/>
        <v>#DIV/0!</v>
      </c>
      <c r="T113" s="20"/>
    </row>
    <row r="114" spans="1:20" customFormat="1">
      <c r="A114" s="20"/>
      <c r="B114" s="20"/>
      <c r="C114" s="20"/>
      <c r="D114" s="20"/>
      <c r="F114" t="str">
        <f>Translations!A29</f>
        <v>Bi-weekly</v>
      </c>
      <c r="G114" t="str">
        <f>Translations!A16</f>
        <v>2-wk periods</v>
      </c>
      <c r="H114" s="800">
        <f t="shared" si="5"/>
        <v>2.1666666666666665</v>
      </c>
      <c r="I114" s="1">
        <v>14</v>
      </c>
      <c r="J114" s="1">
        <v>26</v>
      </c>
      <c r="K114" s="1">
        <v>14</v>
      </c>
      <c r="L114" t="str">
        <f>Translations!A154</f>
        <v>Per two weeks (14 days)</v>
      </c>
      <c r="M114" s="249">
        <f t="shared" si="6"/>
        <v>26.089285714285715</v>
      </c>
      <c r="N114" t="b">
        <v>0</v>
      </c>
      <c r="R114" s="800" t="e">
        <f t="shared" si="4"/>
        <v>#DIV/0!</v>
      </c>
      <c r="T114" s="20"/>
    </row>
    <row r="115" spans="1:20" customFormat="1">
      <c r="A115" s="20"/>
      <c r="B115" s="20"/>
      <c r="C115" s="20"/>
      <c r="D115" s="20"/>
      <c r="F115" t="str">
        <f>Translations!A164</f>
        <v>Every 15 days (exactly)</v>
      </c>
      <c r="G115" t="str">
        <f>Translations!A173</f>
        <v>15-day periods</v>
      </c>
      <c r="H115" s="800">
        <f t="shared" si="5"/>
        <v>2</v>
      </c>
      <c r="I115" s="1">
        <v>15</v>
      </c>
      <c r="J115" s="1">
        <f>360/15</f>
        <v>24</v>
      </c>
      <c r="K115" s="1">
        <v>15</v>
      </c>
      <c r="L115" t="str">
        <f>Translations!A174</f>
        <v>Per 15 days</v>
      </c>
      <c r="M115" s="249">
        <f t="shared" si="6"/>
        <v>24.35</v>
      </c>
      <c r="N115" t="b">
        <v>0</v>
      </c>
      <c r="R115" s="800" t="e">
        <f t="shared" si="4"/>
        <v>#DIV/0!</v>
      </c>
      <c r="T115" s="20"/>
    </row>
    <row r="116" spans="1:20" customFormat="1">
      <c r="A116" s="20"/>
      <c r="B116" s="20"/>
      <c r="C116" s="20"/>
      <c r="D116" s="20"/>
      <c r="F116" t="str">
        <f>Translations!A30</f>
        <v>Every four weeks</v>
      </c>
      <c r="G116" t="str">
        <f>Translations!A17</f>
        <v>4-wk periods</v>
      </c>
      <c r="H116" s="800">
        <f t="shared" si="5"/>
        <v>1.0833333333333333</v>
      </c>
      <c r="I116" s="1">
        <v>28</v>
      </c>
      <c r="J116" s="1">
        <v>13</v>
      </c>
      <c r="K116" s="1">
        <v>28</v>
      </c>
      <c r="L116" t="str">
        <f>Translations!A155</f>
        <v>Per four weeks</v>
      </c>
      <c r="M116" s="249">
        <f t="shared" si="6"/>
        <v>13.044642857142858</v>
      </c>
      <c r="N116" t="b">
        <v>0</v>
      </c>
      <c r="R116" s="800" t="e">
        <f t="shared" si="4"/>
        <v>#DIV/0!</v>
      </c>
      <c r="T116" s="20"/>
    </row>
    <row r="117" spans="1:20" customFormat="1">
      <c r="A117" s="20"/>
      <c r="B117" s="20"/>
      <c r="C117" s="20"/>
      <c r="D117" s="20"/>
      <c r="F117" t="str">
        <f>Translations!A31</f>
        <v>Monthly</v>
      </c>
      <c r="G117" t="str">
        <f>Translations!A18</f>
        <v>Months</v>
      </c>
      <c r="H117" s="800">
        <f t="shared" si="5"/>
        <v>1</v>
      </c>
      <c r="I117" s="1">
        <v>30</v>
      </c>
      <c r="J117" s="1">
        <v>12</v>
      </c>
      <c r="K117" s="1">
        <v>30</v>
      </c>
      <c r="L117" t="str">
        <f>Translations!A156</f>
        <v>Per month</v>
      </c>
      <c r="M117" s="249">
        <f t="shared" si="6"/>
        <v>12.175000000000001</v>
      </c>
      <c r="N117" t="b">
        <v>1</v>
      </c>
      <c r="R117" s="800" t="e">
        <f t="shared" si="4"/>
        <v>#DIV/0!</v>
      </c>
      <c r="T117" s="20"/>
    </row>
    <row r="118" spans="1:20" customFormat="1">
      <c r="A118" s="20"/>
      <c r="B118" s="20"/>
      <c r="C118" s="20"/>
      <c r="D118" s="20"/>
      <c r="F118" t="str">
        <f>Translations!A32</f>
        <v>Quarterly</v>
      </c>
      <c r="G118" t="str">
        <f>Translations!A19</f>
        <v>Quarters</v>
      </c>
      <c r="H118" s="800">
        <f t="shared" si="5"/>
        <v>0.33333333333333331</v>
      </c>
      <c r="I118" s="1">
        <v>90</v>
      </c>
      <c r="J118" s="1">
        <v>4</v>
      </c>
      <c r="K118" s="1">
        <v>90</v>
      </c>
      <c r="L118" t="str">
        <f>Translations!A157</f>
        <v>Per quarter</v>
      </c>
      <c r="M118" s="249">
        <f t="shared" si="6"/>
        <v>4.0583333333333336</v>
      </c>
      <c r="N118" t="b">
        <v>1</v>
      </c>
      <c r="R118" s="800" t="e">
        <f t="shared" si="4"/>
        <v>#DIV/0!</v>
      </c>
      <c r="T118" s="20"/>
    </row>
    <row r="119" spans="1:20" customFormat="1">
      <c r="A119" s="20"/>
      <c r="B119" s="20"/>
      <c r="C119" s="20"/>
      <c r="D119" s="20"/>
      <c r="F119" t="str">
        <f>Translations!A33</f>
        <v>Semi-annually</v>
      </c>
      <c r="G119" t="str">
        <f>Translations!A20</f>
        <v>Half-years</v>
      </c>
      <c r="H119" s="800">
        <f t="shared" si="5"/>
        <v>0.16666666666666666</v>
      </c>
      <c r="I119" s="1">
        <v>180</v>
      </c>
      <c r="J119" s="1">
        <v>2</v>
      </c>
      <c r="K119" s="1">
        <v>180</v>
      </c>
      <c r="L119" t="str">
        <f>Translations!A158</f>
        <v>Per half-year</v>
      </c>
      <c r="M119" s="249">
        <f t="shared" si="6"/>
        <v>2.0291666666666668</v>
      </c>
      <c r="N119" t="b">
        <v>1</v>
      </c>
      <c r="R119" s="800" t="e">
        <f t="shared" si="4"/>
        <v>#DIV/0!</v>
      </c>
      <c r="T119" s="20"/>
    </row>
    <row r="120" spans="1:20" customFormat="1">
      <c r="A120" s="20"/>
      <c r="B120" s="20"/>
      <c r="C120" s="20"/>
      <c r="D120" s="20"/>
      <c r="F120" t="str">
        <f>Translations!A34</f>
        <v>Annually</v>
      </c>
      <c r="G120" t="str">
        <f>Translations!A21</f>
        <v>Years</v>
      </c>
      <c r="H120" s="800">
        <f t="shared" si="5"/>
        <v>8.3333333333333329E-2</v>
      </c>
      <c r="I120" s="1">
        <v>360</v>
      </c>
      <c r="J120" s="1">
        <v>1</v>
      </c>
      <c r="K120" s="1">
        <v>360</v>
      </c>
      <c r="L120" t="str">
        <f>Translations!A159</f>
        <v>Per year</v>
      </c>
      <c r="M120" s="249">
        <f t="shared" si="6"/>
        <v>1.0145833333333334</v>
      </c>
      <c r="N120" t="b">
        <v>1</v>
      </c>
      <c r="O120" s="20"/>
      <c r="R120" s="800" t="e">
        <f t="shared" si="4"/>
        <v>#DIV/0!</v>
      </c>
      <c r="T120" s="20"/>
    </row>
    <row r="121" spans="1:20" customFormat="1">
      <c r="A121" s="20"/>
      <c r="B121" s="20"/>
      <c r="C121" s="20"/>
      <c r="D121" s="20"/>
      <c r="E121" s="20"/>
      <c r="F121" s="124" t="str">
        <f>INDEX($G112:$G120,$E112)</f>
        <v>Months</v>
      </c>
      <c r="G121" s="252" t="s">
        <v>370</v>
      </c>
      <c r="H121" s="250">
        <f>INDEX($H$112:$H$120,$E$112)</f>
        <v>1</v>
      </c>
      <c r="I121" s="250">
        <f>INDEX($I$112:$I$120,$E$112)</f>
        <v>30</v>
      </c>
      <c r="J121" s="250">
        <f>INDEX($J$112:$J$120,$E$112)</f>
        <v>12</v>
      </c>
      <c r="K121" s="250">
        <f>INDEX($K$112:$K$120,$E$112)</f>
        <v>30</v>
      </c>
      <c r="L121" s="20"/>
      <c r="M121" s="250">
        <f>INDEX($M$112:$M$120,$E$112)</f>
        <v>12.175000000000001</v>
      </c>
      <c r="N121" s="250" t="b">
        <f>INDEX($N$112:$N$120,$E$112)</f>
        <v>1</v>
      </c>
      <c r="O121" s="250">
        <f>IF($E$125=TRUE,M121,J121)</f>
        <v>12</v>
      </c>
      <c r="P121" t="s">
        <v>652</v>
      </c>
      <c r="T121" s="20"/>
    </row>
    <row r="122" spans="1:20" customFormat="1">
      <c r="A122" s="20"/>
      <c r="B122" s="20"/>
      <c r="C122" s="20"/>
      <c r="D122" s="20"/>
      <c r="H122" s="20"/>
      <c r="I122" s="20"/>
      <c r="T122" s="20"/>
    </row>
    <row r="123" spans="1:20" customFormat="1">
      <c r="A123" s="20"/>
      <c r="B123" s="20"/>
      <c r="C123" s="20"/>
      <c r="D123" s="251" t="s">
        <v>357</v>
      </c>
      <c r="E123" s="8">
        <v>4</v>
      </c>
      <c r="H123" s="20"/>
      <c r="I123" s="20"/>
      <c r="J123" s="248">
        <f>INDEX($J$112:$J$120,$E$123)</f>
        <v>24</v>
      </c>
      <c r="K123" s="248">
        <f>INDEX($K$112:$K$120,$E$123)</f>
        <v>15</v>
      </c>
      <c r="L123" s="124" t="str">
        <f>INDEX($L112:$L120,$E123)</f>
        <v>Per 15 days</v>
      </c>
      <c r="M123" s="250">
        <f>INDEX($M$112:$M$120,$E$123)</f>
        <v>24.35</v>
      </c>
      <c r="O123" s="250">
        <f>IF($E$125=TRUE,M123,J123)</f>
        <v>24</v>
      </c>
      <c r="T123" s="20"/>
    </row>
    <row r="124" spans="1:20" customFormat="1">
      <c r="A124" s="20"/>
      <c r="B124" s="20"/>
      <c r="C124" s="20"/>
      <c r="D124" s="251"/>
      <c r="H124" s="20"/>
      <c r="I124" s="20" t="s">
        <v>1126</v>
      </c>
      <c r="J124" s="253">
        <f>term*I121</f>
        <v>0</v>
      </c>
      <c r="K124" s="253" t="s">
        <v>1125</v>
      </c>
      <c r="L124" s="254"/>
      <c r="M124" s="255"/>
      <c r="T124" s="20"/>
    </row>
    <row r="125" spans="1:20" customFormat="1">
      <c r="A125" s="20"/>
      <c r="B125" s="20"/>
      <c r="C125" s="20"/>
      <c r="D125" s="251" t="s">
        <v>371</v>
      </c>
      <c r="E125" s="8" t="b">
        <v>0</v>
      </c>
      <c r="H125" s="253"/>
      <c r="I125" s="253"/>
      <c r="J125" s="803">
        <f>J124/I110</f>
        <v>0</v>
      </c>
      <c r="K125" s="255" t="s">
        <v>1127</v>
      </c>
      <c r="T125" s="20"/>
    </row>
    <row r="126" spans="1:20" customFormat="1">
      <c r="A126" s="20"/>
      <c r="B126" s="20"/>
      <c r="C126" s="20"/>
      <c r="D126" s="20" t="s">
        <v>428</v>
      </c>
      <c r="E126" s="8" t="b">
        <v>1</v>
      </c>
      <c r="I126" t="s">
        <v>1128</v>
      </c>
      <c r="J126" t="b">
        <f>IF(J125&lt;=K4,TRUE,FALSE)</f>
        <v>1</v>
      </c>
      <c r="K126" t="b">
        <f>NOT(J126)</f>
        <v>0</v>
      </c>
      <c r="L126" t="s">
        <v>1129</v>
      </c>
      <c r="T126" s="20"/>
    </row>
    <row r="127" spans="1:20" customFormat="1">
      <c r="A127" s="20"/>
      <c r="B127" s="20"/>
      <c r="C127" s="20"/>
      <c r="D127" s="20"/>
      <c r="E127" s="20"/>
      <c r="F127" s="20"/>
      <c r="G127" s="20"/>
      <c r="H127" s="20"/>
      <c r="I127">
        <f>INDEX(J112:J120,E112)</f>
        <v>12</v>
      </c>
      <c r="J127" t="s">
        <v>273</v>
      </c>
      <c r="K127" s="20"/>
      <c r="L127" s="20"/>
      <c r="T127" s="20"/>
    </row>
    <row r="128" spans="1:20" customFormat="1">
      <c r="A128" s="20"/>
      <c r="B128" s="20"/>
      <c r="C128" s="20"/>
      <c r="D128" s="20"/>
      <c r="E128" s="20"/>
      <c r="F128" s="20"/>
      <c r="G128" s="20"/>
      <c r="H128" s="20"/>
      <c r="I128" s="6">
        <f>E22/I127</f>
        <v>0</v>
      </c>
      <c r="J128" t="s">
        <v>9</v>
      </c>
      <c r="K128" s="20"/>
      <c r="L128" s="20"/>
      <c r="T128" s="20"/>
    </row>
    <row r="129" spans="1:20" customFormat="1">
      <c r="A129" s="20"/>
      <c r="B129" s="20"/>
      <c r="C129" s="20"/>
      <c r="D129" s="20"/>
      <c r="E129" s="20"/>
      <c r="F129" s="20"/>
      <c r="G129" s="20"/>
      <c r="H129" s="20"/>
      <c r="I129" s="20"/>
      <c r="J129" s="20"/>
      <c r="K129" s="20"/>
      <c r="L129" s="20"/>
      <c r="T129" s="20"/>
    </row>
    <row r="130" spans="1:20" customFormat="1">
      <c r="A130" s="20"/>
      <c r="B130" s="20"/>
      <c r="C130" s="20"/>
      <c r="D130" t="str">
        <f>Translations!A42</f>
        <v>Initial amount, or "flat"</v>
      </c>
      <c r="E130" s="170">
        <v>2</v>
      </c>
      <c r="F130" s="3" t="s">
        <v>195</v>
      </c>
      <c r="H130" s="20"/>
      <c r="I130" s="20"/>
      <c r="T130" s="20"/>
    </row>
    <row r="131" spans="1:20" customFormat="1">
      <c r="A131" s="20"/>
      <c r="B131" s="20"/>
      <c r="C131" s="20"/>
      <c r="D131" t="str">
        <f>Translations!A43</f>
        <v>Declining balance</v>
      </c>
      <c r="F131" s="20"/>
      <c r="I131" s="20"/>
      <c r="T131" s="20"/>
    </row>
    <row r="132" spans="1:20" customFormat="1">
      <c r="A132" s="20"/>
      <c r="B132" s="20"/>
      <c r="C132" s="20"/>
      <c r="D132" s="20"/>
      <c r="T132" s="20"/>
    </row>
    <row r="133" spans="1:20" customFormat="1">
      <c r="A133" s="20"/>
      <c r="B133" s="20"/>
      <c r="C133" s="20"/>
      <c r="D133" s="20"/>
      <c r="E133" s="20"/>
      <c r="F133" s="20"/>
      <c r="T133" s="20"/>
    </row>
    <row r="134" spans="1:20" customFormat="1">
      <c r="A134" s="20"/>
      <c r="B134" s="20"/>
      <c r="C134" s="20"/>
      <c r="D134" s="20"/>
      <c r="E134" s="20"/>
      <c r="F134" s="20"/>
      <c r="G134" s="20"/>
      <c r="H134" s="20"/>
      <c r="I134" s="20"/>
      <c r="T134" s="20"/>
    </row>
    <row r="135" spans="1:20" customFormat="1">
      <c r="A135" s="20"/>
      <c r="B135" s="20"/>
      <c r="C135" s="20"/>
      <c r="D135" s="20"/>
      <c r="E135" s="20"/>
      <c r="F135" s="20"/>
      <c r="G135" s="20"/>
      <c r="H135" s="20"/>
      <c r="I135" s="20"/>
      <c r="T135" s="20"/>
    </row>
    <row r="136" spans="1:20" customFormat="1">
      <c r="A136" s="20"/>
      <c r="B136" s="20"/>
      <c r="C136" s="20"/>
      <c r="D136" s="20"/>
      <c r="E136" s="20"/>
      <c r="F136" s="20"/>
      <c r="T136" s="20"/>
    </row>
    <row r="137" spans="1:20" customFormat="1">
      <c r="A137" s="20"/>
      <c r="B137" s="20"/>
      <c r="C137" s="20"/>
      <c r="D137" s="20"/>
      <c r="E137" s="20"/>
      <c r="T137" s="20"/>
    </row>
    <row r="138" spans="1:20" customFormat="1">
      <c r="A138" s="20"/>
      <c r="B138" s="20"/>
      <c r="C138" s="20"/>
      <c r="D138" s="20"/>
      <c r="T138" s="20"/>
    </row>
    <row r="139" spans="1:20" customFormat="1">
      <c r="A139" s="20"/>
      <c r="B139" s="20"/>
      <c r="C139" s="20"/>
      <c r="D139" s="20"/>
      <c r="E139" s="20"/>
      <c r="F139" s="20"/>
      <c r="H139" s="20"/>
      <c r="I139" s="20"/>
      <c r="T139" s="20"/>
    </row>
    <row r="140" spans="1:20" customFormat="1">
      <c r="A140" s="20"/>
      <c r="B140" s="20"/>
      <c r="C140" s="20"/>
      <c r="D140" s="20"/>
      <c r="E140" s="20"/>
      <c r="F140" s="20"/>
      <c r="G140" s="20"/>
      <c r="H140" s="20"/>
      <c r="I140" s="20"/>
      <c r="T140" s="20"/>
    </row>
    <row r="141" spans="1:20" customFormat="1">
      <c r="A141" s="20"/>
      <c r="B141" s="20"/>
      <c r="C141" s="20"/>
      <c r="D141" s="20"/>
      <c r="E141" s="20"/>
      <c r="F141" s="20"/>
      <c r="G141" s="20"/>
      <c r="T141" s="20"/>
    </row>
    <row r="142" spans="1:20" customFormat="1">
      <c r="E142" s="20"/>
      <c r="F142" s="20"/>
      <c r="T142" s="20"/>
    </row>
  </sheetData>
  <sheetProtection algorithmName="SHA-512" hashValue="ZuPh3r1GeNDJMzvzJ0n+MUzJ3SKeHbXa/BARlnjk2+4pOmYeWh+K7cZ3fmQ8D2dSJnJUuXbcmR0lHwTRq+PBeg==" saltValue="I+Cz+OXZ/AKfPOuTPULMsQ==" spinCount="100000" sheet="1" objects="1" scenarios="1" formatColumns="0"/>
  <mergeCells count="62">
    <mergeCell ref="O22:P22"/>
    <mergeCell ref="P20:S20"/>
    <mergeCell ref="F22:J22"/>
    <mergeCell ref="B20:D20"/>
    <mergeCell ref="B4:D4"/>
    <mergeCell ref="B5:D5"/>
    <mergeCell ref="B13:D13"/>
    <mergeCell ref="B10:D10"/>
    <mergeCell ref="B11:D11"/>
    <mergeCell ref="B17:D17"/>
    <mergeCell ref="L22:M22"/>
    <mergeCell ref="G14:G15"/>
    <mergeCell ref="L14:L15"/>
    <mergeCell ref="L20:N20"/>
    <mergeCell ref="J18:J19"/>
    <mergeCell ref="H14:H15"/>
    <mergeCell ref="H20:H21"/>
    <mergeCell ref="G18:G19"/>
    <mergeCell ref="B1:H1"/>
    <mergeCell ref="B9:D9"/>
    <mergeCell ref="J14:J15"/>
    <mergeCell ref="G20:G21"/>
    <mergeCell ref="B7:D7"/>
    <mergeCell ref="B14:D14"/>
    <mergeCell ref="J20:J21"/>
    <mergeCell ref="I18:I19"/>
    <mergeCell ref="I1:K1"/>
    <mergeCell ref="B18:D19"/>
    <mergeCell ref="L18:O18"/>
    <mergeCell ref="L21:M21"/>
    <mergeCell ref="K20:K21"/>
    <mergeCell ref="K18:K19"/>
    <mergeCell ref="O21:S21"/>
    <mergeCell ref="X5:X6"/>
    <mergeCell ref="X10:X11"/>
    <mergeCell ref="I14:I15"/>
    <mergeCell ref="I16:I17"/>
    <mergeCell ref="H13:K13"/>
    <mergeCell ref="K16:K17"/>
    <mergeCell ref="X12:X14"/>
    <mergeCell ref="V7:V8"/>
    <mergeCell ref="W7:W9"/>
    <mergeCell ref="X7:X9"/>
    <mergeCell ref="U7:U8"/>
    <mergeCell ref="W12:W14"/>
    <mergeCell ref="K14:K15"/>
    <mergeCell ref="B24:C24"/>
    <mergeCell ref="W5:W6"/>
    <mergeCell ref="W10:W11"/>
    <mergeCell ref="B22:D22"/>
    <mergeCell ref="B15:D15"/>
    <mergeCell ref="B16:D16"/>
    <mergeCell ref="R22:S22"/>
    <mergeCell ref="B21:D21"/>
    <mergeCell ref="H18:H19"/>
    <mergeCell ref="P18:R18"/>
    <mergeCell ref="I20:I21"/>
    <mergeCell ref="G16:G17"/>
    <mergeCell ref="H16:H17"/>
    <mergeCell ref="J16:J17"/>
    <mergeCell ref="P19:Q19"/>
    <mergeCell ref="L19:N19"/>
  </mergeCells>
  <phoneticPr fontId="6" type="noConversion"/>
  <conditionalFormatting sqref="E7">
    <cfRule type="expression" dxfId="29" priority="13" stopIfTrue="1">
      <formula>Amort=3</formula>
    </cfRule>
  </conditionalFormatting>
  <conditionalFormatting sqref="F7:G7">
    <cfRule type="expression" dxfId="28" priority="12" stopIfTrue="1">
      <formula>IntPmt=2</formula>
    </cfRule>
  </conditionalFormatting>
  <conditionalFormatting sqref="K18 K20:K21 K14:K15 J12:K12 K9:K11">
    <cfRule type="expression" dxfId="27" priority="10" stopIfTrue="1">
      <formula>ShowEIR=FALSE</formula>
    </cfRule>
  </conditionalFormatting>
  <conditionalFormatting sqref="H7">
    <cfRule type="expression" dxfId="26" priority="9" stopIfTrue="1">
      <formula>Amort=3</formula>
    </cfRule>
  </conditionalFormatting>
  <conditionalFormatting sqref="E22 E13:F21">
    <cfRule type="expression" dxfId="25" priority="8">
      <formula>ManualMode=TRUE</formula>
    </cfRule>
  </conditionalFormatting>
  <conditionalFormatting sqref="K16:K17">
    <cfRule type="expression" dxfId="24" priority="6" stopIfTrue="1">
      <formula>ShowEIR=FALSE</formula>
    </cfRule>
  </conditionalFormatting>
  <conditionalFormatting sqref="S26:S86">
    <cfRule type="cellIs" dxfId="23" priority="187" stopIfTrue="1" operator="greaterThan">
      <formula>$O$20</formula>
    </cfRule>
  </conditionalFormatting>
  <conditionalFormatting sqref="K4">
    <cfRule type="expression" dxfId="22" priority="5" stopIfTrue="1">
      <formula>IntPmt=2</formula>
    </cfRule>
  </conditionalFormatting>
  <conditionalFormatting sqref="I11 I14:I21">
    <cfRule type="expression" dxfId="21" priority="2" stopIfTrue="1">
      <formula>TermMonths&lt;=$K$4</formula>
    </cfRule>
  </conditionalFormatting>
  <conditionalFormatting sqref="J11 J14:J21">
    <cfRule type="expression" dxfId="20" priority="1" stopIfTrue="1">
      <formula>TermMonths&gt;$K$4</formula>
    </cfRule>
  </conditionalFormatting>
  <dataValidations xWindow="435" yWindow="226" count="25">
    <dataValidation allowBlank="1" showInputMessage="1" showErrorMessage="1" promptTitle="Grace period, capital" prompt="Enter any grace period for repayments of principal, or leave as 0" sqref="E7" xr:uid="{00000000-0002-0000-0300-000000000000}"/>
    <dataValidation allowBlank="1" showInputMessage="1" showErrorMessage="1" promptTitle="Avg Net Loan Balance" prompt="This is the amount the client has to invest in her business." sqref="O20" xr:uid="{00000000-0002-0000-0300-000001000000}"/>
    <dataValidation type="decimal" allowBlank="1" showInputMessage="1" showErrorMessage="1" errorTitle="Incorrect entry" error="Enter a figure between 0% and 99%.  Be sure to use COMMA and PERIOD correctly for decimals." promptTitle="Compulsory Savings %" prompt="Enter the percentage of up-front compulsory savings.  use a figure between 0% and 99%." sqref="E20" xr:uid="{00000000-0002-0000-0300-000002000000}">
      <formula1>0</formula1>
      <formula2>0.99</formula2>
    </dataValidation>
    <dataValidation allowBlank="1" showInputMessage="1" showErrorMessage="1" promptTitle="Increment" prompt="This column shows the additional increase in the US-APR due to the additional compent considered -- Fees, VAT, and Savings." sqref="G14:G21" xr:uid="{00000000-0002-0000-0300-000003000000}"/>
    <dataValidation type="decimal" allowBlank="1" showInputMessage="1" showErrorMessage="1" error="Enter a figure between 0% and 99%" promptTitle="Compulsory Savings %" prompt="Enter the percentage of on-going compulsory savings.  use a figure between 0% and 99%." sqref="F20" xr:uid="{00000000-0002-0000-0300-000004000000}">
      <formula1>0</formula1>
      <formula2>0.99</formula2>
    </dataValidation>
    <dataValidation type="decimal" allowBlank="1" showInputMessage="1" showErrorMessage="1" errorTitle="Invalid enter" error="enter a percentage figure between 0 and 200%" promptTitle="Annual Interest Rate" prompt="Enter the figure for 12 months.  Note that sometimes figures quoted as MONTHLY figures are really only for FOUR WEEKS, so multiply these figures by THIRTEEN." sqref="E10" xr:uid="{00000000-0002-0000-0300-000005000000}">
      <formula1>0</formula1>
      <formula2>2</formula2>
    </dataValidation>
    <dataValidation allowBlank="1" showInputMessage="1" showErrorMessage="1" promptTitle="Grace period, interest payment" prompt="Enter any grace period for repayments of interest, or leave as 0.  Note that interest is still calculated, though not paid.  Use next column for period of interest-free loans." sqref="F7" xr:uid="{00000000-0002-0000-0300-000006000000}"/>
    <dataValidation allowBlank="1" showInputMessage="1" showErrorMessage="1" promptTitle="Grace period, interest charge" prompt="Enter any grace period for interest charges on loan, or leave as 0.  If you enter a figure here, the loan is interest-free for that period of time." sqref="G7" xr:uid="{00000000-0002-0000-0300-000007000000}"/>
    <dataValidation type="whole" allowBlank="1" showInputMessage="1" showErrorMessage="1" errorTitle="Invalid number" error="Number of installments must be between 1 and 180.  (The repayment schedule does not support more than 180 installments.)" promptTitle="Number of installment periods" prompt="Enter the number of installment periods until the loan is completely repaid. Use the installment period indicated above. Maximum periods is 120. Include grace periods as installments." sqref="E5" xr:uid="{00000000-0002-0000-0300-000008000000}">
      <formula1>1</formula1>
      <formula2>182</formula2>
    </dataValidation>
    <dataValidation allowBlank="1" showInputMessage="1" showErrorMessage="1" promptTitle="Loan amount" prompt="Enter the amount of the loan to be analyzed" sqref="E4" xr:uid="{00000000-0002-0000-0300-000009000000}"/>
    <dataValidation allowBlank="1" showInputMessage="1" showErrorMessage="1" promptTitle="Transparency Index" prompt="Thiis compares the nominal annual interest rate to the APR (int+fees+taxes+dep).   A perfect score is 100.  Any figure over 85 is considered a high level of transparency." sqref="S18" xr:uid="{00000000-0002-0000-0300-00000A000000}"/>
    <dataValidation allowBlank="1" showInputMessage="1" showErrorMessage="1" promptTitle="Balloon Payment" prompt="If the loan has a large payment scheduled, then enter the theoretical loan term above (term &amp; repay freq line) in order to project the regular payments.  Then in this cell, enter the number of payments to be lumped together in the balloon payment." sqref="H7" xr:uid="{00000000-0002-0000-0300-00000B000000}"/>
    <dataValidation type="decimal" operator="greaterThanOrEqual" allowBlank="1" showInputMessage="1" showErrorMessage="1" errorTitle="Incorrect Entry" error="You must enter a number greater than zero in this cell.  Be sure to use COMMA and PERIOD correctly for decimals." promptTitle="Fee (%)" prompt="Enter the percentage of the loan amount (for upfront fees) or the loan principal payment (for ongoing fees).  1% in either cell with give the same total fees, with the difference being the TIMING of when those fees are paid." sqref="F14" xr:uid="{00000000-0002-0000-0300-00000C000000}">
      <formula1>0</formula1>
    </dataValidation>
    <dataValidation type="decimal" operator="greaterThanOrEqual" allowBlank="1" showInputMessage="1" showErrorMessage="1" errorTitle="Incorrect Entry" error="You must enter a number in this cell.  Be sure to use COMMA and PERIOD correctly for decimals." promptTitle="Fee (fixed amount)" prompt="Enter the actual amount paid at disbursement (upfront) or paid with each payment (ongoing)" sqref="F15" xr:uid="{00000000-0002-0000-0300-00000D000000}">
      <formula1>0</formula1>
    </dataValidation>
    <dataValidation type="decimal" operator="greaterThanOrEqual" allowBlank="1" showInputMessage="1" showErrorMessage="1" errorTitle="Incorrect Entry" error="You must enter a number in this cell.  Be sure to use COMMA and PERIOD correctly for decimals." promptTitle="Insurance (%)" prompt="Enter the percentage of the loan AMOUNT (for upfront insurance) or the loan BALANCE (for ongoing insurance).  Ongoing insurance would be a much smaller % figure than upfront insurance." sqref="F16" xr:uid="{00000000-0002-0000-0300-00000E000000}">
      <formula1>0</formula1>
    </dataValidation>
    <dataValidation type="decimal" operator="greaterThanOrEqual" allowBlank="1" showInputMessage="1" showErrorMessage="1" errorTitle="Incorrect Entry" error="You must enter a number in this cell.  Be sure to use COMMA and PERIOD correctly for decimals." promptTitle="Insurance (fixed amount)" prompt="Enter the actual amount paid at disbursement (upfront) or paid with each payment (ongoing)" sqref="E17:F17" xr:uid="{00000000-0002-0000-0300-00000F000000}">
      <formula1>0</formula1>
    </dataValidation>
    <dataValidation type="decimal" operator="greaterThanOrEqual" allowBlank="1" showInputMessage="1" showErrorMessage="1" errorTitle="Incorrect Entry" error="You must enter a number in this cell.  Be sure to use COMMA and PERIOD correctly for decimals._x000d_" promptTitle="VAT (%)" prompt="Enter the percentage charged on fees and/or interest.  At this time, this tool does not provide for taxes charged on the loan principal.  These feew can be entered manually on hte next sheet using MANUAL INPUT MODE." sqref="F19" xr:uid="{00000000-0002-0000-0300-000010000000}">
      <formula1>0</formula1>
    </dataValidation>
    <dataValidation allowBlank="1" showInputMessage="1" showErrorMessage="1" promptTitle="Multiplier Factor" prompt="This shows the APR as a multiple of the nominal quoted interest rate, e.g., 1.8 would mean the APR is 1.8 times higher than the nominal interest rate." sqref="L10:L17" xr:uid="{00000000-0002-0000-0300-000011000000}"/>
    <dataValidation type="whole" allowBlank="1" showInputMessage="1" showErrorMessage="1" errorTitle="Incorrect Entry" error="Enter a whole number between 0 and 12" promptTitle="Highlight MPR or APR" prompt="Enter number of months for when MPR is preferred over APR, eg, 6 means that loans less than or equal to 6 months prefere MPR" sqref="K4" xr:uid="{00000000-0002-0000-0300-000012000000}">
      <formula1>0</formula1>
      <formula2>12</formula2>
    </dataValidation>
    <dataValidation type="decimal" operator="greaterThanOrEqual" allowBlank="1" showInputMessage="1" showErrorMessage="1" errorTitle="Incorrect Entry" error="You must enter a number in this cell.  Be sure to use COMMA and PERIOD correctly for decimals." promptTitle="VAT (%)" prompt="Enter the percentage charged on fees and/or interest.  At this time, this tool does not provide for taxes charged on the loan principal.  These fees can be entered manually on hte next sheet using MANUAL INPUT MODE." sqref="F18" xr:uid="{00000000-0002-0000-0300-000013000000}">
      <formula1>0</formula1>
    </dataValidation>
    <dataValidation type="decimal" operator="greaterThanOrEqual" allowBlank="1" showInputMessage="1" showErrorMessage="1" errorTitle="Incorrect entry" error="You must enter a number in this cell.  Be sure to use COMMA and PERIOD correctly for decimals." promptTitle="Fee (%)" prompt="Enter the percentage of the loan amount (for upfront fees) or the loan principal payment (for ongoing fees).  1% in either cell with give the same total fees, with the difference being the TIMING of when those fees are paid." sqref="E14" xr:uid="{00000000-0002-0000-0300-000014000000}">
      <formula1>0</formula1>
    </dataValidation>
    <dataValidation type="decimal" operator="greaterThanOrEqual" allowBlank="1" showInputMessage="1" showErrorMessage="1" errorTitle="Incorrect Entry" error="You must enter a number in this cell.  Be sure to use COMMA and PERIOD correctly for decimals." promptTitle="Fee (fixed amount)" prompt="Enter the actual amount paid at disbursement (upfront) or paid with each payment (ongoing)" sqref="E15" xr:uid="{00000000-0002-0000-0300-000015000000}">
      <formula1>0</formula1>
    </dataValidation>
    <dataValidation type="decimal" operator="greaterThanOrEqual" allowBlank="1" showInputMessage="1" showErrorMessage="1" errorTitle="Incorrect Entry" error="You must enter a number in this cell.  Be sure to use COMMA and PERIOD correctly for decimals." promptTitle="Insurance (%)" prompt="Enter the percentage of the loan AMOUNT (for upfront insurance) or the loan BALANCE (for ongoing insurance).  Ongoing insurance would be a much smaller % figure than upfront insurance." sqref="E16" xr:uid="{00000000-0002-0000-0300-000016000000}">
      <formula1>0</formula1>
    </dataValidation>
    <dataValidation type="decimal" operator="greaterThanOrEqual" allowBlank="1" showInputMessage="1" showErrorMessage="1" errorTitle="Incorrect Entry" error="You must enter a number in this cell.  Be sure to use COMMA and PERIOD correctly for decimals." sqref="E21 F21" xr:uid="{00000000-0002-0000-0300-000017000000}">
      <formula1>0</formula1>
    </dataValidation>
    <dataValidation type="decimal" operator="greaterThanOrEqual" allowBlank="1" showInputMessage="1" showErrorMessage="1" errorTitle="Incorrect Entry" error="You must enter a number in this cell.  Be sure to use COMMA and PERIOD correctly for decimals." sqref="E22" xr:uid="{00000000-0002-0000-0300-000018000000}">
      <formula1>-999999</formula1>
    </dataValidation>
  </dataValidations>
  <pageMargins left="0.7" right="0.7" top="0.75" bottom="0.75" header="0.3" footer="0.3"/>
  <pageSetup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41134" r:id="rId3" name="DropDnAmort">
              <controlPr defaultSize="0" autoFill="0" autoLine="0" autoPict="0" macro="[0]!AmortDropDn">
                <anchor moveWithCells="1">
                  <from>
                    <xdr:col>7</xdr:col>
                    <xdr:colOff>50800</xdr:colOff>
                    <xdr:row>1</xdr:row>
                    <xdr:rowOff>76200</xdr:rowOff>
                  </from>
                  <to>
                    <xdr:col>9</xdr:col>
                    <xdr:colOff>393700</xdr:colOff>
                    <xdr:row>2</xdr:row>
                    <xdr:rowOff>228600</xdr:rowOff>
                  </to>
                </anchor>
              </controlPr>
            </control>
          </mc:Choice>
        </mc:AlternateContent>
        <mc:AlternateContent xmlns:mc="http://schemas.openxmlformats.org/markup-compatibility/2006">
          <mc:Choice Requires="x14">
            <control shapeId="41135" r:id="rId4" name="DropDnInt">
              <controlPr defaultSize="0" autoFill="0" autoLine="0" autoPict="0" macro="[0]!IntPmtDropDn">
                <anchor moveWithCells="1">
                  <from>
                    <xdr:col>7</xdr:col>
                    <xdr:colOff>50800</xdr:colOff>
                    <xdr:row>3</xdr:row>
                    <xdr:rowOff>0</xdr:rowOff>
                  </from>
                  <to>
                    <xdr:col>9</xdr:col>
                    <xdr:colOff>393700</xdr:colOff>
                    <xdr:row>4</xdr:row>
                    <xdr:rowOff>0</xdr:rowOff>
                  </to>
                </anchor>
              </controlPr>
            </control>
          </mc:Choice>
        </mc:AlternateContent>
        <mc:AlternateContent xmlns:mc="http://schemas.openxmlformats.org/markup-compatibility/2006">
          <mc:Choice Requires="x14">
            <control shapeId="41149" r:id="rId5" name="Drop Down 189">
              <controlPr defaultSize="0" autoFill="0" autoLine="0" autoPict="0">
                <anchor moveWithCells="1">
                  <from>
                    <xdr:col>5</xdr:col>
                    <xdr:colOff>12700</xdr:colOff>
                    <xdr:row>4</xdr:row>
                    <xdr:rowOff>12700</xdr:rowOff>
                  </from>
                  <to>
                    <xdr:col>7</xdr:col>
                    <xdr:colOff>12700</xdr:colOff>
                    <xdr:row>4</xdr:row>
                    <xdr:rowOff>203200</xdr:rowOff>
                  </to>
                </anchor>
              </controlPr>
            </control>
          </mc:Choice>
        </mc:AlternateContent>
        <mc:AlternateContent xmlns:mc="http://schemas.openxmlformats.org/markup-compatibility/2006">
          <mc:Choice Requires="x14">
            <control shapeId="41320" r:id="rId6" name="Drop Down 360">
              <controlPr defaultSize="0" autoFill="0" autoLine="0" autoPict="0" macro="[0]!DropDnInt_Change">
                <anchor moveWithCells="1">
                  <from>
                    <xdr:col>5</xdr:col>
                    <xdr:colOff>0</xdr:colOff>
                    <xdr:row>10</xdr:row>
                    <xdr:rowOff>12700</xdr:rowOff>
                  </from>
                  <to>
                    <xdr:col>6</xdr:col>
                    <xdr:colOff>749300</xdr:colOff>
                    <xdr:row>10</xdr:row>
                    <xdr:rowOff>228600</xdr:rowOff>
                  </to>
                </anchor>
              </controlPr>
            </control>
          </mc:Choice>
        </mc:AlternateContent>
        <mc:AlternateContent xmlns:mc="http://schemas.openxmlformats.org/markup-compatibility/2006">
          <mc:Choice Requires="x14">
            <control shapeId="41321" r:id="rId7" name="Drop Down 361">
              <controlPr defaultSize="0" autoFill="0" autoLine="0" autoPict="0">
                <anchor moveWithCells="1">
                  <from>
                    <xdr:col>5</xdr:col>
                    <xdr:colOff>12700</xdr:colOff>
                    <xdr:row>9</xdr:row>
                    <xdr:rowOff>12700</xdr:rowOff>
                  </from>
                  <to>
                    <xdr:col>6</xdr:col>
                    <xdr:colOff>749300</xdr:colOff>
                    <xdr:row>9</xdr:row>
                    <xdr:rowOff>203200</xdr:rowOff>
                  </to>
                </anchor>
              </controlPr>
            </control>
          </mc:Choice>
        </mc:AlternateContent>
        <mc:AlternateContent xmlns:mc="http://schemas.openxmlformats.org/markup-compatibility/2006">
          <mc:Choice Requires="x14">
            <control shapeId="41607" r:id="rId8" name="Check Box 647">
              <controlPr defaultSize="0" autoFill="0" autoLine="0" autoPict="0" macro="[0]!HideRowsSub">
                <anchor moveWithCells="1">
                  <from>
                    <xdr:col>8</xdr:col>
                    <xdr:colOff>63500</xdr:colOff>
                    <xdr:row>0</xdr:row>
                    <xdr:rowOff>63500</xdr:rowOff>
                  </from>
                  <to>
                    <xdr:col>10</xdr:col>
                    <xdr:colOff>711200</xdr:colOff>
                    <xdr:row>0</xdr:row>
                    <xdr:rowOff>266700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ADVRepSchedPage">
    <tabColor rgb="FF0070C0"/>
    <pageSetUpPr fitToPage="1"/>
  </sheetPr>
  <dimension ref="A1:DQ258"/>
  <sheetViews>
    <sheetView showGridLines="0" zoomScale="166" workbookViewId="0">
      <pane xSplit="5" ySplit="5" topLeftCell="F6" activePane="bottomRight" state="frozen"/>
      <selection activeCell="A2" sqref="A2"/>
      <selection pane="topRight" activeCell="F2" sqref="F2"/>
      <selection pane="bottomLeft" activeCell="A8" sqref="A8"/>
      <selection pane="bottomRight" activeCell="G6" sqref="G6"/>
    </sheetView>
  </sheetViews>
  <sheetFormatPr baseColWidth="10" defaultColWidth="8.796875" defaultRowHeight="12"/>
  <cols>
    <col min="1" max="1" width="1.796875" customWidth="1"/>
    <col min="2" max="2" width="6" customWidth="1"/>
    <col min="3" max="3" width="6.3984375" hidden="1" customWidth="1"/>
    <col min="4" max="4" width="10.3984375" hidden="1" customWidth="1"/>
    <col min="5" max="5" width="10" style="138" customWidth="1"/>
    <col min="6" max="6" width="5.19921875" style="138" customWidth="1"/>
    <col min="7" max="8" width="9.796875" customWidth="1"/>
    <col min="9" max="9" width="9.796875" hidden="1" customWidth="1"/>
    <col min="10" max="11" width="9.796875" customWidth="1"/>
    <col min="12" max="12" width="9.796875" hidden="1" customWidth="1"/>
    <col min="13" max="14" width="9.796875" customWidth="1"/>
    <col min="15" max="15" width="9.796875" hidden="1" customWidth="1"/>
    <col min="16" max="16" width="9.796875" customWidth="1"/>
    <col min="17" max="17" width="6.796875" customWidth="1"/>
    <col min="18" max="18" width="7.796875" customWidth="1"/>
    <col min="19" max="19" width="8.3984375" hidden="1" customWidth="1"/>
    <col min="20" max="20" width="10.3984375" customWidth="1"/>
    <col min="21" max="21" width="9.796875" customWidth="1"/>
    <col min="22" max="22" width="9.796875" hidden="1" customWidth="1"/>
    <col min="23" max="23" width="10.19921875" customWidth="1"/>
    <col min="24" max="26" width="9.796875" customWidth="1"/>
    <col min="27" max="27" width="9.796875" hidden="1" customWidth="1"/>
    <col min="28" max="29" width="9.796875" customWidth="1"/>
    <col min="30" max="30" width="9.19921875" hidden="1" customWidth="1"/>
    <col min="31" max="31" width="82.3984375" customWidth="1"/>
    <col min="45" max="45" width="12" customWidth="1"/>
    <col min="48" max="48" width="48" customWidth="1"/>
    <col min="56" max="56" width="3.796875" customWidth="1"/>
    <col min="57" max="58" width="6.796875" customWidth="1"/>
    <col min="62" max="62" width="6.19921875" customWidth="1"/>
    <col min="65" max="65" width="3.796875" customWidth="1"/>
    <col min="67" max="67" width="10" customWidth="1"/>
    <col min="68" max="68" width="10.3984375" customWidth="1"/>
    <col min="69" max="69" width="11.19921875" customWidth="1"/>
    <col min="70" max="70" width="12.19921875" customWidth="1"/>
    <col min="71" max="71" width="8.19921875" customWidth="1"/>
    <col min="72" max="72" width="12" customWidth="1"/>
    <col min="73" max="73" width="9.796875" customWidth="1"/>
    <col min="74" max="74" width="3.796875" customWidth="1"/>
    <col min="84" max="86" width="3.796875" customWidth="1"/>
    <col min="87" max="88" width="15" customWidth="1"/>
    <col min="89" max="89" width="17.3984375" customWidth="1"/>
    <col min="90" max="90" width="15" customWidth="1"/>
    <col min="109" max="110" width="15" customWidth="1"/>
    <col min="111" max="111" width="16" customWidth="1"/>
    <col min="112" max="112" width="15" customWidth="1"/>
    <col min="114" max="115" width="15" customWidth="1"/>
    <col min="116" max="116" width="16" customWidth="1"/>
    <col min="117" max="117" width="15" customWidth="1"/>
    <col min="119" max="120" width="15" customWidth="1"/>
    <col min="121" max="121" width="16" customWidth="1"/>
  </cols>
  <sheetData>
    <row r="1" spans="1:121" ht="18">
      <c r="A1" s="2"/>
      <c r="B1" s="997" t="str">
        <f>Translations!A53</f>
        <v>Repayment Schedule</v>
      </c>
      <c r="C1" s="997"/>
      <c r="D1" s="997"/>
      <c r="E1" s="997"/>
      <c r="F1" s="997"/>
      <c r="G1" s="997"/>
      <c r="H1" s="17" t="str">
        <f>Translations!A55</f>
        <v>The following table shows the repayment schedule and cashflow for the loan given the conditions indicated on the companion sheet with the Interest Rate Graph.</v>
      </c>
      <c r="I1" s="18"/>
      <c r="J1" s="10"/>
      <c r="K1" s="10"/>
      <c r="L1" s="10"/>
      <c r="M1" s="10"/>
      <c r="N1" s="247"/>
      <c r="O1" s="2"/>
      <c r="P1" s="2"/>
      <c r="Q1" s="2"/>
      <c r="R1" s="2"/>
      <c r="S1" s="2"/>
      <c r="T1" s="2"/>
      <c r="U1" s="2"/>
      <c r="V1" s="2"/>
      <c r="W1" s="2"/>
      <c r="X1" s="2"/>
      <c r="Y1" s="2"/>
      <c r="Z1" s="2"/>
      <c r="AA1" s="2"/>
      <c r="AB1" s="2"/>
      <c r="AC1" s="2"/>
      <c r="AF1" s="987" t="s">
        <v>161</v>
      </c>
      <c r="AG1" s="987"/>
      <c r="AH1" s="987"/>
      <c r="AI1" s="987"/>
      <c r="AJ1" t="s">
        <v>162</v>
      </c>
      <c r="AP1" s="2" t="b">
        <f>TRUE</f>
        <v>1</v>
      </c>
      <c r="AV1" t="s">
        <v>760</v>
      </c>
      <c r="BE1" s="985" t="s">
        <v>172</v>
      </c>
      <c r="BF1" s="985"/>
      <c r="BG1" s="985"/>
      <c r="BH1" s="985"/>
      <c r="BI1" s="985"/>
      <c r="BJ1" s="985"/>
      <c r="BK1" s="985"/>
      <c r="BL1" s="985"/>
      <c r="BO1" s="602"/>
      <c r="BP1" s="985" t="s">
        <v>669</v>
      </c>
      <c r="BQ1" s="985"/>
      <c r="BR1" s="985"/>
      <c r="BS1" s="985"/>
      <c r="BT1" s="985"/>
      <c r="BU1" s="985"/>
      <c r="BW1" s="985" t="s">
        <v>670</v>
      </c>
      <c r="BX1" s="985"/>
      <c r="BY1" s="985"/>
      <c r="BZ1" s="985"/>
      <c r="CA1" s="985"/>
      <c r="CB1" s="985"/>
      <c r="CC1" s="985"/>
      <c r="CD1" s="985"/>
      <c r="CE1" s="141"/>
      <c r="CI1" s="985" t="s">
        <v>174</v>
      </c>
      <c r="CJ1" s="985"/>
      <c r="CK1" s="985"/>
      <c r="CL1" s="985"/>
      <c r="CM1" s="985"/>
      <c r="CN1" s="985"/>
      <c r="CR1" s="140">
        <v>2</v>
      </c>
      <c r="CS1" s="4" t="str">
        <f>IF(CR1=1,CI5,IF(CR1=2,CK5,DF5))</f>
        <v>US Divisor</v>
      </c>
      <c r="CT1" s="129" t="b">
        <v>0</v>
      </c>
      <c r="CU1" t="s">
        <v>671</v>
      </c>
      <c r="DE1" s="985" t="s">
        <v>172</v>
      </c>
      <c r="DF1" s="985"/>
      <c r="DG1" s="985"/>
      <c r="DH1" s="985"/>
      <c r="DJ1" s="985" t="str">
        <f>BP1</f>
        <v>Principal and Interest AND FEES</v>
      </c>
      <c r="DK1" s="985"/>
      <c r="DL1" s="985"/>
      <c r="DM1" s="985"/>
      <c r="DO1" s="985" t="s">
        <v>173</v>
      </c>
      <c r="DP1" s="985"/>
      <c r="DQ1" s="985"/>
    </row>
    <row r="2" spans="1:121" ht="17" thickBot="1">
      <c r="A2" s="2"/>
      <c r="B2" s="2"/>
      <c r="C2" s="2"/>
      <c r="D2" s="2"/>
      <c r="E2" s="134"/>
      <c r="F2" s="567" t="str">
        <f>Translations!$A$117</f>
        <v>Enter Manual Mode to modify dates and specific amounts</v>
      </c>
      <c r="G2" s="17"/>
      <c r="H2" s="17"/>
      <c r="I2" s="17"/>
      <c r="J2" s="2"/>
      <c r="K2" s="2"/>
      <c r="L2" s="2"/>
      <c r="M2" s="2"/>
      <c r="N2" s="2"/>
      <c r="O2" s="2"/>
      <c r="P2" s="2"/>
      <c r="Q2" s="2"/>
      <c r="R2" s="2"/>
      <c r="S2" s="2"/>
      <c r="T2" s="2"/>
      <c r="U2" s="2"/>
      <c r="V2" s="2"/>
      <c r="W2" s="2"/>
      <c r="X2" s="2"/>
      <c r="Y2" s="2"/>
      <c r="Z2" s="2"/>
      <c r="AA2" s="2"/>
      <c r="AB2" s="2"/>
      <c r="AC2" s="2"/>
      <c r="AN2" t="s">
        <v>163</v>
      </c>
      <c r="BB2" s="123"/>
      <c r="BD2" s="123"/>
      <c r="BE2" s="5"/>
      <c r="BF2" s="5"/>
      <c r="BG2" s="5"/>
      <c r="BH2" s="5"/>
      <c r="BI2" s="5"/>
      <c r="BJ2" s="5"/>
      <c r="BK2" s="5"/>
      <c r="BL2" s="5"/>
      <c r="BM2" s="123"/>
      <c r="BP2" s="5"/>
      <c r="BQ2" s="5"/>
      <c r="BT2" s="5"/>
      <c r="BU2" s="5"/>
      <c r="BV2" s="123"/>
      <c r="BW2" s="5"/>
      <c r="BX2" s="5"/>
      <c r="BY2" s="5"/>
      <c r="BZ2" s="5"/>
      <c r="CA2" s="5"/>
      <c r="CB2" s="5"/>
      <c r="CC2" s="5"/>
      <c r="CD2" s="5"/>
      <c r="CE2" s="5"/>
      <c r="CF2" s="123"/>
      <c r="CG2" s="123"/>
      <c r="CH2" s="123"/>
      <c r="CI2" s="16"/>
      <c r="CJ2" s="282">
        <f>IF(ExactDays=FALSE,'Pricing - Advanced'!$K$20,CJ3)</f>
        <v>0.15652876262836982</v>
      </c>
      <c r="CM2" s="5">
        <f>SUM(CM6:CM189)</f>
        <v>1E-4</v>
      </c>
      <c r="CN2" s="5">
        <f>SUM(CN6:CN189)</f>
        <v>0</v>
      </c>
      <c r="CR2" s="123" t="s">
        <v>167</v>
      </c>
      <c r="CS2" s="1">
        <f>'Pricing - Advanced'!K121</f>
        <v>30</v>
      </c>
      <c r="DE2" s="16"/>
      <c r="DF2" s="129"/>
      <c r="DG2" t="s">
        <v>185</v>
      </c>
      <c r="DK2" s="129"/>
      <c r="DL2" t="s">
        <v>133</v>
      </c>
      <c r="DP2" s="129"/>
      <c r="DQ2" t="s">
        <v>133</v>
      </c>
    </row>
    <row r="3" spans="1:121" ht="15" thickBot="1">
      <c r="A3" s="2"/>
      <c r="B3" s="2"/>
      <c r="C3" s="2"/>
      <c r="D3" s="2"/>
      <c r="E3" s="569">
        <v>40343</v>
      </c>
      <c r="F3" s="998" t="str">
        <f>Translations!A176</f>
        <v>&lt;-- Disbursment Date</v>
      </c>
      <c r="G3" s="999"/>
      <c r="H3" s="999"/>
      <c r="I3" s="17"/>
      <c r="J3" s="570" t="s">
        <v>794</v>
      </c>
      <c r="K3" s="732">
        <f>INDEX(E6:J188,MATCH(0,J6:J188,0),1)</f>
        <v>40373</v>
      </c>
      <c r="L3" s="2"/>
      <c r="M3" s="730" t="s">
        <v>795</v>
      </c>
      <c r="N3" s="731">
        <f>K3-E3</f>
        <v>30</v>
      </c>
      <c r="O3" s="570"/>
      <c r="P3" s="570"/>
      <c r="Q3" s="729"/>
      <c r="R3" s="570"/>
      <c r="S3" s="570"/>
      <c r="T3" s="570"/>
      <c r="U3" s="2"/>
      <c r="V3" s="2"/>
      <c r="W3" s="2"/>
      <c r="X3" s="2"/>
      <c r="Y3" s="2"/>
      <c r="Z3" s="2"/>
      <c r="AA3" s="2"/>
      <c r="AB3" s="2"/>
      <c r="AC3" s="2"/>
      <c r="AQ3" s="983" t="s">
        <v>742</v>
      </c>
      <c r="AR3" s="983"/>
      <c r="AS3" s="983"/>
      <c r="AT3" s="983"/>
      <c r="BB3" s="123"/>
      <c r="BD3" s="123"/>
      <c r="BE3" s="5"/>
      <c r="BF3" s="5"/>
      <c r="BG3" s="148">
        <f>SUM(BG6:BG188)</f>
        <v>1E-4</v>
      </c>
      <c r="BH3" s="149">
        <f>SUM(BH6:BH188)</f>
        <v>0</v>
      </c>
      <c r="BI3" s="150"/>
      <c r="BJ3" s="278"/>
      <c r="BK3" s="149" t="e">
        <f>SUM(BK6:BK188)</f>
        <v>#NUM!</v>
      </c>
      <c r="BL3" s="151" t="e">
        <f>SUM(BL6:BL188)</f>
        <v>#NUM!</v>
      </c>
      <c r="BM3" s="123"/>
      <c r="BP3" s="148">
        <f>SUM(BP6:BP188)</f>
        <v>1E-4</v>
      </c>
      <c r="BQ3" s="149">
        <f>SUM(BQ6:BQ188)</f>
        <v>0</v>
      </c>
      <c r="BR3" s="150"/>
      <c r="BS3" s="278"/>
      <c r="BT3" s="149" t="e">
        <f>SUM(BT6:BT188)</f>
        <v>#NUM!</v>
      </c>
      <c r="BU3" s="151" t="e">
        <f>SUM(BU6:BU188)</f>
        <v>#NUM!</v>
      </c>
      <c r="BV3" s="123"/>
      <c r="BW3" s="5"/>
      <c r="BX3" s="5"/>
      <c r="BY3" s="148">
        <f>SUM(BY6:BY188)</f>
        <v>1E-4</v>
      </c>
      <c r="BZ3" s="149">
        <f>SUM(BZ6:BZ188)</f>
        <v>0</v>
      </c>
      <c r="CA3" s="150"/>
      <c r="CB3" s="278"/>
      <c r="CC3" s="149" t="e">
        <f>SUM(CC6:CC188)</f>
        <v>#NUM!</v>
      </c>
      <c r="CD3" s="151" t="e">
        <f>SUM(CD6:CD188)</f>
        <v>#NUM!</v>
      </c>
      <c r="CE3" s="5"/>
      <c r="CF3" s="123"/>
      <c r="CG3" s="123"/>
      <c r="CH3" s="123"/>
      <c r="CI3" s="16"/>
      <c r="CJ3" s="129">
        <v>0.15652876262836982</v>
      </c>
      <c r="CK3" t="s">
        <v>133</v>
      </c>
      <c r="CM3" s="5"/>
      <c r="CN3" s="5"/>
      <c r="CP3" s="4"/>
      <c r="CR3">
        <f>DaysPeriod/30</f>
        <v>1</v>
      </c>
      <c r="CS3" s="476" t="s">
        <v>653</v>
      </c>
      <c r="DE3" s="16"/>
      <c r="DF3" s="282" t="e">
        <f>IF(UseManualCalcs=FALSE,IF(DiscountType=3,M213,M197),DF2)</f>
        <v>#NUM!</v>
      </c>
      <c r="DG3" t="s">
        <v>743</v>
      </c>
      <c r="DJ3" s="16"/>
      <c r="DK3" s="282" t="e">
        <f>IF(UseManualCalcs=FALSE,IF(DiscountType=3,P213,P197),DK2)</f>
        <v>#NUM!</v>
      </c>
      <c r="DL3" t="s">
        <v>667</v>
      </c>
      <c r="DO3" s="16"/>
      <c r="DP3" s="282" t="e">
        <f>IF(UseManualCalcs=FALSE,IF(DiscountType=3,W213,W197),DP2)</f>
        <v>#NUM!</v>
      </c>
    </row>
    <row r="4" spans="1:121" ht="17.25" customHeight="1" thickTop="1" thickBot="1">
      <c r="A4" s="2"/>
      <c r="B4" s="994" t="str">
        <f>Translations!A175</f>
        <v>Payment Date</v>
      </c>
      <c r="C4" s="995"/>
      <c r="D4" s="995"/>
      <c r="E4" s="996"/>
      <c r="F4" s="654"/>
      <c r="G4" s="1006" t="str">
        <f>Translations!A56</f>
        <v>Loan Cost and Cashflow</v>
      </c>
      <c r="H4" s="1007"/>
      <c r="I4" s="1007"/>
      <c r="J4" s="1008"/>
      <c r="K4" s="991" t="str">
        <f>Translations!A204</f>
        <v>Interest</v>
      </c>
      <c r="L4" s="992"/>
      <c r="M4" s="993"/>
      <c r="N4" s="991" t="str">
        <f>Translations!A205</f>
        <v>Fees</v>
      </c>
      <c r="O4" s="992"/>
      <c r="P4" s="993"/>
      <c r="Q4" s="655"/>
      <c r="R4" s="991" t="str">
        <f>Translations!A206</f>
        <v>Insurance</v>
      </c>
      <c r="S4" s="992"/>
      <c r="T4" s="993"/>
      <c r="U4" s="991" t="str">
        <f>Translations!A207</f>
        <v>Taxes</v>
      </c>
      <c r="V4" s="992"/>
      <c r="W4" s="993"/>
      <c r="X4" s="991" t="str">
        <f>Translations!A57</f>
        <v>Security Deposit</v>
      </c>
      <c r="Y4" s="992"/>
      <c r="Z4" s="992"/>
      <c r="AA4" s="992"/>
      <c r="AB4" s="992"/>
      <c r="AC4" s="993"/>
      <c r="AF4" s="884" t="s">
        <v>30</v>
      </c>
      <c r="AG4" s="884" t="s">
        <v>12</v>
      </c>
      <c r="AH4" s="884" t="s">
        <v>809</v>
      </c>
      <c r="AI4" s="884" t="s">
        <v>33</v>
      </c>
      <c r="AJ4" s="884" t="s">
        <v>793</v>
      </c>
      <c r="AK4" s="884" t="s">
        <v>808</v>
      </c>
      <c r="AN4" s="883" t="s">
        <v>32</v>
      </c>
      <c r="AQ4" s="986" t="s">
        <v>166</v>
      </c>
      <c r="AR4" s="986"/>
      <c r="AS4" s="123" t="s">
        <v>666</v>
      </c>
      <c r="AT4" s="124" t="b">
        <f>IF(ISBLANK(E6),FALSE,TRUE)</f>
        <v>1</v>
      </c>
      <c r="AW4" s="984" t="s">
        <v>188</v>
      </c>
      <c r="AX4" s="984"/>
      <c r="AY4" s="984" t="s">
        <v>189</v>
      </c>
      <c r="AZ4" s="984"/>
      <c r="BA4" s="984"/>
      <c r="BB4" s="984"/>
      <c r="BC4" s="984"/>
      <c r="BD4" s="123"/>
      <c r="BE4" s="159"/>
      <c r="BF4" s="487"/>
      <c r="BG4" s="1001" t="s">
        <v>178</v>
      </c>
      <c r="BH4" s="1001"/>
      <c r="BI4" s="160"/>
      <c r="BJ4" s="160"/>
      <c r="BK4" s="1001" t="s">
        <v>177</v>
      </c>
      <c r="BL4" s="1002"/>
      <c r="BM4" s="123"/>
      <c r="BN4" s="159"/>
      <c r="BO4" s="487"/>
      <c r="BP4" s="1001" t="s">
        <v>178</v>
      </c>
      <c r="BQ4" s="1001"/>
      <c r="BR4" s="160"/>
      <c r="BS4" s="160"/>
      <c r="BT4" s="1001" t="s">
        <v>177</v>
      </c>
      <c r="BU4" s="1002"/>
      <c r="BV4" s="123"/>
      <c r="BW4" s="159"/>
      <c r="BX4" s="487"/>
      <c r="BY4" s="1001" t="s">
        <v>178</v>
      </c>
      <c r="BZ4" s="1001"/>
      <c r="CA4" s="160"/>
      <c r="CB4" s="160"/>
      <c r="CC4" s="1001" t="s">
        <v>177</v>
      </c>
      <c r="CD4" s="1002"/>
      <c r="CF4" s="123"/>
      <c r="CG4" s="123"/>
      <c r="CH4" s="123"/>
      <c r="CJ4" s="139">
        <f>CN2-CM2</f>
        <v>-1E-4</v>
      </c>
      <c r="CK4" t="s">
        <v>155</v>
      </c>
      <c r="CR4" s="5">
        <f>'Pricing - Advanced'!$O$121</f>
        <v>12</v>
      </c>
      <c r="CS4" t="s">
        <v>132</v>
      </c>
      <c r="DF4" s="139" t="e">
        <f>BK3-BL3</f>
        <v>#NUM!</v>
      </c>
      <c r="DG4" t="s">
        <v>668</v>
      </c>
      <c r="DK4" s="139" t="e">
        <f>#REF!-#REF!</f>
        <v>#REF!</v>
      </c>
      <c r="DL4" t="s">
        <v>155</v>
      </c>
      <c r="DP4" s="139" t="e">
        <f>#REF!-#REF!</f>
        <v>#REF!</v>
      </c>
      <c r="DQ4" t="s">
        <v>155</v>
      </c>
    </row>
    <row r="5" spans="1:121" ht="38" thickTop="1" thickBot="1">
      <c r="A5" s="2"/>
      <c r="B5" s="12" t="str">
        <f>Translations!A59</f>
        <v>Period #</v>
      </c>
      <c r="C5" s="13" t="str">
        <f>Translations!$A$14</f>
        <v>Days</v>
      </c>
      <c r="D5" s="473" t="str">
        <f>Translations!A179</f>
        <v>OR Date</v>
      </c>
      <c r="E5" s="136" t="str">
        <f>Translations!A60</f>
        <v>Date</v>
      </c>
      <c r="F5" s="726" t="str">
        <f>"# "&amp;Translations!$A$14</f>
        <v># Days</v>
      </c>
      <c r="G5" s="725" t="str">
        <f>Translations!A61</f>
        <v>Principal Disbursed</v>
      </c>
      <c r="H5" s="728" t="str">
        <f>Translations!A62</f>
        <v>Principal Paid</v>
      </c>
      <c r="I5" s="721" t="str">
        <f>L5</f>
        <v>Override</v>
      </c>
      <c r="J5" s="728" t="str">
        <f>Translations!A63</f>
        <v>Balance</v>
      </c>
      <c r="K5" s="727" t="str">
        <f>Translations!A64</f>
        <v>Interest Paid</v>
      </c>
      <c r="L5" s="721" t="str">
        <f>Translations!A162</f>
        <v>Override</v>
      </c>
      <c r="M5" s="722" t="str">
        <f>Translations!A65</f>
        <v>Cashflow incl. Interest</v>
      </c>
      <c r="N5" s="724" t="str">
        <f>Translations!A66</f>
        <v>Fees Paid</v>
      </c>
      <c r="O5" s="721" t="str">
        <f>L5</f>
        <v>Override</v>
      </c>
      <c r="P5" s="722" t="str">
        <f>Translations!A67</f>
        <v>Cashflow incl. Fees</v>
      </c>
      <c r="Q5" s="666" t="str">
        <f>Translations!A197</f>
        <v>Period APR</v>
      </c>
      <c r="R5" s="720" t="str">
        <f>Translations!A201</f>
        <v>Insurance Paid</v>
      </c>
      <c r="S5" s="721" t="str">
        <f>O5</f>
        <v>Override</v>
      </c>
      <c r="T5" s="723" t="str">
        <f>Translations!A202</f>
        <v>Cashflow incl. insurance</v>
      </c>
      <c r="U5" s="720" t="str">
        <f>Translations!A172</f>
        <v>Taxes</v>
      </c>
      <c r="V5" s="721" t="str">
        <f>O5</f>
        <v>Override</v>
      </c>
      <c r="W5" s="723" t="str">
        <f>Translations!A69</f>
        <v>Cashflow Incl. Taxes</v>
      </c>
      <c r="X5" s="725" t="str">
        <f>Translations!A70</f>
        <v>Security Deposit</v>
      </c>
      <c r="Y5" s="728" t="str">
        <f>Translations!A71</f>
        <v>Interest Paid</v>
      </c>
      <c r="Z5" s="722" t="str">
        <f>Translations!A72</f>
        <v>Deposit Withdr.</v>
      </c>
      <c r="AA5" s="721" t="str">
        <f>V5</f>
        <v>Override</v>
      </c>
      <c r="AB5" s="728" t="str">
        <f>Translations!A73</f>
        <v>Deposit Balance</v>
      </c>
      <c r="AC5" s="656" t="str">
        <f>Translations!A74</f>
        <v>Cashflow incl. Sec.Dep.</v>
      </c>
      <c r="AF5" s="885"/>
      <c r="AG5" s="885"/>
      <c r="AH5" s="885"/>
      <c r="AI5" s="885"/>
      <c r="AJ5" s="885"/>
      <c r="AK5" s="885"/>
      <c r="AN5" s="883"/>
      <c r="AQ5" s="584" t="s">
        <v>758</v>
      </c>
      <c r="AR5" s="584" t="s">
        <v>759</v>
      </c>
      <c r="AS5" s="584" t="s">
        <v>657</v>
      </c>
      <c r="AT5" s="584" t="s">
        <v>426</v>
      </c>
      <c r="AW5" t="s">
        <v>130</v>
      </c>
      <c r="AX5" t="s">
        <v>175</v>
      </c>
      <c r="AY5" t="s">
        <v>170</v>
      </c>
      <c r="AZ5" s="3" t="s">
        <v>168</v>
      </c>
      <c r="BA5" s="3" t="s">
        <v>834</v>
      </c>
      <c r="BB5" s="3" t="s">
        <v>169</v>
      </c>
      <c r="BC5" s="3" t="s">
        <v>171</v>
      </c>
      <c r="BE5" s="156" t="s">
        <v>180</v>
      </c>
      <c r="BF5" s="488" t="s">
        <v>139</v>
      </c>
      <c r="BG5" s="143" t="s">
        <v>183</v>
      </c>
      <c r="BH5" s="144" t="s">
        <v>184</v>
      </c>
      <c r="BI5" s="152" t="s">
        <v>176</v>
      </c>
      <c r="BJ5" s="153" t="s">
        <v>179</v>
      </c>
      <c r="BK5" s="144" t="str">
        <f>BG5</f>
        <v>Inflow</v>
      </c>
      <c r="BL5" s="145" t="str">
        <f>BH5</f>
        <v>Outflow</v>
      </c>
      <c r="BN5" s="498" t="s">
        <v>180</v>
      </c>
      <c r="BO5" s="143" t="s">
        <v>139</v>
      </c>
      <c r="BP5" s="143" t="s">
        <v>183</v>
      </c>
      <c r="BQ5" s="144" t="s">
        <v>184</v>
      </c>
      <c r="BR5" s="152" t="s">
        <v>176</v>
      </c>
      <c r="BS5" s="153" t="s">
        <v>179</v>
      </c>
      <c r="BT5" s="144" t="str">
        <f>BP5</f>
        <v>Inflow</v>
      </c>
      <c r="BU5" s="145" t="str">
        <f>BQ5</f>
        <v>Outflow</v>
      </c>
      <c r="BW5" s="498" t="s">
        <v>180</v>
      </c>
      <c r="BX5" s="143" t="s">
        <v>139</v>
      </c>
      <c r="BY5" s="143" t="s">
        <v>183</v>
      </c>
      <c r="BZ5" s="144" t="s">
        <v>184</v>
      </c>
      <c r="CA5" s="152" t="s">
        <v>176</v>
      </c>
      <c r="CB5" s="153" t="s">
        <v>179</v>
      </c>
      <c r="CC5" s="144" t="str">
        <f>BY5</f>
        <v>Inflow</v>
      </c>
      <c r="CD5" s="145" t="str">
        <f>BZ5</f>
        <v>Outflow</v>
      </c>
      <c r="CI5" t="s">
        <v>135</v>
      </c>
      <c r="CJ5" t="str">
        <f>DP5</f>
        <v>EU Exact Days</v>
      </c>
      <c r="CK5" t="s">
        <v>136</v>
      </c>
      <c r="CL5" t="s">
        <v>137</v>
      </c>
      <c r="CM5" t="s">
        <v>130</v>
      </c>
      <c r="CN5" t="s">
        <v>131</v>
      </c>
      <c r="DE5" t="s">
        <v>135</v>
      </c>
      <c r="DF5" t="s">
        <v>425</v>
      </c>
      <c r="DG5" t="s">
        <v>136</v>
      </c>
      <c r="DH5" t="s">
        <v>137</v>
      </c>
      <c r="DJ5" t="s">
        <v>135</v>
      </c>
      <c r="DK5" t="str">
        <f>DF5</f>
        <v>EU Exact Days</v>
      </c>
      <c r="DL5" t="s">
        <v>136</v>
      </c>
      <c r="DM5" t="s">
        <v>137</v>
      </c>
      <c r="DO5" t="s">
        <v>135</v>
      </c>
      <c r="DP5" t="str">
        <f>DK5</f>
        <v>EU Exact Days</v>
      </c>
      <c r="DQ5" t="s">
        <v>136</v>
      </c>
    </row>
    <row r="6" spans="1:121" ht="13" thickTop="1">
      <c r="B6" s="231">
        <v>0</v>
      </c>
      <c r="C6" s="279"/>
      <c r="D6" s="474"/>
      <c r="E6" s="318">
        <f>IF(ISBLANK(E3),DATE(2009,1,1),E3)</f>
        <v>40343</v>
      </c>
      <c r="F6" s="541"/>
      <c r="G6" s="232">
        <f>LoanAmt</f>
        <v>1E-4</v>
      </c>
      <c r="H6" s="684"/>
      <c r="I6" s="234"/>
      <c r="J6" s="596">
        <f>G6</f>
        <v>1E-4</v>
      </c>
      <c r="K6" s="233"/>
      <c r="L6" s="234"/>
      <c r="M6" s="235">
        <f>IF(AND(ManualMode=TRUE,NOT(ISBLANK(L6))),I6+L6,J6)</f>
        <v>1E-4</v>
      </c>
      <c r="N6" s="479">
        <f>IF(OR(ManualMode=FALSE,ISBLANK(O6)),IF(J6&gt;'Pricing - Advanced'!Z14,(J6-'Pricing - Advanced'!Z14)*'Pricing - Advanced'!E14,0)+'Pricing - Advanced'!E15,"N/A")</f>
        <v>0</v>
      </c>
      <c r="O6" s="234"/>
      <c r="P6" s="235">
        <f>IF(AND(ManualMode=TRUE,NOT(ISBLANK(O6))),M6-O6,M6-N6)</f>
        <v>1E-4</v>
      </c>
      <c r="Q6" s="665">
        <f>IF(ManualMode=TRUE,0,IF(J6,(K6+N6)/J6*(365/N3),0))</f>
        <v>0</v>
      </c>
      <c r="R6" s="479">
        <f>IF(OR(ManualMode=FALSE,ISBLANK(S6)),'Pricing - Advanced'!E16*J6+'Pricing - Advanced'!E17,"N/A")</f>
        <v>0</v>
      </c>
      <c r="S6" s="234"/>
      <c r="T6" s="235">
        <f>IF(AND(ManualMode=TRUE,NOT(ISBLANK(S6))),P6-S6,P6-R6)</f>
        <v>1E-4</v>
      </c>
      <c r="U6" s="599">
        <f>IF(OR(ManualMode=FALSE,ISBLANK(V6)),SUM(K6:L6)*'Pricing - Advanced'!$F$19+SUM(N6,O6)*'Pricing - Advanced'!$F$18,"N/A")</f>
        <v>0</v>
      </c>
      <c r="V6" s="234"/>
      <c r="W6" s="236">
        <f>IF(AND(ManualMode=TRUE,NOT(ISBLANK(V6))),T6-V6,T6-U6)</f>
        <v>1E-4</v>
      </c>
      <c r="X6" s="237">
        <f>J6*'Pricing - Advanced'!E20+'Pricing - Advanced'!E21</f>
        <v>0</v>
      </c>
      <c r="Y6" s="687"/>
      <c r="Z6" s="233"/>
      <c r="AA6" s="238"/>
      <c r="AB6" s="596">
        <f>IF(AND(ManualMode=TRUE,NOT(ISBLANK(AA6))),AA6,X6+Y6-Z6)</f>
        <v>0</v>
      </c>
      <c r="AC6" s="266">
        <f t="shared" ref="AC6:AC37" si="0">IF(AND(ManualMode=TRUE,NOT(ISBLANK(AA6)),AN6="x"),W6-AA6,W6-X6+Z6)</f>
        <v>1E-4</v>
      </c>
      <c r="AF6" s="762">
        <f>J6</f>
        <v>1E-4</v>
      </c>
      <c r="AG6" s="756" t="e">
        <f t="shared" ref="AG6:AG37" si="1">IF(AB6&gt;0,AB6,NA())</f>
        <v>#N/A</v>
      </c>
      <c r="AH6" s="756">
        <f>J6-SUM(N6,AB6)</f>
        <v>1E-4</v>
      </c>
      <c r="AI6" s="756">
        <f t="shared" ref="AI6:AI37" si="2">IF(AND(AH6&lt;0,B6&lt;=term),1,0)</f>
        <v>0</v>
      </c>
      <c r="AJ6" s="757"/>
      <c r="AK6" s="757"/>
      <c r="AN6" s="1" t="s">
        <v>17</v>
      </c>
      <c r="AR6" s="1"/>
      <c r="AS6" s="477">
        <f>IF(ISBLANK($E$6),DATE(2009,1,1),E6)</f>
        <v>40343</v>
      </c>
      <c r="AT6" s="1">
        <f>B6*'Pricing - Advanced'!$K$5</f>
        <v>0</v>
      </c>
      <c r="AW6" s="603">
        <f>G6</f>
        <v>1E-4</v>
      </c>
      <c r="AX6" s="603">
        <f t="shared" ref="AX6:AX37" si="3">G6+Z6</f>
        <v>1E-4</v>
      </c>
      <c r="AY6" s="603">
        <f t="shared" ref="AY6:AY37" si="4">IF(ManualMode=FALSE,H6+K6,SUM(H6,I6,K6,L6))</f>
        <v>0</v>
      </c>
      <c r="AZ6" s="603">
        <f t="shared" ref="AZ6:AZ37" si="5">AY6+IF(ISNUMBER(N6),N6,O6)</f>
        <v>0</v>
      </c>
      <c r="BA6" s="603">
        <f>AZ6+IF(ISNUMBER(R6),R6,S6)</f>
        <v>0</v>
      </c>
      <c r="BB6" s="603">
        <f>BA6+IF(ISNUMBER(U6),U6,V6)</f>
        <v>0</v>
      </c>
      <c r="BC6" s="603">
        <f t="shared" ref="BC6:BC37" si="6">BB6+X6</f>
        <v>0</v>
      </c>
      <c r="BE6" s="157">
        <f t="shared" ref="BE6:BE37" si="7">B6</f>
        <v>0</v>
      </c>
      <c r="BF6" s="489">
        <v>0</v>
      </c>
      <c r="BG6" s="146">
        <f t="shared" ref="BG6:BG37" si="8">AW6</f>
        <v>1E-4</v>
      </c>
      <c r="BH6" s="147">
        <f t="shared" ref="BH6:BH37" si="9">AY6</f>
        <v>0</v>
      </c>
      <c r="BI6" s="154">
        <f t="shared" ref="BI6:BI37" si="10">DH6</f>
        <v>1</v>
      </c>
      <c r="BJ6" s="155"/>
      <c r="BK6" s="147">
        <f>BG6/$BI6</f>
        <v>1E-4</v>
      </c>
      <c r="BL6" s="132">
        <f>BH6/$BI6</f>
        <v>0</v>
      </c>
      <c r="BN6" s="497">
        <f t="shared" ref="BN6:BN37" si="11">BE6</f>
        <v>0</v>
      </c>
      <c r="BO6" s="497">
        <f t="shared" ref="BO6:BO37" si="12">BF6</f>
        <v>0</v>
      </c>
      <c r="BP6" s="5">
        <f t="shared" ref="BP6:BP37" si="13">AW6</f>
        <v>1E-4</v>
      </c>
      <c r="BQ6" s="5">
        <f t="shared" ref="BQ6:BQ37" si="14">AZ6</f>
        <v>0</v>
      </c>
      <c r="BR6" s="499">
        <f>DM6</f>
        <v>1</v>
      </c>
      <c r="BS6" s="499"/>
      <c r="BT6" s="5">
        <f t="shared" ref="BT6:BT37" si="15">$AW6/BR6</f>
        <v>1E-4</v>
      </c>
      <c r="BU6" s="5">
        <f t="shared" ref="BU6:BU37" si="16">$AZ6/BR6</f>
        <v>0</v>
      </c>
      <c r="BW6" s="497">
        <f>BN6</f>
        <v>0</v>
      </c>
      <c r="BX6" s="497">
        <f>BO6</f>
        <v>0</v>
      </c>
      <c r="BY6" s="5">
        <f>AW6</f>
        <v>1E-4</v>
      </c>
      <c r="BZ6" s="5">
        <f>BB6</f>
        <v>0</v>
      </c>
      <c r="CA6" s="130">
        <f>IF($CR$1=1,DO6,IF($CR$1=2,DQ6,DP6))</f>
        <v>1</v>
      </c>
      <c r="CB6" s="5"/>
      <c r="CC6" s="5">
        <f t="shared" ref="CC6:CC37" si="17">$AW6/CA6</f>
        <v>1E-4</v>
      </c>
      <c r="CD6" s="5">
        <f t="shared" ref="CD6:CD37" si="18">$BB6/CA6</f>
        <v>0</v>
      </c>
      <c r="CE6" s="5"/>
      <c r="CI6" s="130">
        <f t="shared" ref="CI6:CI37" si="19">(1+CJ$2)^($B6/$CR$4)</f>
        <v>1</v>
      </c>
      <c r="CJ6" s="130">
        <f t="shared" ref="CJ6:CJ37" si="20">(1+CJ$2)^($AT6/DaysYr)</f>
        <v>1</v>
      </c>
      <c r="CK6" s="296">
        <v>1</v>
      </c>
      <c r="CL6" s="130">
        <f t="shared" ref="CL6:CL37" si="21">IF($CR$1=1,CI6,IF($CR$1=2,CK6,CJ6))</f>
        <v>1</v>
      </c>
      <c r="CM6" s="5">
        <f>$AX6/CL6</f>
        <v>1E-4</v>
      </c>
      <c r="CN6" s="5">
        <f t="shared" ref="CN6:CN37" si="22">BC6/CL6</f>
        <v>0</v>
      </c>
      <c r="CX6" t="s">
        <v>645</v>
      </c>
      <c r="DE6" s="130" t="e">
        <f t="shared" ref="DE6:DE37" si="23">(1+DF$3)^($B6/$CR$4)</f>
        <v>#NUM!</v>
      </c>
      <c r="DF6" s="130" t="e">
        <f t="shared" ref="DF6:DF37" si="24">(1+DF$3)^($BF6/DaysYr)</f>
        <v>#NUM!</v>
      </c>
      <c r="DG6" s="130">
        <v>1</v>
      </c>
      <c r="DH6" s="130">
        <f t="shared" ref="DH6:DH37" si="25">IF($CR$1=1,DE6,IF($CR$1=2,DG6,DF6))</f>
        <v>1</v>
      </c>
      <c r="DJ6" s="130" t="e">
        <f t="shared" ref="DJ6:DJ37" si="26">(1+DK$3)^($B6/$CR$4)</f>
        <v>#NUM!</v>
      </c>
      <c r="DK6" s="130" t="e">
        <f t="shared" ref="DK6:DK37" si="27">(1+DK$3)^($AT6/DaysYr)</f>
        <v>#NUM!</v>
      </c>
      <c r="DL6" s="130">
        <v>1</v>
      </c>
      <c r="DM6" s="130">
        <f>IF($CR$1=1,DJ6,IF($CR$1=2,DL6,DK6))</f>
        <v>1</v>
      </c>
      <c r="DO6" s="130" t="e">
        <f t="shared" ref="DO6:DO37" si="28">(1+DP$3)^($B6/$CR$4)</f>
        <v>#NUM!</v>
      </c>
      <c r="DP6" s="130" t="e">
        <f t="shared" ref="DP6:DP37" si="29">(1+DP$3)^($AT6/DaysYr)</f>
        <v>#NUM!</v>
      </c>
      <c r="DQ6" s="130">
        <v>1</v>
      </c>
    </row>
    <row r="7" spans="1:121">
      <c r="B7" s="231">
        <v>1</v>
      </c>
      <c r="C7" s="280"/>
      <c r="D7" s="475"/>
      <c r="E7" s="318">
        <f t="shared" ref="E7:E38" si="30">IF(ManualDates="x",IF(NOT(ISBLANK(D7)),D7,IF(C7=0,AS7,E6+C7)),AS7)</f>
        <v>40373</v>
      </c>
      <c r="F7" s="542">
        <f>E7-E6</f>
        <v>30</v>
      </c>
      <c r="G7" s="239"/>
      <c r="H7" s="685">
        <f t="shared" ref="H7:H38" si="31">IF(AND(ManualMode=TRUE,NOT(ISBLANK(I7))),"N/A",IF(B7=PrepayPeriod,J6,IF(AND(B7&gt;=FirstPmt,B7&lt;=PrepayPeriod),IF(AND(B7&lt;$AG$228,amortized=1),LoanAmt/$AG$226,-PPMT($AG$229,$B7-FirstPmt+1,$AG$226,LoanAmt)),0)))</f>
        <v>0</v>
      </c>
      <c r="I7" s="240"/>
      <c r="J7" s="597">
        <f t="shared" ref="J7:J38" si="32">IF(AN7&lt;&gt;"x",0,IF(AND(ManualMode=TRUE,NOT(ISBLANK(I7))),J6-I7,IF(J6+G7-H7&gt;1,(J6+G7-H7),0)))</f>
        <v>0</v>
      </c>
      <c r="K7" s="478">
        <f t="shared" ref="K7:K38" si="33">IF(AND(ManualMode=TRUE,NOT(ISBLANK(L7))),"N/A",IF(OR($AH$227&gt;B7,J6&lt;1),0,AR7))</f>
        <v>0</v>
      </c>
      <c r="L7" s="240"/>
      <c r="M7" s="235">
        <f t="shared" ref="M7:M38" si="34">IF(AN7="x",IF(ManualMode=FALSE,-H7-K7,IF(ISBLANK(I7),-H7,-I7)+IF(ISBLANK(L7),-K7,-L7)),0)</f>
        <v>0</v>
      </c>
      <c r="N7" s="479">
        <f t="shared" ref="N7:N38" si="35">IF(OR(ManualMode=FALSE,ISBLANK(O7)),IF(FeeOngoPerc&lt;1,FeeOngoPerc*SUM(H7:I7),IF(J6&gt;1,FeeOngoPerc,0))+IF(FeeOngoFix&lt;1,FeeOngoFix*SUM(H7:I7),IF(J6&gt;1,FeeOngoFix,0)),"N/A")</f>
        <v>0</v>
      </c>
      <c r="O7" s="234"/>
      <c r="P7" s="235">
        <f t="shared" ref="P7:P38" si="36">IF(AND(ManualMode=TRUE,NOT(ISBLANK(O7)),AN7="x"),M7-O7,M7-N7)</f>
        <v>0</v>
      </c>
      <c r="Q7" s="651">
        <f t="shared" ref="Q7:Q38" si="37">IF(J6&gt;0.01,IF(ManualMode=FALSE,SUM(K7,N7),SUM(K7,L7,N7,O7))/J6*(365.25/(AT7-AT6)),0)</f>
        <v>0</v>
      </c>
      <c r="R7" s="479">
        <f>IF(J7&gt;0,IF(OR(ManualMode=FALSE,ISBLANK(S7)),'Pricing - Advanced'!$F$16*J7+'Pricing - Advanced'!$F$17,"N/A"),0)</f>
        <v>0</v>
      </c>
      <c r="S7" s="234"/>
      <c r="T7" s="235">
        <f t="shared" ref="T7:T38" si="38">IF(AND(ManualMode=TRUE,NOT(ISBLANK(S7)),AN7="x"),P7-S7,P7-R7)</f>
        <v>0</v>
      </c>
      <c r="U7" s="599">
        <f>IF(OR(ManualMode=FALSE,ISBLANK(V7)),SUM(K7:L7)*'Pricing - Advanced'!$F$19+SUM(N7,O7)*'Pricing - Advanced'!$F$18,"N/A")</f>
        <v>0</v>
      </c>
      <c r="V7" s="234"/>
      <c r="W7" s="236">
        <f t="shared" ref="W7:W38" si="39">IF(AND(ManualMode=TRUE,NOT(ISBLANK(V7)),AN7="x"),T7-V7,T7-U7)</f>
        <v>0</v>
      </c>
      <c r="X7" s="237">
        <f>'Pricing - Advanced'!$F$20*SUM(H7:I7)+IF(J7&gt;1,'Pricing - Advanced'!$F$21,0)</f>
        <v>0</v>
      </c>
      <c r="Y7" s="688">
        <f>IF(AND(FullTerm&gt;=B7,AB6&gt;0),AB6*'Pricing - Advanced'!$I$128,0)</f>
        <v>0</v>
      </c>
      <c r="Z7" s="233">
        <f t="shared" ref="Z7:Z38" si="40">IF(FullTerm=B7,AB6+X7+Y7,0)</f>
        <v>0</v>
      </c>
      <c r="AA7" s="234"/>
      <c r="AB7" s="597">
        <f>IF(AND(ManualMode=TRUE,NOT(ISBLANK(AA7)),AN7="x"),AB6+AA7,AB6+X7+Y7-Z7)</f>
        <v>0</v>
      </c>
      <c r="AC7" s="236">
        <f>IF(AND(ManualMode=TRUE,NOT(ISBLANK(AA7)),AN7="x"),W7-AA7,W7-X7+Z7)</f>
        <v>0</v>
      </c>
      <c r="AF7" s="762" t="e">
        <f t="shared" ref="AF7:AF38" si="41">IF(int_method=1,AF6,IF(J7&gt;0,J7,NA()))</f>
        <v>#N/A</v>
      </c>
      <c r="AG7" s="759" t="e">
        <f t="shared" si="1"/>
        <v>#N/A</v>
      </c>
      <c r="AH7" s="759">
        <f>IF(J7=0,0,J7-SUM($N$6:N7)-AB6)</f>
        <v>0</v>
      </c>
      <c r="AI7" s="759">
        <f t="shared" si="2"/>
        <v>0</v>
      </c>
      <c r="AJ7" s="760">
        <f>AJ6+J6*(E7-E6)</f>
        <v>3.0000000000000001E-3</v>
      </c>
      <c r="AK7" s="760">
        <f>AK6+AH6*(E7-E6)</f>
        <v>3.0000000000000001E-3</v>
      </c>
      <c r="AN7" s="1" t="s">
        <v>17</v>
      </c>
      <c r="AQ7" s="15">
        <f>IF(J6&gt;1,IF(int_method=2,$AG$229*J6,$AG$229*'Pricing - Advanced'!$E$4),0)</f>
        <v>0</v>
      </c>
      <c r="AR7" s="5">
        <f t="shared" ref="AR7:AR38" si="42">IF(B7&gt;$AI$233,AQ7,0)+AR6-IF(ManualMode=TRUE,SUM(K6:L6),K6)</f>
        <v>0</v>
      </c>
      <c r="AS7" s="477">
        <f>IF(SameDay,EDATE(AS6,$CR$3),AS6+DaysPeriod)</f>
        <v>40373</v>
      </c>
      <c r="AT7" s="1">
        <f>IF($AT$4=FALSE,B7*'Pricing - Advanced'!$K$5,AT6+E7-E6)</f>
        <v>30</v>
      </c>
      <c r="AW7" s="603">
        <f t="shared" ref="AW7:AW70" si="43">G7</f>
        <v>0</v>
      </c>
      <c r="AX7" s="603">
        <f t="shared" si="3"/>
        <v>0</v>
      </c>
      <c r="AY7" s="603">
        <f t="shared" si="4"/>
        <v>0</v>
      </c>
      <c r="AZ7" s="603">
        <f t="shared" si="5"/>
        <v>0</v>
      </c>
      <c r="BA7" s="603">
        <f t="shared" ref="BA7:BA70" si="44">AZ7+IF(ISNUMBER(R7),R7,S7)</f>
        <v>0</v>
      </c>
      <c r="BB7" s="603">
        <f t="shared" ref="BB7:BB70" si="45">BA7+IF(ISNUMBER(U7),U7,V7)</f>
        <v>0</v>
      </c>
      <c r="BC7" s="603">
        <f t="shared" si="6"/>
        <v>0</v>
      </c>
      <c r="BE7" s="157">
        <f t="shared" si="7"/>
        <v>1</v>
      </c>
      <c r="BF7" s="489">
        <f t="shared" ref="BF7:BF38" si="46">E7-$E$6</f>
        <v>30</v>
      </c>
      <c r="BG7" s="146">
        <f t="shared" si="8"/>
        <v>0</v>
      </c>
      <c r="BH7" s="147">
        <f t="shared" si="9"/>
        <v>0</v>
      </c>
      <c r="BI7" s="154" t="e">
        <f t="shared" si="10"/>
        <v>#NUM!</v>
      </c>
      <c r="BJ7" s="277" t="e">
        <f>BI7/BI6-1</f>
        <v>#NUM!</v>
      </c>
      <c r="BK7" s="147" t="e">
        <f t="shared" ref="BK7:BL17" si="47">BG7/$BI7</f>
        <v>#NUM!</v>
      </c>
      <c r="BL7" s="132" t="e">
        <f t="shared" si="47"/>
        <v>#NUM!</v>
      </c>
      <c r="BN7" s="497">
        <f t="shared" si="11"/>
        <v>1</v>
      </c>
      <c r="BO7" s="497">
        <f t="shared" si="12"/>
        <v>30</v>
      </c>
      <c r="BP7" s="5">
        <f t="shared" si="13"/>
        <v>0</v>
      </c>
      <c r="BQ7" s="5">
        <f t="shared" si="14"/>
        <v>0</v>
      </c>
      <c r="BR7" s="499" t="e">
        <f t="shared" ref="BR7:BR58" si="48">DM7</f>
        <v>#NUM!</v>
      </c>
      <c r="BS7" s="277" t="e">
        <f>BR7/BR6-1</f>
        <v>#NUM!</v>
      </c>
      <c r="BT7" s="5" t="e">
        <f t="shared" si="15"/>
        <v>#NUM!</v>
      </c>
      <c r="BU7" s="5" t="e">
        <f t="shared" si="16"/>
        <v>#NUM!</v>
      </c>
      <c r="BW7" s="5"/>
      <c r="BX7" s="5"/>
      <c r="BY7" s="5"/>
      <c r="BZ7" s="5"/>
      <c r="CA7" s="130" t="e">
        <f>IF($CR$1=1,DO7,IF($CR$1=2,DQ7,DP7))</f>
        <v>#NUM!</v>
      </c>
      <c r="CB7" s="277" t="e">
        <f>CA7/CA6-1</f>
        <v>#NUM!</v>
      </c>
      <c r="CC7" s="5" t="e">
        <f t="shared" si="17"/>
        <v>#NUM!</v>
      </c>
      <c r="CD7" s="5" t="e">
        <f t="shared" si="18"/>
        <v>#NUM!</v>
      </c>
      <c r="CE7" s="5"/>
      <c r="CI7" s="130">
        <f t="shared" si="19"/>
        <v>1.0121923170275706</v>
      </c>
      <c r="CJ7" s="130">
        <f t="shared" si="20"/>
        <v>1.0120160194429899</v>
      </c>
      <c r="CK7" s="296">
        <f t="shared" ref="CK7:CK38" si="49">CK6*(1+CJ$2/PeriodsYr)</f>
        <v>1.0130440635523641</v>
      </c>
      <c r="CL7" s="130">
        <f t="shared" si="21"/>
        <v>1.0130440635523641</v>
      </c>
      <c r="CM7" s="5">
        <f t="shared" ref="CM7:CM70" si="50">$AX7/CL7</f>
        <v>0</v>
      </c>
      <c r="CN7" s="5">
        <f t="shared" si="22"/>
        <v>0</v>
      </c>
      <c r="CX7" t="s">
        <v>646</v>
      </c>
      <c r="DE7" s="130" t="e">
        <f t="shared" si="23"/>
        <v>#NUM!</v>
      </c>
      <c r="DF7" s="130" t="e">
        <f t="shared" si="24"/>
        <v>#NUM!</v>
      </c>
      <c r="DG7" s="130" t="e">
        <f t="shared" ref="DG7:DG38" si="51">DG6*(1+DF$3/PeriodsYr)</f>
        <v>#NUM!</v>
      </c>
      <c r="DH7" s="130" t="e">
        <f t="shared" si="25"/>
        <v>#NUM!</v>
      </c>
      <c r="DJ7" s="130" t="e">
        <f t="shared" si="26"/>
        <v>#NUM!</v>
      </c>
      <c r="DK7" s="130" t="e">
        <f t="shared" si="27"/>
        <v>#NUM!</v>
      </c>
      <c r="DL7" s="130" t="e">
        <f t="shared" ref="DL7:DL38" si="52">DL6*(1+DK$3/PeriodsYr)</f>
        <v>#NUM!</v>
      </c>
      <c r="DM7" s="130" t="e">
        <f>IF($CR$1=1,DJ7,IF($CR$1=2,DL7,DK7))</f>
        <v>#NUM!</v>
      </c>
      <c r="DO7" s="130" t="e">
        <f t="shared" si="28"/>
        <v>#NUM!</v>
      </c>
      <c r="DP7" s="130" t="e">
        <f t="shared" si="29"/>
        <v>#NUM!</v>
      </c>
      <c r="DQ7" s="130" t="e">
        <f t="shared" ref="DQ7:DQ38" si="53">DQ6*(1+DP$3/PeriodsYr)</f>
        <v>#NUM!</v>
      </c>
    </row>
    <row r="8" spans="1:121">
      <c r="B8" s="231">
        <v>2</v>
      </c>
      <c r="C8" s="280"/>
      <c r="D8" s="475"/>
      <c r="E8" s="318">
        <f t="shared" si="30"/>
        <v>40404</v>
      </c>
      <c r="F8" s="542">
        <f t="shared" ref="F8:F18" si="54">IF(AN8="x",E8-E7,0)</f>
        <v>0</v>
      </c>
      <c r="G8" s="239"/>
      <c r="H8" s="685">
        <f t="shared" si="31"/>
        <v>0</v>
      </c>
      <c r="I8" s="240"/>
      <c r="J8" s="597">
        <f t="shared" si="32"/>
        <v>0</v>
      </c>
      <c r="K8" s="478">
        <f t="shared" si="33"/>
        <v>0</v>
      </c>
      <c r="L8" s="240"/>
      <c r="M8" s="235">
        <f t="shared" si="34"/>
        <v>0</v>
      </c>
      <c r="N8" s="479">
        <f t="shared" si="35"/>
        <v>0</v>
      </c>
      <c r="O8" s="234"/>
      <c r="P8" s="235">
        <f t="shared" si="36"/>
        <v>0</v>
      </c>
      <c r="Q8" s="651">
        <f t="shared" si="37"/>
        <v>0</v>
      </c>
      <c r="R8" s="479">
        <f>IF(J8&gt;0,IF(OR(ManualMode=FALSE,ISBLANK(S8)),'Pricing - Advanced'!$F$16*J8+'Pricing - Advanced'!$F$17,"N/A"),0)</f>
        <v>0</v>
      </c>
      <c r="S8" s="234"/>
      <c r="T8" s="235">
        <f t="shared" si="38"/>
        <v>0</v>
      </c>
      <c r="U8" s="599">
        <f>IF(OR(ManualMode=FALSE,ISBLANK(V8)),SUM(K8:L8)*'Pricing - Advanced'!$F$19+SUM(N8,O8)*'Pricing - Advanced'!$F$18,"N/A")</f>
        <v>0</v>
      </c>
      <c r="V8" s="234"/>
      <c r="W8" s="236">
        <f t="shared" si="39"/>
        <v>0</v>
      </c>
      <c r="X8" s="237">
        <f>'Pricing - Advanced'!$F$20*SUM(H8:I8)+IF(J8&gt;1,'Pricing - Advanced'!$F$21,0)</f>
        <v>0</v>
      </c>
      <c r="Y8" s="688">
        <f>IF(AND(FullTerm&gt;=B8,AB7&gt;0),AB7*'Pricing - Advanced'!$I$128,0)</f>
        <v>0</v>
      </c>
      <c r="Z8" s="233">
        <f t="shared" si="40"/>
        <v>0</v>
      </c>
      <c r="AA8" s="234"/>
      <c r="AB8" s="597">
        <f>IF(AND(ManualMode=TRUE,NOT(ISBLANK(AA8)),AN8="x"),AB7+AA8,AB7+X8+Y8-Z8)</f>
        <v>0</v>
      </c>
      <c r="AC8" s="236">
        <f>IF(AND(ManualMode=TRUE,NOT(ISBLANK(AA8)),AN8="x"),W8-AA8,W8-X8+Z8)</f>
        <v>0</v>
      </c>
      <c r="AE8" s="23"/>
      <c r="AF8" s="762" t="e">
        <f t="shared" si="41"/>
        <v>#N/A</v>
      </c>
      <c r="AG8" s="759" t="e">
        <f t="shared" si="1"/>
        <v>#N/A</v>
      </c>
      <c r="AH8" s="759">
        <f>IF(J8=0,0,J8-SUM($N$6:N8)-AB7)</f>
        <v>0</v>
      </c>
      <c r="AI8" s="759">
        <f t="shared" si="2"/>
        <v>0</v>
      </c>
      <c r="AJ8" s="760">
        <f t="shared" ref="AJ8:AJ71" si="55">AJ7+J7*(E8-E7)</f>
        <v>3.0000000000000001E-3</v>
      </c>
      <c r="AK8" s="760">
        <f t="shared" ref="AK8:AK71" si="56">AK7+AH7*(E8-E7)</f>
        <v>3.0000000000000001E-3</v>
      </c>
      <c r="AN8" s="1" t="b">
        <f t="shared" ref="AN8:AN39" si="57">IF(B8&lt;=term,"x",TRUE)</f>
        <v>1</v>
      </c>
      <c r="AQ8" s="15">
        <f>IF(J7&gt;1,IF(int_method=2,$AG$229*J7,$AG$229*'Pricing - Advanced'!$E$4),0)</f>
        <v>0</v>
      </c>
      <c r="AR8" s="5">
        <f t="shared" si="42"/>
        <v>0</v>
      </c>
      <c r="AS8" s="204">
        <f t="shared" ref="AS8:AS39" si="58">IF(SameDay,EDATE(E7,$CR$3),E7+DaysPeriod)</f>
        <v>40404</v>
      </c>
      <c r="AT8" s="1">
        <f>IF($AT$4=FALSE,B8*'Pricing - Advanced'!$K$5,AT7+E8-E7)</f>
        <v>61</v>
      </c>
      <c r="AW8" s="603">
        <f t="shared" si="43"/>
        <v>0</v>
      </c>
      <c r="AX8" s="603">
        <f t="shared" si="3"/>
        <v>0</v>
      </c>
      <c r="AY8" s="603">
        <f t="shared" si="4"/>
        <v>0</v>
      </c>
      <c r="AZ8" s="603">
        <f t="shared" si="5"/>
        <v>0</v>
      </c>
      <c r="BA8" s="603">
        <f t="shared" si="44"/>
        <v>0</v>
      </c>
      <c r="BB8" s="603">
        <f t="shared" si="45"/>
        <v>0</v>
      </c>
      <c r="BC8" s="603">
        <f t="shared" si="6"/>
        <v>0</v>
      </c>
      <c r="BE8" s="157">
        <f t="shared" si="7"/>
        <v>2</v>
      </c>
      <c r="BF8" s="489">
        <f t="shared" si="46"/>
        <v>61</v>
      </c>
      <c r="BG8" s="146">
        <f t="shared" si="8"/>
        <v>0</v>
      </c>
      <c r="BH8" s="147">
        <f t="shared" si="9"/>
        <v>0</v>
      </c>
      <c r="BI8" s="154" t="e">
        <f t="shared" si="10"/>
        <v>#NUM!</v>
      </c>
      <c r="BJ8" s="277" t="e">
        <f t="shared" ref="BJ8:BJ17" si="59">BI8/BI7-1</f>
        <v>#NUM!</v>
      </c>
      <c r="BK8" s="147" t="e">
        <f t="shared" si="47"/>
        <v>#NUM!</v>
      </c>
      <c r="BL8" s="132" t="e">
        <f t="shared" si="47"/>
        <v>#NUM!</v>
      </c>
      <c r="BN8" s="497">
        <f t="shared" si="11"/>
        <v>2</v>
      </c>
      <c r="BO8" s="497">
        <f t="shared" si="12"/>
        <v>61</v>
      </c>
      <c r="BP8" s="5">
        <f t="shared" si="13"/>
        <v>0</v>
      </c>
      <c r="BQ8" s="5">
        <f t="shared" si="14"/>
        <v>0</v>
      </c>
      <c r="BR8" s="499" t="e">
        <f t="shared" si="48"/>
        <v>#NUM!</v>
      </c>
      <c r="BS8" s="277" t="e">
        <f t="shared" ref="BS8:BS71" si="60">BR8/BR7-1</f>
        <v>#NUM!</v>
      </c>
      <c r="BT8" s="5" t="e">
        <f t="shared" si="15"/>
        <v>#NUM!</v>
      </c>
      <c r="BU8" s="5" t="e">
        <f t="shared" si="16"/>
        <v>#NUM!</v>
      </c>
      <c r="BW8" s="5"/>
      <c r="BX8" s="5"/>
      <c r="BY8" s="5"/>
      <c r="BZ8" s="5"/>
      <c r="CA8" s="130"/>
      <c r="CB8" s="5"/>
      <c r="CC8" s="5" t="e">
        <f t="shared" si="17"/>
        <v>#DIV/0!</v>
      </c>
      <c r="CD8" s="5" t="e">
        <f t="shared" si="18"/>
        <v>#DIV/0!</v>
      </c>
      <c r="CE8" s="5"/>
      <c r="CI8" s="130">
        <f t="shared" si="19"/>
        <v>1.0245332866496419</v>
      </c>
      <c r="CJ8" s="130">
        <f t="shared" si="20"/>
        <v>1.0245842772335887</v>
      </c>
      <c r="CK8" s="296">
        <f t="shared" si="49"/>
        <v>1.0262582746986864</v>
      </c>
      <c r="CL8" s="130">
        <f t="shared" si="21"/>
        <v>1.0262582746986864</v>
      </c>
      <c r="CM8" s="5">
        <f t="shared" si="50"/>
        <v>0</v>
      </c>
      <c r="CN8" s="5">
        <f t="shared" si="22"/>
        <v>0</v>
      </c>
      <c r="DE8" s="130" t="e">
        <f t="shared" si="23"/>
        <v>#NUM!</v>
      </c>
      <c r="DF8" s="130" t="e">
        <f t="shared" si="24"/>
        <v>#NUM!</v>
      </c>
      <c r="DG8" s="130" t="e">
        <f t="shared" si="51"/>
        <v>#NUM!</v>
      </c>
      <c r="DH8" s="130" t="e">
        <f t="shared" si="25"/>
        <v>#NUM!</v>
      </c>
      <c r="DJ8" s="130" t="e">
        <f t="shared" si="26"/>
        <v>#NUM!</v>
      </c>
      <c r="DK8" s="130" t="e">
        <f t="shared" si="27"/>
        <v>#NUM!</v>
      </c>
      <c r="DL8" s="130" t="e">
        <f t="shared" si="52"/>
        <v>#NUM!</v>
      </c>
      <c r="DM8" s="130" t="e">
        <f>IF($CR$1=1,DJ8,IF($CR$1=2,DL8,DK8))</f>
        <v>#NUM!</v>
      </c>
      <c r="DO8" s="130" t="e">
        <f t="shared" si="28"/>
        <v>#NUM!</v>
      </c>
      <c r="DP8" s="130" t="e">
        <f t="shared" si="29"/>
        <v>#NUM!</v>
      </c>
      <c r="DQ8" s="130" t="e">
        <f t="shared" si="53"/>
        <v>#NUM!</v>
      </c>
    </row>
    <row r="9" spans="1:121">
      <c r="B9" s="231">
        <v>3</v>
      </c>
      <c r="C9" s="280"/>
      <c r="D9" s="475"/>
      <c r="E9" s="318">
        <f t="shared" si="30"/>
        <v>40435</v>
      </c>
      <c r="F9" s="542">
        <f t="shared" si="54"/>
        <v>0</v>
      </c>
      <c r="G9" s="239"/>
      <c r="H9" s="685">
        <f t="shared" si="31"/>
        <v>0</v>
      </c>
      <c r="I9" s="240"/>
      <c r="J9" s="597">
        <f t="shared" si="32"/>
        <v>0</v>
      </c>
      <c r="K9" s="478">
        <f t="shared" si="33"/>
        <v>0</v>
      </c>
      <c r="L9" s="240"/>
      <c r="M9" s="235">
        <f t="shared" si="34"/>
        <v>0</v>
      </c>
      <c r="N9" s="479">
        <f t="shared" si="35"/>
        <v>0</v>
      </c>
      <c r="O9" s="238"/>
      <c r="P9" s="235">
        <f t="shared" si="36"/>
        <v>0</v>
      </c>
      <c r="Q9" s="651">
        <f t="shared" si="37"/>
        <v>0</v>
      </c>
      <c r="R9" s="479">
        <f>IF(J9&gt;0,IF(OR(ManualMode=FALSE,ISBLANK(S9)),'Pricing - Advanced'!$F$16*J9+'Pricing - Advanced'!$F$17,"N/A"),0)</f>
        <v>0</v>
      </c>
      <c r="S9" s="234"/>
      <c r="T9" s="235">
        <f t="shared" si="38"/>
        <v>0</v>
      </c>
      <c r="U9" s="599">
        <f>IF(OR(ManualMode=FALSE,ISBLANK(V9)),SUM(K9:L9)*'Pricing - Advanced'!$F$19+SUM(N9,O9)*'Pricing - Advanced'!$F$18,"N/A")</f>
        <v>0</v>
      </c>
      <c r="V9" s="234"/>
      <c r="W9" s="236">
        <f t="shared" si="39"/>
        <v>0</v>
      </c>
      <c r="X9" s="237">
        <f>'Pricing - Advanced'!$F$20*SUM(H9:I9)+IF(J9&gt;1,'Pricing - Advanced'!$F$21,0)</f>
        <v>0</v>
      </c>
      <c r="Y9" s="688">
        <f>IF(AND(FullTerm&gt;=B9,AB8&gt;0),AB8*'Pricing - Advanced'!$I$128,0)</f>
        <v>0</v>
      </c>
      <c r="Z9" s="233">
        <f t="shared" si="40"/>
        <v>0</v>
      </c>
      <c r="AA9" s="234"/>
      <c r="AB9" s="597">
        <f t="shared" ref="AB9:AB38" si="61">IF(AND(ManualMode=TRUE,NOT(ISBLANK(AA9)),AN9="x"),AB8+AA9,AB8+X9+Y9-Z9)</f>
        <v>0</v>
      </c>
      <c r="AC9" s="236">
        <f t="shared" si="0"/>
        <v>0</v>
      </c>
      <c r="AF9" s="762" t="e">
        <f t="shared" si="41"/>
        <v>#N/A</v>
      </c>
      <c r="AG9" s="759" t="e">
        <f t="shared" si="1"/>
        <v>#N/A</v>
      </c>
      <c r="AH9" s="759">
        <f>IF(J9=0,0,J9-SUM($N$6:N9)-AB8)</f>
        <v>0</v>
      </c>
      <c r="AI9" s="759">
        <f t="shared" si="2"/>
        <v>0</v>
      </c>
      <c r="AJ9" s="760">
        <f t="shared" si="55"/>
        <v>3.0000000000000001E-3</v>
      </c>
      <c r="AK9" s="760">
        <f t="shared" si="56"/>
        <v>3.0000000000000001E-3</v>
      </c>
      <c r="AN9" s="1" t="b">
        <f t="shared" si="57"/>
        <v>1</v>
      </c>
      <c r="AQ9" s="15">
        <f>IF(J8&gt;1,IF(int_method=2,$AG$229*J8,$AG$229*'Pricing - Advanced'!$E$4),0)</f>
        <v>0</v>
      </c>
      <c r="AR9" s="5">
        <f t="shared" si="42"/>
        <v>0</v>
      </c>
      <c r="AS9" s="204">
        <f t="shared" si="58"/>
        <v>40435</v>
      </c>
      <c r="AT9" s="1">
        <f>IF($AT$4=FALSE,B9*'Pricing - Advanced'!$K$5,AT8+E9-E8)</f>
        <v>92</v>
      </c>
      <c r="AW9" s="603">
        <f t="shared" si="43"/>
        <v>0</v>
      </c>
      <c r="AX9" s="603">
        <f t="shared" si="3"/>
        <v>0</v>
      </c>
      <c r="AY9" s="603">
        <f t="shared" si="4"/>
        <v>0</v>
      </c>
      <c r="AZ9" s="603">
        <f t="shared" si="5"/>
        <v>0</v>
      </c>
      <c r="BA9" s="603">
        <f t="shared" si="44"/>
        <v>0</v>
      </c>
      <c r="BB9" s="603">
        <f t="shared" si="45"/>
        <v>0</v>
      </c>
      <c r="BC9" s="603">
        <f t="shared" si="6"/>
        <v>0</v>
      </c>
      <c r="BE9" s="157">
        <f t="shared" si="7"/>
        <v>3</v>
      </c>
      <c r="BF9" s="489">
        <f t="shared" si="46"/>
        <v>92</v>
      </c>
      <c r="BG9" s="146">
        <f t="shared" si="8"/>
        <v>0</v>
      </c>
      <c r="BH9" s="147">
        <f t="shared" si="9"/>
        <v>0</v>
      </c>
      <c r="BI9" s="154" t="e">
        <f t="shared" si="10"/>
        <v>#NUM!</v>
      </c>
      <c r="BJ9" s="277" t="e">
        <f t="shared" si="59"/>
        <v>#NUM!</v>
      </c>
      <c r="BK9" s="147" t="e">
        <f t="shared" si="47"/>
        <v>#NUM!</v>
      </c>
      <c r="BL9" s="132" t="e">
        <f t="shared" si="47"/>
        <v>#NUM!</v>
      </c>
      <c r="BN9" s="497">
        <f t="shared" si="11"/>
        <v>3</v>
      </c>
      <c r="BO9" s="497">
        <f t="shared" si="12"/>
        <v>92</v>
      </c>
      <c r="BP9" s="5">
        <f t="shared" si="13"/>
        <v>0</v>
      </c>
      <c r="BQ9" s="5">
        <f t="shared" si="14"/>
        <v>0</v>
      </c>
      <c r="BR9" s="499" t="e">
        <f t="shared" si="48"/>
        <v>#NUM!</v>
      </c>
      <c r="BS9" s="277" t="e">
        <f t="shared" si="60"/>
        <v>#NUM!</v>
      </c>
      <c r="BT9" s="5" t="e">
        <f t="shared" si="15"/>
        <v>#NUM!</v>
      </c>
      <c r="BU9" s="5" t="e">
        <f t="shared" si="16"/>
        <v>#NUM!</v>
      </c>
      <c r="BW9" s="5"/>
      <c r="BX9" s="5"/>
      <c r="BY9" s="5"/>
      <c r="BZ9" s="5"/>
      <c r="CA9" s="130"/>
      <c r="CB9" s="5"/>
      <c r="CC9" s="5" t="e">
        <f t="shared" si="17"/>
        <v>#DIV/0!</v>
      </c>
      <c r="CD9" s="5" t="e">
        <f t="shared" si="18"/>
        <v>#DIV/0!</v>
      </c>
      <c r="CE9" s="5"/>
      <c r="CI9" s="130">
        <f t="shared" si="19"/>
        <v>1.0370247212857733</v>
      </c>
      <c r="CJ9" s="130">
        <f t="shared" si="20"/>
        <v>1.0373086206007558</v>
      </c>
      <c r="CK9" s="296">
        <f t="shared" si="49"/>
        <v>1.0396448528549955</v>
      </c>
      <c r="CL9" s="130">
        <f t="shared" si="21"/>
        <v>1.0396448528549955</v>
      </c>
      <c r="CM9" s="5">
        <f t="shared" si="50"/>
        <v>0</v>
      </c>
      <c r="CN9" s="5">
        <f t="shared" si="22"/>
        <v>0</v>
      </c>
      <c r="DE9" s="130" t="e">
        <f t="shared" si="23"/>
        <v>#NUM!</v>
      </c>
      <c r="DF9" s="130" t="e">
        <f t="shared" si="24"/>
        <v>#NUM!</v>
      </c>
      <c r="DG9" s="130" t="e">
        <f t="shared" si="51"/>
        <v>#NUM!</v>
      </c>
      <c r="DH9" s="130" t="e">
        <f t="shared" si="25"/>
        <v>#NUM!</v>
      </c>
      <c r="DJ9" s="130" t="e">
        <f t="shared" si="26"/>
        <v>#NUM!</v>
      </c>
      <c r="DK9" s="130" t="e">
        <f t="shared" si="27"/>
        <v>#NUM!</v>
      </c>
      <c r="DL9" s="130" t="e">
        <f t="shared" si="52"/>
        <v>#NUM!</v>
      </c>
      <c r="DM9" s="130" t="e">
        <f>IF($CR$1=1,DJ9,IF($CR$1=2,DL9,DK9))</f>
        <v>#NUM!</v>
      </c>
      <c r="DO9" s="130" t="e">
        <f t="shared" si="28"/>
        <v>#NUM!</v>
      </c>
      <c r="DP9" s="130" t="e">
        <f t="shared" si="29"/>
        <v>#NUM!</v>
      </c>
      <c r="DQ9" s="130" t="e">
        <f t="shared" si="53"/>
        <v>#NUM!</v>
      </c>
    </row>
    <row r="10" spans="1:121">
      <c r="B10" s="231">
        <v>4</v>
      </c>
      <c r="C10" s="280"/>
      <c r="D10" s="475"/>
      <c r="E10" s="318">
        <f t="shared" si="30"/>
        <v>40465</v>
      </c>
      <c r="F10" s="542">
        <f t="shared" si="54"/>
        <v>0</v>
      </c>
      <c r="G10" s="239"/>
      <c r="H10" s="685">
        <f t="shared" si="31"/>
        <v>0</v>
      </c>
      <c r="I10" s="240"/>
      <c r="J10" s="597">
        <f t="shared" si="32"/>
        <v>0</v>
      </c>
      <c r="K10" s="478">
        <f t="shared" si="33"/>
        <v>0</v>
      </c>
      <c r="L10" s="240"/>
      <c r="M10" s="235">
        <f t="shared" si="34"/>
        <v>0</v>
      </c>
      <c r="N10" s="479">
        <f t="shared" si="35"/>
        <v>0</v>
      </c>
      <c r="O10" s="234"/>
      <c r="P10" s="235">
        <f t="shared" si="36"/>
        <v>0</v>
      </c>
      <c r="Q10" s="651">
        <f t="shared" si="37"/>
        <v>0</v>
      </c>
      <c r="R10" s="479">
        <f>IF(J10&gt;0,IF(OR(ManualMode=FALSE,ISBLANK(S10)),'Pricing - Advanced'!$F$16*J10+'Pricing - Advanced'!$F$17,"N/A"),0)</f>
        <v>0</v>
      </c>
      <c r="S10" s="234"/>
      <c r="T10" s="235">
        <f t="shared" si="38"/>
        <v>0</v>
      </c>
      <c r="U10" s="599">
        <f>IF(OR(ManualMode=FALSE,ISBLANK(V10)),SUM(K10:L10)*'Pricing - Advanced'!$F$19+SUM(N10,O10)*'Pricing - Advanced'!$F$18,"N/A")</f>
        <v>0</v>
      </c>
      <c r="V10" s="234"/>
      <c r="W10" s="236">
        <f t="shared" si="39"/>
        <v>0</v>
      </c>
      <c r="X10" s="237">
        <f>'Pricing - Advanced'!$F$20*SUM(H10:I10)+IF(J10&gt;1,'Pricing - Advanced'!$F$21,0)</f>
        <v>0</v>
      </c>
      <c r="Y10" s="688">
        <f>IF(AND(FullTerm&gt;=B10,AB9&gt;0),AB9*'Pricing - Advanced'!$I$128,0)</f>
        <v>0</v>
      </c>
      <c r="Z10" s="233">
        <f t="shared" si="40"/>
        <v>0</v>
      </c>
      <c r="AA10" s="234"/>
      <c r="AB10" s="597">
        <f t="shared" si="61"/>
        <v>0</v>
      </c>
      <c r="AC10" s="236">
        <f t="shared" si="0"/>
        <v>0</v>
      </c>
      <c r="AF10" s="762" t="e">
        <f t="shared" si="41"/>
        <v>#N/A</v>
      </c>
      <c r="AG10" s="759" t="e">
        <f t="shared" si="1"/>
        <v>#N/A</v>
      </c>
      <c r="AH10" s="759">
        <f>IF(J10=0,0,J10-SUM($N$6:N10)-AB9)</f>
        <v>0</v>
      </c>
      <c r="AI10" s="759">
        <f t="shared" si="2"/>
        <v>0</v>
      </c>
      <c r="AJ10" s="760">
        <f t="shared" si="55"/>
        <v>3.0000000000000001E-3</v>
      </c>
      <c r="AK10" s="760">
        <f t="shared" si="56"/>
        <v>3.0000000000000001E-3</v>
      </c>
      <c r="AN10" s="1" t="b">
        <f t="shared" si="57"/>
        <v>1</v>
      </c>
      <c r="AQ10" s="15">
        <f>IF(J9&gt;1,IF(int_method=2,$AG$229*J9,$AG$229*'Pricing - Advanced'!$E$4),0)</f>
        <v>0</v>
      </c>
      <c r="AR10" s="5">
        <f t="shared" si="42"/>
        <v>0</v>
      </c>
      <c r="AS10" s="204">
        <f t="shared" si="58"/>
        <v>40465</v>
      </c>
      <c r="AT10" s="1">
        <f>IF($AT$4=FALSE,B10*'Pricing - Advanced'!$K$5,AT9+E10-E9)</f>
        <v>122</v>
      </c>
      <c r="AW10" s="603">
        <f t="shared" si="43"/>
        <v>0</v>
      </c>
      <c r="AX10" s="603">
        <f t="shared" si="3"/>
        <v>0</v>
      </c>
      <c r="AY10" s="603">
        <f t="shared" si="4"/>
        <v>0</v>
      </c>
      <c r="AZ10" s="603">
        <f t="shared" si="5"/>
        <v>0</v>
      </c>
      <c r="BA10" s="603">
        <f t="shared" si="44"/>
        <v>0</v>
      </c>
      <c r="BB10" s="603">
        <f t="shared" si="45"/>
        <v>0</v>
      </c>
      <c r="BC10" s="603">
        <f t="shared" si="6"/>
        <v>0</v>
      </c>
      <c r="BE10" s="157">
        <f t="shared" si="7"/>
        <v>4</v>
      </c>
      <c r="BF10" s="489">
        <f t="shared" si="46"/>
        <v>122</v>
      </c>
      <c r="BG10" s="146">
        <f t="shared" si="8"/>
        <v>0</v>
      </c>
      <c r="BH10" s="147">
        <f t="shared" si="9"/>
        <v>0</v>
      </c>
      <c r="BI10" s="154" t="e">
        <f t="shared" si="10"/>
        <v>#NUM!</v>
      </c>
      <c r="BJ10" s="277" t="e">
        <f t="shared" si="59"/>
        <v>#NUM!</v>
      </c>
      <c r="BK10" s="147" t="e">
        <f t="shared" si="47"/>
        <v>#NUM!</v>
      </c>
      <c r="BL10" s="132" t="e">
        <f t="shared" si="47"/>
        <v>#NUM!</v>
      </c>
      <c r="BN10" s="497">
        <f t="shared" si="11"/>
        <v>4</v>
      </c>
      <c r="BO10" s="497">
        <f t="shared" si="12"/>
        <v>122</v>
      </c>
      <c r="BP10" s="5">
        <f t="shared" si="13"/>
        <v>0</v>
      </c>
      <c r="BQ10" s="5">
        <f t="shared" si="14"/>
        <v>0</v>
      </c>
      <c r="BR10" s="499" t="e">
        <f t="shared" si="48"/>
        <v>#NUM!</v>
      </c>
      <c r="BS10" s="277" t="e">
        <f t="shared" si="60"/>
        <v>#NUM!</v>
      </c>
      <c r="BT10" s="5" t="e">
        <f t="shared" si="15"/>
        <v>#NUM!</v>
      </c>
      <c r="BU10" s="5" t="e">
        <f t="shared" si="16"/>
        <v>#NUM!</v>
      </c>
      <c r="BW10" s="5"/>
      <c r="BX10" s="5"/>
      <c r="BY10" s="5"/>
      <c r="BZ10" s="5"/>
      <c r="CA10" s="130"/>
      <c r="CB10" s="5"/>
      <c r="CC10" s="5" t="e">
        <f t="shared" si="17"/>
        <v>#DIV/0!</v>
      </c>
      <c r="CD10" s="5" t="e">
        <f t="shared" si="18"/>
        <v>#DIV/0!</v>
      </c>
      <c r="CE10" s="5"/>
      <c r="CI10" s="130">
        <f t="shared" si="19"/>
        <v>1.0496684554531175</v>
      </c>
      <c r="CJ10" s="130">
        <f t="shared" si="20"/>
        <v>1.0497729411542756</v>
      </c>
      <c r="CK10" s="296">
        <f t="shared" si="49"/>
        <v>1.0532060463875244</v>
      </c>
      <c r="CL10" s="130">
        <f t="shared" si="21"/>
        <v>1.0532060463875244</v>
      </c>
      <c r="CM10" s="5">
        <f t="shared" si="50"/>
        <v>0</v>
      </c>
      <c r="CN10" s="5">
        <f t="shared" si="22"/>
        <v>0</v>
      </c>
      <c r="CX10" s="3" t="s">
        <v>654</v>
      </c>
      <c r="DE10" s="130" t="e">
        <f t="shared" si="23"/>
        <v>#NUM!</v>
      </c>
      <c r="DF10" s="130" t="e">
        <f t="shared" si="24"/>
        <v>#NUM!</v>
      </c>
      <c r="DG10" s="130" t="e">
        <f t="shared" si="51"/>
        <v>#NUM!</v>
      </c>
      <c r="DH10" s="130" t="e">
        <f t="shared" si="25"/>
        <v>#NUM!</v>
      </c>
      <c r="DJ10" s="130" t="e">
        <f t="shared" si="26"/>
        <v>#NUM!</v>
      </c>
      <c r="DK10" s="130" t="e">
        <f t="shared" si="27"/>
        <v>#NUM!</v>
      </c>
      <c r="DL10" s="130" t="e">
        <f t="shared" si="52"/>
        <v>#NUM!</v>
      </c>
      <c r="DM10" s="130" t="e">
        <f t="shared" ref="DM10:DM58" si="62">IF($CR$1=1,DJ10,IF($CR$1=2,DL10,DK10))</f>
        <v>#NUM!</v>
      </c>
      <c r="DO10" s="130" t="e">
        <f t="shared" si="28"/>
        <v>#NUM!</v>
      </c>
      <c r="DP10" s="130" t="e">
        <f t="shared" si="29"/>
        <v>#NUM!</v>
      </c>
      <c r="DQ10" s="130" t="e">
        <f t="shared" si="53"/>
        <v>#NUM!</v>
      </c>
    </row>
    <row r="11" spans="1:121">
      <c r="B11" s="231">
        <v>5</v>
      </c>
      <c r="C11" s="280"/>
      <c r="D11" s="475"/>
      <c r="E11" s="318">
        <f t="shared" si="30"/>
        <v>40496</v>
      </c>
      <c r="F11" s="542">
        <f t="shared" si="54"/>
        <v>0</v>
      </c>
      <c r="G11" s="239"/>
      <c r="H11" s="685">
        <f t="shared" si="31"/>
        <v>0</v>
      </c>
      <c r="I11" s="240"/>
      <c r="J11" s="597">
        <f t="shared" si="32"/>
        <v>0</v>
      </c>
      <c r="K11" s="478">
        <f t="shared" si="33"/>
        <v>0</v>
      </c>
      <c r="L11" s="240"/>
      <c r="M11" s="235">
        <f t="shared" si="34"/>
        <v>0</v>
      </c>
      <c r="N11" s="479">
        <f t="shared" si="35"/>
        <v>0</v>
      </c>
      <c r="O11" s="234"/>
      <c r="P11" s="235">
        <f t="shared" si="36"/>
        <v>0</v>
      </c>
      <c r="Q11" s="651">
        <f t="shared" si="37"/>
        <v>0</v>
      </c>
      <c r="R11" s="479">
        <f>IF(J11&gt;0,IF(OR(ManualMode=FALSE,ISBLANK(S11)),'Pricing - Advanced'!$F$16*J11+'Pricing - Advanced'!$F$17,"N/A"),0)</f>
        <v>0</v>
      </c>
      <c r="S11" s="234"/>
      <c r="T11" s="235">
        <f t="shared" si="38"/>
        <v>0</v>
      </c>
      <c r="U11" s="599">
        <f>IF(OR(ManualMode=FALSE,ISBLANK(V11)),SUM(K11:L11)*'Pricing - Advanced'!$F$19+SUM(N11,O11)*'Pricing - Advanced'!$F$18,"N/A")</f>
        <v>0</v>
      </c>
      <c r="V11" s="234"/>
      <c r="W11" s="236">
        <f t="shared" si="39"/>
        <v>0</v>
      </c>
      <c r="X11" s="237">
        <f>'Pricing - Advanced'!$F$20*SUM(H11:I11)+IF(J11&gt;1,'Pricing - Advanced'!$F$21,0)</f>
        <v>0</v>
      </c>
      <c r="Y11" s="688">
        <f>IF(AND(FullTerm&gt;=B11,AB10&gt;0),AB10*'Pricing - Advanced'!$I$128,0)</f>
        <v>0</v>
      </c>
      <c r="Z11" s="233">
        <f t="shared" si="40"/>
        <v>0</v>
      </c>
      <c r="AA11" s="234"/>
      <c r="AB11" s="597">
        <f t="shared" si="61"/>
        <v>0</v>
      </c>
      <c r="AC11" s="236">
        <f t="shared" si="0"/>
        <v>0</v>
      </c>
      <c r="AF11" s="762" t="e">
        <f t="shared" si="41"/>
        <v>#N/A</v>
      </c>
      <c r="AG11" s="759" t="e">
        <f t="shared" si="1"/>
        <v>#N/A</v>
      </c>
      <c r="AH11" s="759">
        <f>IF(J11=0,0,J11-SUM($N$6:N11)-AB10)</f>
        <v>0</v>
      </c>
      <c r="AI11" s="759">
        <f t="shared" si="2"/>
        <v>0</v>
      </c>
      <c r="AJ11" s="760">
        <f t="shared" si="55"/>
        <v>3.0000000000000001E-3</v>
      </c>
      <c r="AK11" s="760">
        <f t="shared" si="56"/>
        <v>3.0000000000000001E-3</v>
      </c>
      <c r="AN11" s="1" t="b">
        <f t="shared" si="57"/>
        <v>1</v>
      </c>
      <c r="AQ11" s="15">
        <f>IF(J10&gt;1,IF(int_method=2,$AG$229*J10,$AG$229*'Pricing - Advanced'!$E$4),0)</f>
        <v>0</v>
      </c>
      <c r="AR11" s="5">
        <f t="shared" si="42"/>
        <v>0</v>
      </c>
      <c r="AS11" s="204">
        <f t="shared" si="58"/>
        <v>40496</v>
      </c>
      <c r="AT11" s="1">
        <f>IF($AT$4=FALSE,B11*'Pricing - Advanced'!$K$5,AT10+E11-E10)</f>
        <v>153</v>
      </c>
      <c r="AW11" s="603">
        <f t="shared" si="43"/>
        <v>0</v>
      </c>
      <c r="AX11" s="603">
        <f t="shared" si="3"/>
        <v>0</v>
      </c>
      <c r="AY11" s="603">
        <f t="shared" si="4"/>
        <v>0</v>
      </c>
      <c r="AZ11" s="603">
        <f t="shared" si="5"/>
        <v>0</v>
      </c>
      <c r="BA11" s="603">
        <f t="shared" si="44"/>
        <v>0</v>
      </c>
      <c r="BB11" s="603">
        <f t="shared" si="45"/>
        <v>0</v>
      </c>
      <c r="BC11" s="603">
        <f t="shared" si="6"/>
        <v>0</v>
      </c>
      <c r="BE11" s="157">
        <f t="shared" si="7"/>
        <v>5</v>
      </c>
      <c r="BF11" s="489">
        <f t="shared" si="46"/>
        <v>153</v>
      </c>
      <c r="BG11" s="146">
        <f t="shared" si="8"/>
        <v>0</v>
      </c>
      <c r="BH11" s="147">
        <f t="shared" si="9"/>
        <v>0</v>
      </c>
      <c r="BI11" s="154" t="e">
        <f t="shared" si="10"/>
        <v>#NUM!</v>
      </c>
      <c r="BJ11" s="277" t="e">
        <f t="shared" si="59"/>
        <v>#NUM!</v>
      </c>
      <c r="BK11" s="147" t="e">
        <f t="shared" si="47"/>
        <v>#NUM!</v>
      </c>
      <c r="BL11" s="132" t="e">
        <f t="shared" si="47"/>
        <v>#NUM!</v>
      </c>
      <c r="BN11" s="497">
        <f t="shared" si="11"/>
        <v>5</v>
      </c>
      <c r="BO11" s="497">
        <f t="shared" si="12"/>
        <v>153</v>
      </c>
      <c r="BP11" s="5">
        <f t="shared" si="13"/>
        <v>0</v>
      </c>
      <c r="BQ11" s="5">
        <f t="shared" si="14"/>
        <v>0</v>
      </c>
      <c r="BR11" s="499" t="e">
        <f t="shared" si="48"/>
        <v>#NUM!</v>
      </c>
      <c r="BS11" s="277" t="e">
        <f t="shared" si="60"/>
        <v>#NUM!</v>
      </c>
      <c r="BT11" s="5" t="e">
        <f t="shared" si="15"/>
        <v>#NUM!</v>
      </c>
      <c r="BU11" s="5" t="e">
        <f t="shared" si="16"/>
        <v>#NUM!</v>
      </c>
      <c r="BW11" s="5"/>
      <c r="BX11" s="5"/>
      <c r="BY11" s="5"/>
      <c r="BZ11" s="5"/>
      <c r="CA11" s="130"/>
      <c r="CB11" s="5"/>
      <c r="CC11" s="5" t="e">
        <f t="shared" si="17"/>
        <v>#DIV/0!</v>
      </c>
      <c r="CD11" s="5" t="e">
        <f t="shared" si="18"/>
        <v>#DIV/0!</v>
      </c>
      <c r="CE11" s="5"/>
      <c r="CI11" s="130">
        <f t="shared" si="19"/>
        <v>1.0624663460358423</v>
      </c>
      <c r="CJ11" s="130">
        <f t="shared" si="20"/>
        <v>1.0628101033063964</v>
      </c>
      <c r="CK11" s="296">
        <f t="shared" si="49"/>
        <v>1.0669441329903373</v>
      </c>
      <c r="CL11" s="130">
        <f t="shared" si="21"/>
        <v>1.0669441329903373</v>
      </c>
      <c r="CM11" s="5">
        <f t="shared" si="50"/>
        <v>0</v>
      </c>
      <c r="CN11" s="5">
        <f t="shared" si="22"/>
        <v>0</v>
      </c>
      <c r="CX11" t="s">
        <v>655</v>
      </c>
      <c r="DE11" s="130" t="e">
        <f t="shared" si="23"/>
        <v>#NUM!</v>
      </c>
      <c r="DF11" s="130" t="e">
        <f t="shared" si="24"/>
        <v>#NUM!</v>
      </c>
      <c r="DG11" s="130" t="e">
        <f t="shared" si="51"/>
        <v>#NUM!</v>
      </c>
      <c r="DH11" s="130" t="e">
        <f t="shared" si="25"/>
        <v>#NUM!</v>
      </c>
      <c r="DJ11" s="130" t="e">
        <f t="shared" si="26"/>
        <v>#NUM!</v>
      </c>
      <c r="DK11" s="130" t="e">
        <f t="shared" si="27"/>
        <v>#NUM!</v>
      </c>
      <c r="DL11" s="130" t="e">
        <f t="shared" si="52"/>
        <v>#NUM!</v>
      </c>
      <c r="DM11" s="130" t="e">
        <f t="shared" si="62"/>
        <v>#NUM!</v>
      </c>
      <c r="DO11" s="130" t="e">
        <f t="shared" si="28"/>
        <v>#NUM!</v>
      </c>
      <c r="DP11" s="130" t="e">
        <f t="shared" si="29"/>
        <v>#NUM!</v>
      </c>
      <c r="DQ11" s="130" t="e">
        <f t="shared" si="53"/>
        <v>#NUM!</v>
      </c>
    </row>
    <row r="12" spans="1:121">
      <c r="B12" s="231">
        <v>6</v>
      </c>
      <c r="C12" s="280"/>
      <c r="D12" s="475"/>
      <c r="E12" s="318">
        <f t="shared" si="30"/>
        <v>40526</v>
      </c>
      <c r="F12" s="542">
        <f t="shared" si="54"/>
        <v>0</v>
      </c>
      <c r="G12" s="239"/>
      <c r="H12" s="685">
        <f t="shared" si="31"/>
        <v>0</v>
      </c>
      <c r="I12" s="240"/>
      <c r="J12" s="597">
        <f t="shared" si="32"/>
        <v>0</v>
      </c>
      <c r="K12" s="478">
        <f t="shared" si="33"/>
        <v>0</v>
      </c>
      <c r="L12" s="240"/>
      <c r="M12" s="235">
        <f t="shared" si="34"/>
        <v>0</v>
      </c>
      <c r="N12" s="479">
        <f t="shared" si="35"/>
        <v>0</v>
      </c>
      <c r="O12" s="234"/>
      <c r="P12" s="235">
        <f t="shared" si="36"/>
        <v>0</v>
      </c>
      <c r="Q12" s="651">
        <f t="shared" si="37"/>
        <v>0</v>
      </c>
      <c r="R12" s="479">
        <f>IF(J12&gt;0,IF(OR(ManualMode=FALSE,ISBLANK(S12)),'Pricing - Advanced'!$F$16*J12+'Pricing - Advanced'!$F$17,"N/A"),0)</f>
        <v>0</v>
      </c>
      <c r="S12" s="234"/>
      <c r="T12" s="235">
        <f t="shared" si="38"/>
        <v>0</v>
      </c>
      <c r="U12" s="599">
        <f>IF(OR(ManualMode=FALSE,ISBLANK(V12)),SUM(K12:L12)*'Pricing - Advanced'!$F$19+SUM(N12,O12)*'Pricing - Advanced'!$F$18,"N/A")</f>
        <v>0</v>
      </c>
      <c r="V12" s="234"/>
      <c r="W12" s="236">
        <f t="shared" si="39"/>
        <v>0</v>
      </c>
      <c r="X12" s="237">
        <f>'Pricing - Advanced'!$F$20*SUM(H12:I12)+IF(J12&gt;1,'Pricing - Advanced'!$F$21,0)</f>
        <v>0</v>
      </c>
      <c r="Y12" s="688">
        <f>IF(AND(FullTerm&gt;=B12,AB11&gt;0),AB11*'Pricing - Advanced'!$I$128,0)</f>
        <v>0</v>
      </c>
      <c r="Z12" s="233">
        <f t="shared" si="40"/>
        <v>0</v>
      </c>
      <c r="AA12" s="234"/>
      <c r="AB12" s="597">
        <f t="shared" si="61"/>
        <v>0</v>
      </c>
      <c r="AC12" s="236">
        <f t="shared" si="0"/>
        <v>0</v>
      </c>
      <c r="AF12" s="762" t="e">
        <f t="shared" si="41"/>
        <v>#N/A</v>
      </c>
      <c r="AG12" s="759" t="e">
        <f t="shared" si="1"/>
        <v>#N/A</v>
      </c>
      <c r="AH12" s="759">
        <f>IF(J12=0,0,J12-SUM($N$6:N12)-AB11)</f>
        <v>0</v>
      </c>
      <c r="AI12" s="759">
        <f t="shared" si="2"/>
        <v>0</v>
      </c>
      <c r="AJ12" s="760">
        <f t="shared" si="55"/>
        <v>3.0000000000000001E-3</v>
      </c>
      <c r="AK12" s="760">
        <f t="shared" si="56"/>
        <v>3.0000000000000001E-3</v>
      </c>
      <c r="AN12" s="1" t="b">
        <f t="shared" si="57"/>
        <v>1</v>
      </c>
      <c r="AQ12" s="15">
        <f>IF(J11&gt;1,IF(int_method=2,$AG$229*J11,$AG$229*'Pricing - Advanced'!$E$4),0)</f>
        <v>0</v>
      </c>
      <c r="AR12" s="5">
        <f t="shared" si="42"/>
        <v>0</v>
      </c>
      <c r="AS12" s="204">
        <f t="shared" si="58"/>
        <v>40526</v>
      </c>
      <c r="AT12" s="1">
        <f>IF($AT$4=FALSE,B12*'Pricing - Advanced'!$K$5,AT11+E12-E11)</f>
        <v>183</v>
      </c>
      <c r="AW12" s="603">
        <f t="shared" si="43"/>
        <v>0</v>
      </c>
      <c r="AX12" s="603">
        <f t="shared" si="3"/>
        <v>0</v>
      </c>
      <c r="AY12" s="603">
        <f t="shared" si="4"/>
        <v>0</v>
      </c>
      <c r="AZ12" s="603">
        <f t="shared" si="5"/>
        <v>0</v>
      </c>
      <c r="BA12" s="603">
        <f t="shared" si="44"/>
        <v>0</v>
      </c>
      <c r="BB12" s="603">
        <f t="shared" si="45"/>
        <v>0</v>
      </c>
      <c r="BC12" s="603">
        <f t="shared" si="6"/>
        <v>0</v>
      </c>
      <c r="BE12" s="157">
        <f t="shared" si="7"/>
        <v>6</v>
      </c>
      <c r="BF12" s="489">
        <f t="shared" si="46"/>
        <v>183</v>
      </c>
      <c r="BG12" s="146">
        <f t="shared" si="8"/>
        <v>0</v>
      </c>
      <c r="BH12" s="147">
        <f t="shared" si="9"/>
        <v>0</v>
      </c>
      <c r="BI12" s="154" t="e">
        <f t="shared" si="10"/>
        <v>#NUM!</v>
      </c>
      <c r="BJ12" s="277" t="e">
        <f t="shared" si="59"/>
        <v>#NUM!</v>
      </c>
      <c r="BK12" s="147" t="e">
        <f t="shared" si="47"/>
        <v>#NUM!</v>
      </c>
      <c r="BL12" s="132" t="e">
        <f t="shared" si="47"/>
        <v>#NUM!</v>
      </c>
      <c r="BN12" s="497">
        <f t="shared" si="11"/>
        <v>6</v>
      </c>
      <c r="BO12" s="497">
        <f t="shared" si="12"/>
        <v>183</v>
      </c>
      <c r="BP12" s="5">
        <f t="shared" si="13"/>
        <v>0</v>
      </c>
      <c r="BQ12" s="5">
        <f t="shared" si="14"/>
        <v>0</v>
      </c>
      <c r="BR12" s="499" t="e">
        <f t="shared" si="48"/>
        <v>#NUM!</v>
      </c>
      <c r="BS12" s="277" t="e">
        <f t="shared" si="60"/>
        <v>#NUM!</v>
      </c>
      <c r="BT12" s="5" t="e">
        <f t="shared" si="15"/>
        <v>#NUM!</v>
      </c>
      <c r="BU12" s="5" t="e">
        <f t="shared" si="16"/>
        <v>#NUM!</v>
      </c>
      <c r="BW12" s="5"/>
      <c r="BX12" s="5"/>
      <c r="BY12" s="5"/>
      <c r="BZ12" s="5"/>
      <c r="CA12" s="130"/>
      <c r="CB12" s="5"/>
      <c r="CC12" s="5" t="e">
        <f t="shared" si="17"/>
        <v>#DIV/0!</v>
      </c>
      <c r="CD12" s="5" t="e">
        <f t="shared" si="18"/>
        <v>#DIV/0!</v>
      </c>
      <c r="CE12" s="5"/>
      <c r="CI12" s="130">
        <f t="shared" si="19"/>
        <v>1.0754202725578357</v>
      </c>
      <c r="CJ12" s="130">
        <f t="shared" si="20"/>
        <v>1.0755808501719322</v>
      </c>
      <c r="CK12" s="296">
        <f t="shared" si="49"/>
        <v>1.0808614200678852</v>
      </c>
      <c r="CL12" s="130">
        <f t="shared" si="21"/>
        <v>1.0808614200678852</v>
      </c>
      <c r="CM12" s="5">
        <f t="shared" si="50"/>
        <v>0</v>
      </c>
      <c r="CN12" s="5">
        <f t="shared" si="22"/>
        <v>0</v>
      </c>
      <c r="CX12" t="s">
        <v>656</v>
      </c>
      <c r="DE12" s="130" t="e">
        <f t="shared" si="23"/>
        <v>#NUM!</v>
      </c>
      <c r="DF12" s="130" t="e">
        <f t="shared" si="24"/>
        <v>#NUM!</v>
      </c>
      <c r="DG12" s="130" t="e">
        <f t="shared" si="51"/>
        <v>#NUM!</v>
      </c>
      <c r="DH12" s="130" t="e">
        <f t="shared" si="25"/>
        <v>#NUM!</v>
      </c>
      <c r="DJ12" s="130" t="e">
        <f t="shared" si="26"/>
        <v>#NUM!</v>
      </c>
      <c r="DK12" s="130" t="e">
        <f t="shared" si="27"/>
        <v>#NUM!</v>
      </c>
      <c r="DL12" s="130" t="e">
        <f t="shared" si="52"/>
        <v>#NUM!</v>
      </c>
      <c r="DM12" s="130" t="e">
        <f t="shared" si="62"/>
        <v>#NUM!</v>
      </c>
      <c r="DO12" s="130" t="e">
        <f t="shared" si="28"/>
        <v>#NUM!</v>
      </c>
      <c r="DP12" s="130" t="e">
        <f t="shared" si="29"/>
        <v>#NUM!</v>
      </c>
      <c r="DQ12" s="130" t="e">
        <f t="shared" si="53"/>
        <v>#NUM!</v>
      </c>
    </row>
    <row r="13" spans="1:121">
      <c r="B13" s="231">
        <v>7</v>
      </c>
      <c r="C13" s="280"/>
      <c r="D13" s="475"/>
      <c r="E13" s="318">
        <f t="shared" si="30"/>
        <v>40557</v>
      </c>
      <c r="F13" s="542">
        <f t="shared" si="54"/>
        <v>0</v>
      </c>
      <c r="G13" s="239"/>
      <c r="H13" s="685">
        <f t="shared" si="31"/>
        <v>0</v>
      </c>
      <c r="I13" s="240"/>
      <c r="J13" s="597">
        <f t="shared" si="32"/>
        <v>0</v>
      </c>
      <c r="K13" s="478">
        <f t="shared" si="33"/>
        <v>0</v>
      </c>
      <c r="L13" s="240"/>
      <c r="M13" s="235">
        <f t="shared" si="34"/>
        <v>0</v>
      </c>
      <c r="N13" s="479">
        <f t="shared" si="35"/>
        <v>0</v>
      </c>
      <c r="O13" s="234"/>
      <c r="P13" s="235">
        <f t="shared" si="36"/>
        <v>0</v>
      </c>
      <c r="Q13" s="651">
        <f t="shared" si="37"/>
        <v>0</v>
      </c>
      <c r="R13" s="479">
        <f>IF(J13&gt;0,IF(OR(ManualMode=FALSE,ISBLANK(S13)),'Pricing - Advanced'!$F$16*J13+'Pricing - Advanced'!$F$17,"N/A"),0)</f>
        <v>0</v>
      </c>
      <c r="S13" s="234"/>
      <c r="T13" s="235">
        <f t="shared" si="38"/>
        <v>0</v>
      </c>
      <c r="U13" s="599">
        <f>IF(OR(ManualMode=FALSE,ISBLANK(V13)),SUM(K13:L13)*'Pricing - Advanced'!$F$19+SUM(N13,O13)*'Pricing - Advanced'!$F$18,"N/A")</f>
        <v>0</v>
      </c>
      <c r="V13" s="234"/>
      <c r="W13" s="236">
        <f t="shared" si="39"/>
        <v>0</v>
      </c>
      <c r="X13" s="237">
        <f>'Pricing - Advanced'!$F$20*SUM(H13:I13)+IF(J13&gt;1,'Pricing - Advanced'!$F$21,0)</f>
        <v>0</v>
      </c>
      <c r="Y13" s="688">
        <f>IF(AND(FullTerm&gt;=B13,AB12&gt;0),AB12*'Pricing - Advanced'!$I$128,0)</f>
        <v>0</v>
      </c>
      <c r="Z13" s="233">
        <f t="shared" si="40"/>
        <v>0</v>
      </c>
      <c r="AA13" s="234"/>
      <c r="AB13" s="597">
        <f t="shared" si="61"/>
        <v>0</v>
      </c>
      <c r="AC13" s="236">
        <f t="shared" si="0"/>
        <v>0</v>
      </c>
      <c r="AF13" s="762" t="e">
        <f t="shared" si="41"/>
        <v>#N/A</v>
      </c>
      <c r="AG13" s="759" t="e">
        <f t="shared" si="1"/>
        <v>#N/A</v>
      </c>
      <c r="AH13" s="759">
        <f>IF(J13=0,0,J13-SUM($N$6:N13)-AB12)</f>
        <v>0</v>
      </c>
      <c r="AI13" s="759">
        <f t="shared" si="2"/>
        <v>0</v>
      </c>
      <c r="AJ13" s="760">
        <f t="shared" si="55"/>
        <v>3.0000000000000001E-3</v>
      </c>
      <c r="AK13" s="760">
        <f t="shared" si="56"/>
        <v>3.0000000000000001E-3</v>
      </c>
      <c r="AN13" s="1" t="b">
        <f t="shared" si="57"/>
        <v>1</v>
      </c>
      <c r="AQ13" s="15">
        <f>IF(J12&gt;1,IF(int_method=2,$AG$229*J12,$AG$229*'Pricing - Advanced'!$E$4),0)</f>
        <v>0</v>
      </c>
      <c r="AR13" s="5">
        <f t="shared" si="42"/>
        <v>0</v>
      </c>
      <c r="AS13" s="204">
        <f t="shared" si="58"/>
        <v>40557</v>
      </c>
      <c r="AT13" s="1">
        <f>IF($AT$4=FALSE,B13*'Pricing - Advanced'!$K$5,AT12+E13-E12)</f>
        <v>214</v>
      </c>
      <c r="AW13" s="603">
        <f t="shared" si="43"/>
        <v>0</v>
      </c>
      <c r="AX13" s="603">
        <f t="shared" si="3"/>
        <v>0</v>
      </c>
      <c r="AY13" s="603">
        <f t="shared" si="4"/>
        <v>0</v>
      </c>
      <c r="AZ13" s="603">
        <f t="shared" si="5"/>
        <v>0</v>
      </c>
      <c r="BA13" s="603">
        <f t="shared" si="44"/>
        <v>0</v>
      </c>
      <c r="BB13" s="603">
        <f t="shared" si="45"/>
        <v>0</v>
      </c>
      <c r="BC13" s="603">
        <f t="shared" si="6"/>
        <v>0</v>
      </c>
      <c r="BE13" s="157">
        <f t="shared" si="7"/>
        <v>7</v>
      </c>
      <c r="BF13" s="489">
        <f t="shared" si="46"/>
        <v>214</v>
      </c>
      <c r="BG13" s="146">
        <f t="shared" si="8"/>
        <v>0</v>
      </c>
      <c r="BH13" s="147">
        <f t="shared" si="9"/>
        <v>0</v>
      </c>
      <c r="BI13" s="154" t="e">
        <f t="shared" si="10"/>
        <v>#NUM!</v>
      </c>
      <c r="BJ13" s="277" t="e">
        <f t="shared" si="59"/>
        <v>#NUM!</v>
      </c>
      <c r="BK13" s="147" t="e">
        <f t="shared" si="47"/>
        <v>#NUM!</v>
      </c>
      <c r="BL13" s="132" t="e">
        <f t="shared" si="47"/>
        <v>#NUM!</v>
      </c>
      <c r="BN13" s="497">
        <f t="shared" si="11"/>
        <v>7</v>
      </c>
      <c r="BO13" s="497">
        <f t="shared" si="12"/>
        <v>214</v>
      </c>
      <c r="BP13" s="5">
        <f t="shared" si="13"/>
        <v>0</v>
      </c>
      <c r="BQ13" s="5">
        <f t="shared" si="14"/>
        <v>0</v>
      </c>
      <c r="BR13" s="499" t="e">
        <f t="shared" si="48"/>
        <v>#NUM!</v>
      </c>
      <c r="BS13" s="277" t="e">
        <f t="shared" si="60"/>
        <v>#NUM!</v>
      </c>
      <c r="BT13" s="5" t="e">
        <f t="shared" si="15"/>
        <v>#NUM!</v>
      </c>
      <c r="BU13" s="5" t="e">
        <f t="shared" si="16"/>
        <v>#NUM!</v>
      </c>
      <c r="BW13" s="5"/>
      <c r="BX13" s="5"/>
      <c r="BY13" s="5"/>
      <c r="BZ13" s="5"/>
      <c r="CA13" s="130"/>
      <c r="CB13" s="5"/>
      <c r="CC13" s="5" t="e">
        <f t="shared" si="17"/>
        <v>#DIV/0!</v>
      </c>
      <c r="CD13" s="5" t="e">
        <f t="shared" si="18"/>
        <v>#DIV/0!</v>
      </c>
      <c r="CE13" s="5"/>
      <c r="CI13" s="130">
        <f t="shared" si="19"/>
        <v>1.0885321374587373</v>
      </c>
      <c r="CJ13" s="130">
        <f t="shared" si="20"/>
        <v>1.0889385215327398</v>
      </c>
      <c r="CK13" s="296">
        <f t="shared" si="49"/>
        <v>1.0949602451225493</v>
      </c>
      <c r="CL13" s="130">
        <f t="shared" si="21"/>
        <v>1.0949602451225493</v>
      </c>
      <c r="CM13" s="5">
        <f t="shared" si="50"/>
        <v>0</v>
      </c>
      <c r="CN13" s="5">
        <f t="shared" si="22"/>
        <v>0</v>
      </c>
      <c r="DE13" s="130" t="e">
        <f t="shared" si="23"/>
        <v>#NUM!</v>
      </c>
      <c r="DF13" s="130" t="e">
        <f t="shared" si="24"/>
        <v>#NUM!</v>
      </c>
      <c r="DG13" s="130" t="e">
        <f t="shared" si="51"/>
        <v>#NUM!</v>
      </c>
      <c r="DH13" s="130" t="e">
        <f t="shared" si="25"/>
        <v>#NUM!</v>
      </c>
      <c r="DJ13" s="130" t="e">
        <f t="shared" si="26"/>
        <v>#NUM!</v>
      </c>
      <c r="DK13" s="130" t="e">
        <f t="shared" si="27"/>
        <v>#NUM!</v>
      </c>
      <c r="DL13" s="130" t="e">
        <f t="shared" si="52"/>
        <v>#NUM!</v>
      </c>
      <c r="DM13" s="130" t="e">
        <f t="shared" si="62"/>
        <v>#NUM!</v>
      </c>
      <c r="DO13" s="130" t="e">
        <f t="shared" si="28"/>
        <v>#NUM!</v>
      </c>
      <c r="DP13" s="130" t="e">
        <f t="shared" si="29"/>
        <v>#NUM!</v>
      </c>
      <c r="DQ13" s="130" t="e">
        <f t="shared" si="53"/>
        <v>#NUM!</v>
      </c>
    </row>
    <row r="14" spans="1:121">
      <c r="B14" s="231">
        <v>8</v>
      </c>
      <c r="C14" s="280"/>
      <c r="D14" s="475"/>
      <c r="E14" s="318">
        <f t="shared" si="30"/>
        <v>40588</v>
      </c>
      <c r="F14" s="542">
        <f t="shared" si="54"/>
        <v>0</v>
      </c>
      <c r="G14" s="239"/>
      <c r="H14" s="685">
        <f t="shared" si="31"/>
        <v>0</v>
      </c>
      <c r="I14" s="240"/>
      <c r="J14" s="597">
        <f t="shared" si="32"/>
        <v>0</v>
      </c>
      <c r="K14" s="478">
        <f t="shared" si="33"/>
        <v>0</v>
      </c>
      <c r="L14" s="240"/>
      <c r="M14" s="235">
        <f t="shared" si="34"/>
        <v>0</v>
      </c>
      <c r="N14" s="479">
        <f t="shared" si="35"/>
        <v>0</v>
      </c>
      <c r="O14" s="234"/>
      <c r="P14" s="235">
        <f t="shared" si="36"/>
        <v>0</v>
      </c>
      <c r="Q14" s="651">
        <f t="shared" si="37"/>
        <v>0</v>
      </c>
      <c r="R14" s="479">
        <f>IF(J14&gt;0,IF(OR(ManualMode=FALSE,ISBLANK(S14)),'Pricing - Advanced'!$F$16*J14+'Pricing - Advanced'!$F$17,"N/A"),0)</f>
        <v>0</v>
      </c>
      <c r="S14" s="234"/>
      <c r="T14" s="235">
        <f t="shared" si="38"/>
        <v>0</v>
      </c>
      <c r="U14" s="599">
        <f>IF(OR(ManualMode=FALSE,ISBLANK(V14)),SUM(K14:L14)*'Pricing - Advanced'!$F$19+SUM(N14,O14)*'Pricing - Advanced'!$F$18,"N/A")</f>
        <v>0</v>
      </c>
      <c r="V14" s="234"/>
      <c r="W14" s="236">
        <f t="shared" si="39"/>
        <v>0</v>
      </c>
      <c r="X14" s="237">
        <f>'Pricing - Advanced'!$F$20*SUM(H14:I14)+IF(J14&gt;1,'Pricing - Advanced'!$F$21,0)</f>
        <v>0</v>
      </c>
      <c r="Y14" s="688">
        <f>IF(AND(FullTerm&gt;=B14,AB13&gt;0),AB13*'Pricing - Advanced'!$I$128,0)</f>
        <v>0</v>
      </c>
      <c r="Z14" s="233">
        <f t="shared" si="40"/>
        <v>0</v>
      </c>
      <c r="AA14" s="234"/>
      <c r="AB14" s="597">
        <f t="shared" si="61"/>
        <v>0</v>
      </c>
      <c r="AC14" s="236">
        <f t="shared" si="0"/>
        <v>0</v>
      </c>
      <c r="AF14" s="762" t="e">
        <f t="shared" si="41"/>
        <v>#N/A</v>
      </c>
      <c r="AG14" s="759" t="e">
        <f t="shared" si="1"/>
        <v>#N/A</v>
      </c>
      <c r="AH14" s="759">
        <f>IF(J14=0,0,J14-SUM($N$6:N14)-AB13)</f>
        <v>0</v>
      </c>
      <c r="AI14" s="759">
        <f t="shared" si="2"/>
        <v>0</v>
      </c>
      <c r="AJ14" s="760">
        <f t="shared" si="55"/>
        <v>3.0000000000000001E-3</v>
      </c>
      <c r="AK14" s="760">
        <f t="shared" si="56"/>
        <v>3.0000000000000001E-3</v>
      </c>
      <c r="AN14" s="1" t="b">
        <f t="shared" si="57"/>
        <v>1</v>
      </c>
      <c r="AQ14" s="15">
        <f>IF(J13&gt;1,IF(int_method=2,$AG$229*J13,$AG$229*'Pricing - Advanced'!$E$4),0)</f>
        <v>0</v>
      </c>
      <c r="AR14" s="5">
        <f t="shared" si="42"/>
        <v>0</v>
      </c>
      <c r="AS14" s="204">
        <f t="shared" si="58"/>
        <v>40588</v>
      </c>
      <c r="AT14" s="1">
        <f>IF($AT$4=FALSE,B14*'Pricing - Advanced'!$K$5,AT13+E14-E13)</f>
        <v>245</v>
      </c>
      <c r="AW14" s="603">
        <f t="shared" si="43"/>
        <v>0</v>
      </c>
      <c r="AX14" s="603">
        <f t="shared" si="3"/>
        <v>0</v>
      </c>
      <c r="AY14" s="603">
        <f t="shared" si="4"/>
        <v>0</v>
      </c>
      <c r="AZ14" s="603">
        <f t="shared" si="5"/>
        <v>0</v>
      </c>
      <c r="BA14" s="603">
        <f t="shared" si="44"/>
        <v>0</v>
      </c>
      <c r="BB14" s="603">
        <f t="shared" si="45"/>
        <v>0</v>
      </c>
      <c r="BC14" s="603">
        <f t="shared" si="6"/>
        <v>0</v>
      </c>
      <c r="BE14" s="157">
        <f t="shared" si="7"/>
        <v>8</v>
      </c>
      <c r="BF14" s="489">
        <f t="shared" si="46"/>
        <v>245</v>
      </c>
      <c r="BG14" s="146">
        <f t="shared" si="8"/>
        <v>0</v>
      </c>
      <c r="BH14" s="147">
        <f t="shared" si="9"/>
        <v>0</v>
      </c>
      <c r="BI14" s="154" t="e">
        <f t="shared" si="10"/>
        <v>#NUM!</v>
      </c>
      <c r="BJ14" s="277" t="e">
        <f t="shared" si="59"/>
        <v>#NUM!</v>
      </c>
      <c r="BK14" s="147" t="e">
        <f t="shared" si="47"/>
        <v>#NUM!</v>
      </c>
      <c r="BL14" s="132" t="e">
        <f t="shared" si="47"/>
        <v>#NUM!</v>
      </c>
      <c r="BN14" s="497">
        <f t="shared" si="11"/>
        <v>8</v>
      </c>
      <c r="BO14" s="497">
        <f t="shared" si="12"/>
        <v>245</v>
      </c>
      <c r="BP14" s="5">
        <f t="shared" si="13"/>
        <v>0</v>
      </c>
      <c r="BQ14" s="5">
        <f t="shared" si="14"/>
        <v>0</v>
      </c>
      <c r="BR14" s="499" t="e">
        <f t="shared" si="48"/>
        <v>#NUM!</v>
      </c>
      <c r="BS14" s="277" t="e">
        <f t="shared" si="60"/>
        <v>#NUM!</v>
      </c>
      <c r="BT14" s="5" t="e">
        <f t="shared" si="15"/>
        <v>#NUM!</v>
      </c>
      <c r="BU14" s="5" t="e">
        <f t="shared" si="16"/>
        <v>#NUM!</v>
      </c>
      <c r="BW14" s="5"/>
      <c r="BX14" s="5"/>
      <c r="BY14" s="5"/>
      <c r="BZ14" s="5"/>
      <c r="CA14" s="130"/>
      <c r="CB14" s="5"/>
      <c r="CC14" s="5" t="e">
        <f t="shared" si="17"/>
        <v>#DIV/0!</v>
      </c>
      <c r="CD14" s="5" t="e">
        <f t="shared" si="18"/>
        <v>#DIV/0!</v>
      </c>
      <c r="CE14" s="5"/>
      <c r="CI14" s="130">
        <f t="shared" si="19"/>
        <v>1.1018038663733334</v>
      </c>
      <c r="CJ14" s="130">
        <f t="shared" si="20"/>
        <v>1.1024620822213047</v>
      </c>
      <c r="CK14" s="296">
        <f t="shared" si="49"/>
        <v>1.10924297614724</v>
      </c>
      <c r="CL14" s="130">
        <f t="shared" si="21"/>
        <v>1.10924297614724</v>
      </c>
      <c r="CM14" s="5">
        <f t="shared" si="50"/>
        <v>0</v>
      </c>
      <c r="CN14" s="5">
        <f t="shared" si="22"/>
        <v>0</v>
      </c>
      <c r="DE14" s="130" t="e">
        <f t="shared" si="23"/>
        <v>#NUM!</v>
      </c>
      <c r="DF14" s="130" t="e">
        <f t="shared" si="24"/>
        <v>#NUM!</v>
      </c>
      <c r="DG14" s="130" t="e">
        <f t="shared" si="51"/>
        <v>#NUM!</v>
      </c>
      <c r="DH14" s="130" t="e">
        <f t="shared" si="25"/>
        <v>#NUM!</v>
      </c>
      <c r="DJ14" s="130" t="e">
        <f t="shared" si="26"/>
        <v>#NUM!</v>
      </c>
      <c r="DK14" s="130" t="e">
        <f t="shared" si="27"/>
        <v>#NUM!</v>
      </c>
      <c r="DL14" s="130" t="e">
        <f t="shared" si="52"/>
        <v>#NUM!</v>
      </c>
      <c r="DM14" s="130" t="e">
        <f t="shared" si="62"/>
        <v>#NUM!</v>
      </c>
      <c r="DO14" s="130" t="e">
        <f t="shared" si="28"/>
        <v>#NUM!</v>
      </c>
      <c r="DP14" s="130" t="e">
        <f t="shared" si="29"/>
        <v>#NUM!</v>
      </c>
      <c r="DQ14" s="130" t="e">
        <f t="shared" si="53"/>
        <v>#NUM!</v>
      </c>
    </row>
    <row r="15" spans="1:121">
      <c r="B15" s="231">
        <v>9</v>
      </c>
      <c r="C15" s="280"/>
      <c r="D15" s="475"/>
      <c r="E15" s="318">
        <f t="shared" si="30"/>
        <v>40616</v>
      </c>
      <c r="F15" s="542">
        <f t="shared" si="54"/>
        <v>0</v>
      </c>
      <c r="G15" s="239"/>
      <c r="H15" s="685">
        <f t="shared" si="31"/>
        <v>0</v>
      </c>
      <c r="I15" s="240"/>
      <c r="J15" s="597">
        <f t="shared" si="32"/>
        <v>0</v>
      </c>
      <c r="K15" s="478">
        <f t="shared" si="33"/>
        <v>0</v>
      </c>
      <c r="L15" s="240"/>
      <c r="M15" s="235">
        <f t="shared" si="34"/>
        <v>0</v>
      </c>
      <c r="N15" s="479">
        <f t="shared" si="35"/>
        <v>0</v>
      </c>
      <c r="O15" s="234"/>
      <c r="P15" s="235">
        <f t="shared" si="36"/>
        <v>0</v>
      </c>
      <c r="Q15" s="651">
        <f t="shared" si="37"/>
        <v>0</v>
      </c>
      <c r="R15" s="479">
        <f>IF(J15&gt;0,IF(OR(ManualMode=FALSE,ISBLANK(S15)),'Pricing - Advanced'!$F$16*J15+'Pricing - Advanced'!$F$17,"N/A"),0)</f>
        <v>0</v>
      </c>
      <c r="S15" s="234"/>
      <c r="T15" s="235">
        <f t="shared" si="38"/>
        <v>0</v>
      </c>
      <c r="U15" s="599">
        <f>IF(OR(ManualMode=FALSE,ISBLANK(V15)),SUM(K15:L15)*'Pricing - Advanced'!$F$19+SUM(N15,O15)*'Pricing - Advanced'!$F$18,"N/A")</f>
        <v>0</v>
      </c>
      <c r="V15" s="234"/>
      <c r="W15" s="236">
        <f t="shared" si="39"/>
        <v>0</v>
      </c>
      <c r="X15" s="237">
        <f>'Pricing - Advanced'!$F$20*SUM(H15:I15)+IF(J15&gt;1,'Pricing - Advanced'!$F$21,0)</f>
        <v>0</v>
      </c>
      <c r="Y15" s="688">
        <f>IF(AND(FullTerm&gt;=B15,AB14&gt;0),AB14*'Pricing - Advanced'!$I$128,0)</f>
        <v>0</v>
      </c>
      <c r="Z15" s="233">
        <f t="shared" si="40"/>
        <v>0</v>
      </c>
      <c r="AA15" s="234"/>
      <c r="AB15" s="597">
        <f t="shared" si="61"/>
        <v>0</v>
      </c>
      <c r="AC15" s="236">
        <f t="shared" si="0"/>
        <v>0</v>
      </c>
      <c r="AF15" s="762" t="e">
        <f t="shared" si="41"/>
        <v>#N/A</v>
      </c>
      <c r="AG15" s="759" t="e">
        <f t="shared" si="1"/>
        <v>#N/A</v>
      </c>
      <c r="AH15" s="759">
        <f>IF(J15=0,0,J15-SUM($N$6:N15)-AB14)</f>
        <v>0</v>
      </c>
      <c r="AI15" s="759">
        <f t="shared" si="2"/>
        <v>0</v>
      </c>
      <c r="AJ15" s="760">
        <f t="shared" si="55"/>
        <v>3.0000000000000001E-3</v>
      </c>
      <c r="AK15" s="760">
        <f t="shared" si="56"/>
        <v>3.0000000000000001E-3</v>
      </c>
      <c r="AN15" s="1" t="b">
        <f t="shared" si="57"/>
        <v>1</v>
      </c>
      <c r="AQ15" s="15">
        <f>IF(J14&gt;1,IF(int_method=2,$AG$229*J14,$AG$229*'Pricing - Advanced'!$E$4),0)</f>
        <v>0</v>
      </c>
      <c r="AR15" s="5">
        <f t="shared" si="42"/>
        <v>0</v>
      </c>
      <c r="AS15" s="204">
        <f t="shared" si="58"/>
        <v>40616</v>
      </c>
      <c r="AT15" s="1">
        <f>IF($AT$4=FALSE,B15*'Pricing - Advanced'!$K$5,AT14+E15-E14)</f>
        <v>273</v>
      </c>
      <c r="AW15" s="603">
        <f t="shared" si="43"/>
        <v>0</v>
      </c>
      <c r="AX15" s="603">
        <f t="shared" si="3"/>
        <v>0</v>
      </c>
      <c r="AY15" s="603">
        <f t="shared" si="4"/>
        <v>0</v>
      </c>
      <c r="AZ15" s="603">
        <f t="shared" si="5"/>
        <v>0</v>
      </c>
      <c r="BA15" s="603">
        <f t="shared" si="44"/>
        <v>0</v>
      </c>
      <c r="BB15" s="603">
        <f t="shared" si="45"/>
        <v>0</v>
      </c>
      <c r="BC15" s="603">
        <f t="shared" si="6"/>
        <v>0</v>
      </c>
      <c r="BE15" s="157">
        <f t="shared" si="7"/>
        <v>9</v>
      </c>
      <c r="BF15" s="489">
        <f t="shared" si="46"/>
        <v>273</v>
      </c>
      <c r="BG15" s="146">
        <f t="shared" si="8"/>
        <v>0</v>
      </c>
      <c r="BH15" s="147">
        <f t="shared" si="9"/>
        <v>0</v>
      </c>
      <c r="BI15" s="154" t="e">
        <f t="shared" si="10"/>
        <v>#NUM!</v>
      </c>
      <c r="BJ15" s="277" t="e">
        <f t="shared" si="59"/>
        <v>#NUM!</v>
      </c>
      <c r="BK15" s="147" t="e">
        <f t="shared" si="47"/>
        <v>#NUM!</v>
      </c>
      <c r="BL15" s="132" t="e">
        <f t="shared" si="47"/>
        <v>#NUM!</v>
      </c>
      <c r="BN15" s="497">
        <f t="shared" si="11"/>
        <v>9</v>
      </c>
      <c r="BO15" s="497">
        <f t="shared" si="12"/>
        <v>273</v>
      </c>
      <c r="BP15" s="5">
        <f t="shared" si="13"/>
        <v>0</v>
      </c>
      <c r="BQ15" s="5">
        <f t="shared" si="14"/>
        <v>0</v>
      </c>
      <c r="BR15" s="499" t="e">
        <f t="shared" si="48"/>
        <v>#NUM!</v>
      </c>
      <c r="BS15" s="277" t="e">
        <f t="shared" si="60"/>
        <v>#NUM!</v>
      </c>
      <c r="BT15" s="5" t="e">
        <f t="shared" si="15"/>
        <v>#NUM!</v>
      </c>
      <c r="BU15" s="5" t="e">
        <f t="shared" si="16"/>
        <v>#NUM!</v>
      </c>
      <c r="BW15" s="5"/>
      <c r="BX15" s="5"/>
      <c r="BY15" s="5"/>
      <c r="BZ15" s="5"/>
      <c r="CA15" s="130"/>
      <c r="CB15" s="5"/>
      <c r="CC15" s="5" t="e">
        <f t="shared" si="17"/>
        <v>#DIV/0!</v>
      </c>
      <c r="CD15" s="5" t="e">
        <f t="shared" si="18"/>
        <v>#DIV/0!</v>
      </c>
      <c r="CE15" s="5"/>
      <c r="CI15" s="130">
        <f t="shared" si="19"/>
        <v>1.1152374084143599</v>
      </c>
      <c r="CJ15" s="130">
        <f t="shared" si="20"/>
        <v>1.1148212097837213</v>
      </c>
      <c r="CK15" s="296">
        <f t="shared" si="49"/>
        <v>1.1237120120231181</v>
      </c>
      <c r="CL15" s="130">
        <f t="shared" si="21"/>
        <v>1.1237120120231181</v>
      </c>
      <c r="CM15" s="5">
        <f t="shared" si="50"/>
        <v>0</v>
      </c>
      <c r="CN15" s="5">
        <f t="shared" si="22"/>
        <v>0</v>
      </c>
      <c r="DE15" s="130" t="e">
        <f t="shared" si="23"/>
        <v>#NUM!</v>
      </c>
      <c r="DF15" s="130" t="e">
        <f t="shared" si="24"/>
        <v>#NUM!</v>
      </c>
      <c r="DG15" s="130" t="e">
        <f t="shared" si="51"/>
        <v>#NUM!</v>
      </c>
      <c r="DH15" s="130" t="e">
        <f t="shared" si="25"/>
        <v>#NUM!</v>
      </c>
      <c r="DJ15" s="130" t="e">
        <f t="shared" si="26"/>
        <v>#NUM!</v>
      </c>
      <c r="DK15" s="130" t="e">
        <f t="shared" si="27"/>
        <v>#NUM!</v>
      </c>
      <c r="DL15" s="130" t="e">
        <f t="shared" si="52"/>
        <v>#NUM!</v>
      </c>
      <c r="DM15" s="130" t="e">
        <f t="shared" si="62"/>
        <v>#NUM!</v>
      </c>
      <c r="DO15" s="130" t="e">
        <f t="shared" si="28"/>
        <v>#NUM!</v>
      </c>
      <c r="DP15" s="130" t="e">
        <f t="shared" si="29"/>
        <v>#NUM!</v>
      </c>
      <c r="DQ15" s="130" t="e">
        <f t="shared" si="53"/>
        <v>#NUM!</v>
      </c>
    </row>
    <row r="16" spans="1:121">
      <c r="B16" s="231">
        <v>10</v>
      </c>
      <c r="C16" s="280"/>
      <c r="D16" s="475"/>
      <c r="E16" s="318">
        <f t="shared" si="30"/>
        <v>40647</v>
      </c>
      <c r="F16" s="542">
        <f t="shared" si="54"/>
        <v>0</v>
      </c>
      <c r="G16" s="239"/>
      <c r="H16" s="685">
        <f t="shared" si="31"/>
        <v>0</v>
      </c>
      <c r="I16" s="240"/>
      <c r="J16" s="597">
        <f t="shared" si="32"/>
        <v>0</v>
      </c>
      <c r="K16" s="478">
        <f t="shared" si="33"/>
        <v>0</v>
      </c>
      <c r="L16" s="240"/>
      <c r="M16" s="235">
        <f t="shared" si="34"/>
        <v>0</v>
      </c>
      <c r="N16" s="479">
        <f t="shared" si="35"/>
        <v>0</v>
      </c>
      <c r="O16" s="234"/>
      <c r="P16" s="235">
        <f t="shared" si="36"/>
        <v>0</v>
      </c>
      <c r="Q16" s="651">
        <f t="shared" si="37"/>
        <v>0</v>
      </c>
      <c r="R16" s="479">
        <f>IF(J16&gt;0,IF(OR(ManualMode=FALSE,ISBLANK(S16)),'Pricing - Advanced'!$F$16*J16+'Pricing - Advanced'!$F$17,"N/A"),0)</f>
        <v>0</v>
      </c>
      <c r="S16" s="234"/>
      <c r="T16" s="235">
        <f t="shared" si="38"/>
        <v>0</v>
      </c>
      <c r="U16" s="599">
        <f>IF(OR(ManualMode=FALSE,ISBLANK(V16)),SUM(K16:L16)*'Pricing - Advanced'!$F$19+SUM(N16,O16)*'Pricing - Advanced'!$F$18,"N/A")</f>
        <v>0</v>
      </c>
      <c r="V16" s="234"/>
      <c r="W16" s="236">
        <f t="shared" si="39"/>
        <v>0</v>
      </c>
      <c r="X16" s="237">
        <f>'Pricing - Advanced'!$F$20*SUM(H16:I16)+IF(J16&gt;1,'Pricing - Advanced'!$F$21,0)</f>
        <v>0</v>
      </c>
      <c r="Y16" s="688">
        <f>IF(AND(FullTerm&gt;=B16,AB15&gt;0),AB15*'Pricing - Advanced'!$I$128,0)</f>
        <v>0</v>
      </c>
      <c r="Z16" s="233">
        <f t="shared" si="40"/>
        <v>0</v>
      </c>
      <c r="AA16" s="234"/>
      <c r="AB16" s="597">
        <f t="shared" si="61"/>
        <v>0</v>
      </c>
      <c r="AC16" s="236">
        <f t="shared" si="0"/>
        <v>0</v>
      </c>
      <c r="AF16" s="762" t="e">
        <f t="shared" si="41"/>
        <v>#N/A</v>
      </c>
      <c r="AG16" s="759" t="e">
        <f t="shared" si="1"/>
        <v>#N/A</v>
      </c>
      <c r="AH16" s="759">
        <f>IF(J16=0,0,J16-SUM($N$6:N16)-AB15)</f>
        <v>0</v>
      </c>
      <c r="AI16" s="759">
        <f t="shared" si="2"/>
        <v>0</v>
      </c>
      <c r="AJ16" s="760">
        <f t="shared" si="55"/>
        <v>3.0000000000000001E-3</v>
      </c>
      <c r="AK16" s="760">
        <f t="shared" si="56"/>
        <v>3.0000000000000001E-3</v>
      </c>
      <c r="AN16" s="1" t="b">
        <f t="shared" si="57"/>
        <v>1</v>
      </c>
      <c r="AQ16" s="15">
        <f>IF(J15&gt;1,IF(int_method=2,$AG$229*J15,$AG$229*'Pricing - Advanced'!$E$4),0)</f>
        <v>0</v>
      </c>
      <c r="AR16" s="5">
        <f t="shared" si="42"/>
        <v>0</v>
      </c>
      <c r="AS16" s="204">
        <f t="shared" si="58"/>
        <v>40647</v>
      </c>
      <c r="AT16" s="1">
        <f>IF($AT$4=FALSE,B16*'Pricing - Advanced'!$K$5,AT15+E16-E15)</f>
        <v>304</v>
      </c>
      <c r="AW16" s="603">
        <f t="shared" si="43"/>
        <v>0</v>
      </c>
      <c r="AX16" s="603">
        <f t="shared" si="3"/>
        <v>0</v>
      </c>
      <c r="AY16" s="603">
        <f t="shared" si="4"/>
        <v>0</v>
      </c>
      <c r="AZ16" s="603">
        <f t="shared" si="5"/>
        <v>0</v>
      </c>
      <c r="BA16" s="603">
        <f t="shared" si="44"/>
        <v>0</v>
      </c>
      <c r="BB16" s="603">
        <f t="shared" si="45"/>
        <v>0</v>
      </c>
      <c r="BC16" s="603">
        <f t="shared" si="6"/>
        <v>0</v>
      </c>
      <c r="BE16" s="157">
        <f t="shared" si="7"/>
        <v>10</v>
      </c>
      <c r="BF16" s="489">
        <f t="shared" si="46"/>
        <v>304</v>
      </c>
      <c r="BG16" s="146">
        <f t="shared" si="8"/>
        <v>0</v>
      </c>
      <c r="BH16" s="147">
        <f t="shared" si="9"/>
        <v>0</v>
      </c>
      <c r="BI16" s="154" t="e">
        <f t="shared" si="10"/>
        <v>#NUM!</v>
      </c>
      <c r="BJ16" s="277" t="e">
        <f t="shared" si="59"/>
        <v>#NUM!</v>
      </c>
      <c r="BK16" s="147" t="e">
        <f t="shared" si="47"/>
        <v>#NUM!</v>
      </c>
      <c r="BL16" s="132" t="e">
        <f t="shared" si="47"/>
        <v>#NUM!</v>
      </c>
      <c r="BN16" s="497">
        <f t="shared" si="11"/>
        <v>10</v>
      </c>
      <c r="BO16" s="497">
        <f t="shared" si="12"/>
        <v>304</v>
      </c>
      <c r="BP16" s="5">
        <f t="shared" si="13"/>
        <v>0</v>
      </c>
      <c r="BQ16" s="5">
        <f t="shared" si="14"/>
        <v>0</v>
      </c>
      <c r="BR16" s="499" t="e">
        <f t="shared" si="48"/>
        <v>#NUM!</v>
      </c>
      <c r="BS16" s="277" t="e">
        <f t="shared" si="60"/>
        <v>#NUM!</v>
      </c>
      <c r="BT16" s="5" t="e">
        <f t="shared" si="15"/>
        <v>#NUM!</v>
      </c>
      <c r="BU16" s="5" t="e">
        <f t="shared" si="16"/>
        <v>#NUM!</v>
      </c>
      <c r="BW16" s="5"/>
      <c r="BX16" s="5"/>
      <c r="BY16" s="5"/>
      <c r="BZ16" s="5"/>
      <c r="CA16" s="130"/>
      <c r="CB16" s="5"/>
      <c r="CC16" s="5" t="e">
        <f t="shared" si="17"/>
        <v>#DIV/0!</v>
      </c>
      <c r="CD16" s="5" t="e">
        <f t="shared" si="18"/>
        <v>#DIV/0!</v>
      </c>
      <c r="CE16" s="5"/>
      <c r="CI16" s="130">
        <f t="shared" si="19"/>
        <v>1.1288347364587541</v>
      </c>
      <c r="CJ16" s="130">
        <f t="shared" si="20"/>
        <v>1.1286662083665511</v>
      </c>
      <c r="CK16" s="296">
        <f t="shared" si="49"/>
        <v>1.1383697829225026</v>
      </c>
      <c r="CL16" s="130">
        <f t="shared" si="21"/>
        <v>1.1383697829225026</v>
      </c>
      <c r="CM16" s="5">
        <f t="shared" si="50"/>
        <v>0</v>
      </c>
      <c r="CN16" s="5">
        <f t="shared" si="22"/>
        <v>0</v>
      </c>
      <c r="DE16" s="130" t="e">
        <f t="shared" si="23"/>
        <v>#NUM!</v>
      </c>
      <c r="DF16" s="130" t="e">
        <f t="shared" si="24"/>
        <v>#NUM!</v>
      </c>
      <c r="DG16" s="130" t="e">
        <f t="shared" si="51"/>
        <v>#NUM!</v>
      </c>
      <c r="DH16" s="130" t="e">
        <f t="shared" si="25"/>
        <v>#NUM!</v>
      </c>
      <c r="DJ16" s="130" t="e">
        <f t="shared" si="26"/>
        <v>#NUM!</v>
      </c>
      <c r="DK16" s="130" t="e">
        <f t="shared" si="27"/>
        <v>#NUM!</v>
      </c>
      <c r="DL16" s="130" t="e">
        <f t="shared" si="52"/>
        <v>#NUM!</v>
      </c>
      <c r="DM16" s="130" t="e">
        <f t="shared" si="62"/>
        <v>#NUM!</v>
      </c>
      <c r="DO16" s="130" t="e">
        <f t="shared" si="28"/>
        <v>#NUM!</v>
      </c>
      <c r="DP16" s="130" t="e">
        <f t="shared" si="29"/>
        <v>#NUM!</v>
      </c>
      <c r="DQ16" s="130" t="e">
        <f t="shared" si="53"/>
        <v>#NUM!</v>
      </c>
    </row>
    <row r="17" spans="2:121">
      <c r="B17" s="231">
        <v>11</v>
      </c>
      <c r="C17" s="280"/>
      <c r="D17" s="475"/>
      <c r="E17" s="318">
        <f t="shared" si="30"/>
        <v>40677</v>
      </c>
      <c r="F17" s="542">
        <f t="shared" si="54"/>
        <v>0</v>
      </c>
      <c r="G17" s="239"/>
      <c r="H17" s="685">
        <f t="shared" si="31"/>
        <v>0</v>
      </c>
      <c r="I17" s="240"/>
      <c r="J17" s="597">
        <f t="shared" si="32"/>
        <v>0</v>
      </c>
      <c r="K17" s="478">
        <f t="shared" si="33"/>
        <v>0</v>
      </c>
      <c r="L17" s="240"/>
      <c r="M17" s="235">
        <f t="shared" si="34"/>
        <v>0</v>
      </c>
      <c r="N17" s="479">
        <f t="shared" si="35"/>
        <v>0</v>
      </c>
      <c r="O17" s="234"/>
      <c r="P17" s="235">
        <f t="shared" si="36"/>
        <v>0</v>
      </c>
      <c r="Q17" s="651">
        <f t="shared" si="37"/>
        <v>0</v>
      </c>
      <c r="R17" s="479">
        <f>IF(J17&gt;0,IF(OR(ManualMode=FALSE,ISBLANK(S17)),'Pricing - Advanced'!$F$16*J17+'Pricing - Advanced'!$F$17,"N/A"),0)</f>
        <v>0</v>
      </c>
      <c r="S17" s="234"/>
      <c r="T17" s="235">
        <f t="shared" si="38"/>
        <v>0</v>
      </c>
      <c r="U17" s="599">
        <f>IF(OR(ManualMode=FALSE,ISBLANK(V17)),SUM(K17:L17)*'Pricing - Advanced'!$F$19+SUM(N17,O17)*'Pricing - Advanced'!$F$18,"N/A")</f>
        <v>0</v>
      </c>
      <c r="V17" s="234"/>
      <c r="W17" s="236">
        <f t="shared" si="39"/>
        <v>0</v>
      </c>
      <c r="X17" s="237">
        <f>'Pricing - Advanced'!$F$20*SUM(H17:I17)+IF(J17&gt;1,'Pricing - Advanced'!$F$21,0)</f>
        <v>0</v>
      </c>
      <c r="Y17" s="688">
        <f>IF(AND(FullTerm&gt;=B17,AB16&gt;0),AB16*'Pricing - Advanced'!$I$128,0)</f>
        <v>0</v>
      </c>
      <c r="Z17" s="233">
        <f t="shared" si="40"/>
        <v>0</v>
      </c>
      <c r="AA17" s="234"/>
      <c r="AB17" s="597">
        <f t="shared" si="61"/>
        <v>0</v>
      </c>
      <c r="AC17" s="236">
        <f t="shared" si="0"/>
        <v>0</v>
      </c>
      <c r="AF17" s="762" t="e">
        <f t="shared" si="41"/>
        <v>#N/A</v>
      </c>
      <c r="AG17" s="759" t="e">
        <f t="shared" si="1"/>
        <v>#N/A</v>
      </c>
      <c r="AH17" s="759">
        <f>IF(J17=0,0,J17-SUM($N$6:N17)-AB16)</f>
        <v>0</v>
      </c>
      <c r="AI17" s="759">
        <f t="shared" si="2"/>
        <v>0</v>
      </c>
      <c r="AJ17" s="760">
        <f t="shared" si="55"/>
        <v>3.0000000000000001E-3</v>
      </c>
      <c r="AK17" s="760">
        <f t="shared" si="56"/>
        <v>3.0000000000000001E-3</v>
      </c>
      <c r="AN17" s="1" t="b">
        <f t="shared" si="57"/>
        <v>1</v>
      </c>
      <c r="AQ17" s="15">
        <f>IF(J16&gt;1,IF(int_method=2,$AG$229*J16,$AG$229*'Pricing - Advanced'!$E$4),0)</f>
        <v>0</v>
      </c>
      <c r="AR17" s="5">
        <f t="shared" si="42"/>
        <v>0</v>
      </c>
      <c r="AS17" s="204">
        <f t="shared" si="58"/>
        <v>40677</v>
      </c>
      <c r="AT17" s="1">
        <f>IF($AT$4=FALSE,B17*'Pricing - Advanced'!$K$5,AT16+E17-E16)</f>
        <v>334</v>
      </c>
      <c r="AW17" s="603">
        <f t="shared" si="43"/>
        <v>0</v>
      </c>
      <c r="AX17" s="603">
        <f t="shared" si="3"/>
        <v>0</v>
      </c>
      <c r="AY17" s="603">
        <f t="shared" si="4"/>
        <v>0</v>
      </c>
      <c r="AZ17" s="603">
        <f t="shared" si="5"/>
        <v>0</v>
      </c>
      <c r="BA17" s="603">
        <f t="shared" si="44"/>
        <v>0</v>
      </c>
      <c r="BB17" s="603">
        <f t="shared" si="45"/>
        <v>0</v>
      </c>
      <c r="BC17" s="603">
        <f t="shared" si="6"/>
        <v>0</v>
      </c>
      <c r="BE17" s="157">
        <f t="shared" si="7"/>
        <v>11</v>
      </c>
      <c r="BF17" s="489">
        <f t="shared" si="46"/>
        <v>334</v>
      </c>
      <c r="BG17" s="146">
        <f t="shared" si="8"/>
        <v>0</v>
      </c>
      <c r="BH17" s="147">
        <f t="shared" si="9"/>
        <v>0</v>
      </c>
      <c r="BI17" s="154" t="e">
        <f t="shared" si="10"/>
        <v>#NUM!</v>
      </c>
      <c r="BJ17" s="277" t="e">
        <f t="shared" si="59"/>
        <v>#NUM!</v>
      </c>
      <c r="BK17" s="147" t="e">
        <f t="shared" si="47"/>
        <v>#NUM!</v>
      </c>
      <c r="BL17" s="132" t="e">
        <f t="shared" si="47"/>
        <v>#NUM!</v>
      </c>
      <c r="BN17" s="497">
        <f t="shared" si="11"/>
        <v>11</v>
      </c>
      <c r="BO17" s="497">
        <f t="shared" si="12"/>
        <v>334</v>
      </c>
      <c r="BP17" s="5">
        <f t="shared" si="13"/>
        <v>0</v>
      </c>
      <c r="BQ17" s="5">
        <f t="shared" si="14"/>
        <v>0</v>
      </c>
      <c r="BR17" s="499" t="e">
        <f t="shared" si="48"/>
        <v>#NUM!</v>
      </c>
      <c r="BS17" s="277" t="e">
        <f t="shared" si="60"/>
        <v>#NUM!</v>
      </c>
      <c r="BT17" s="5" t="e">
        <f t="shared" si="15"/>
        <v>#NUM!</v>
      </c>
      <c r="BU17" s="5" t="e">
        <f t="shared" si="16"/>
        <v>#NUM!</v>
      </c>
      <c r="BW17" s="5"/>
      <c r="BX17" s="5"/>
      <c r="BY17" s="5"/>
      <c r="BZ17" s="5"/>
      <c r="CA17" s="130"/>
      <c r="CB17" s="5"/>
      <c r="CC17" s="5" t="e">
        <f t="shared" si="17"/>
        <v>#DIV/0!</v>
      </c>
      <c r="CD17" s="5" t="e">
        <f t="shared" si="18"/>
        <v>#DIV/0!</v>
      </c>
      <c r="CE17" s="5"/>
      <c r="CI17" s="130">
        <f t="shared" si="19"/>
        <v>1.1425978474373935</v>
      </c>
      <c r="CJ17" s="130">
        <f t="shared" si="20"/>
        <v>1.1422282834709292</v>
      </c>
      <c r="CK17" s="296">
        <f t="shared" si="49"/>
        <v>1.1532187507170346</v>
      </c>
      <c r="CL17" s="130">
        <f t="shared" si="21"/>
        <v>1.1532187507170346</v>
      </c>
      <c r="CM17" s="5">
        <f t="shared" si="50"/>
        <v>0</v>
      </c>
      <c r="CN17" s="5">
        <f t="shared" si="22"/>
        <v>0</v>
      </c>
      <c r="DE17" s="130" t="e">
        <f t="shared" si="23"/>
        <v>#NUM!</v>
      </c>
      <c r="DF17" s="130" t="e">
        <f t="shared" si="24"/>
        <v>#NUM!</v>
      </c>
      <c r="DG17" s="130" t="e">
        <f t="shared" si="51"/>
        <v>#NUM!</v>
      </c>
      <c r="DH17" s="130" t="e">
        <f t="shared" si="25"/>
        <v>#NUM!</v>
      </c>
      <c r="DJ17" s="130" t="e">
        <f t="shared" si="26"/>
        <v>#NUM!</v>
      </c>
      <c r="DK17" s="130" t="e">
        <f t="shared" si="27"/>
        <v>#NUM!</v>
      </c>
      <c r="DL17" s="130" t="e">
        <f t="shared" si="52"/>
        <v>#NUM!</v>
      </c>
      <c r="DM17" s="130" t="e">
        <f t="shared" si="62"/>
        <v>#NUM!</v>
      </c>
      <c r="DO17" s="130" t="e">
        <f t="shared" si="28"/>
        <v>#NUM!</v>
      </c>
      <c r="DP17" s="130" t="e">
        <f t="shared" si="29"/>
        <v>#NUM!</v>
      </c>
      <c r="DQ17" s="130" t="e">
        <f t="shared" si="53"/>
        <v>#NUM!</v>
      </c>
    </row>
    <row r="18" spans="2:121" ht="13" thickBot="1">
      <c r="B18" s="231">
        <v>12</v>
      </c>
      <c r="C18" s="280"/>
      <c r="D18" s="475"/>
      <c r="E18" s="318">
        <f t="shared" si="30"/>
        <v>40708</v>
      </c>
      <c r="F18" s="542">
        <f t="shared" si="54"/>
        <v>0</v>
      </c>
      <c r="G18" s="239"/>
      <c r="H18" s="685">
        <f t="shared" si="31"/>
        <v>0</v>
      </c>
      <c r="I18" s="240"/>
      <c r="J18" s="597">
        <f t="shared" si="32"/>
        <v>0</v>
      </c>
      <c r="K18" s="478">
        <f t="shared" si="33"/>
        <v>0</v>
      </c>
      <c r="L18" s="240"/>
      <c r="M18" s="235">
        <f t="shared" si="34"/>
        <v>0</v>
      </c>
      <c r="N18" s="479">
        <f t="shared" si="35"/>
        <v>0</v>
      </c>
      <c r="O18" s="234"/>
      <c r="P18" s="235">
        <f t="shared" si="36"/>
        <v>0</v>
      </c>
      <c r="Q18" s="651">
        <f t="shared" si="37"/>
        <v>0</v>
      </c>
      <c r="R18" s="479">
        <f>IF(J18&gt;0,IF(OR(ManualMode=FALSE,ISBLANK(S18)),'Pricing - Advanced'!$F$16*J18+'Pricing - Advanced'!$F$17,"N/A"),0)</f>
        <v>0</v>
      </c>
      <c r="S18" s="234"/>
      <c r="T18" s="235">
        <f t="shared" si="38"/>
        <v>0</v>
      </c>
      <c r="U18" s="599">
        <f>IF(OR(ManualMode=FALSE,ISBLANK(V18)),SUM(K18:L18)*'Pricing - Advanced'!$F$19+SUM(N18,O18)*'Pricing - Advanced'!$F$18,"N/A")</f>
        <v>0</v>
      </c>
      <c r="V18" s="234"/>
      <c r="W18" s="236">
        <f t="shared" si="39"/>
        <v>0</v>
      </c>
      <c r="X18" s="237">
        <f>'Pricing - Advanced'!$F$20*SUM(H18:I18)+IF(J18&gt;1,'Pricing - Advanced'!$F$21,0)</f>
        <v>0</v>
      </c>
      <c r="Y18" s="688">
        <f>IF(AND(FullTerm&gt;=B18,AB17&gt;0),AB17*'Pricing - Advanced'!$I$128,0)</f>
        <v>0</v>
      </c>
      <c r="Z18" s="233">
        <f t="shared" si="40"/>
        <v>0</v>
      </c>
      <c r="AA18" s="234"/>
      <c r="AB18" s="597">
        <f t="shared" si="61"/>
        <v>0</v>
      </c>
      <c r="AC18" s="236">
        <f t="shared" si="0"/>
        <v>0</v>
      </c>
      <c r="AF18" s="762" t="e">
        <f t="shared" si="41"/>
        <v>#N/A</v>
      </c>
      <c r="AG18" s="759" t="e">
        <f t="shared" si="1"/>
        <v>#N/A</v>
      </c>
      <c r="AH18" s="759">
        <f>IF(J18=0,0,J18-SUM($N$6:N18)-AB17)</f>
        <v>0</v>
      </c>
      <c r="AI18" s="759">
        <f t="shared" si="2"/>
        <v>0</v>
      </c>
      <c r="AJ18" s="760">
        <f t="shared" si="55"/>
        <v>3.0000000000000001E-3</v>
      </c>
      <c r="AK18" s="760">
        <f t="shared" si="56"/>
        <v>3.0000000000000001E-3</v>
      </c>
      <c r="AN18" s="1" t="b">
        <f t="shared" si="57"/>
        <v>1</v>
      </c>
      <c r="AQ18" s="15">
        <f>IF(J17&gt;1,IF(int_method=2,$AG$229*J17,$AG$229*'Pricing - Advanced'!$E$4),0)</f>
        <v>0</v>
      </c>
      <c r="AR18" s="5">
        <f t="shared" si="42"/>
        <v>0</v>
      </c>
      <c r="AS18" s="204">
        <f t="shared" si="58"/>
        <v>40708</v>
      </c>
      <c r="AT18" s="1">
        <f>IF($AT$4=FALSE,B18*'Pricing - Advanced'!$K$5,AT17+E18-E17)</f>
        <v>365</v>
      </c>
      <c r="AW18" s="603">
        <f t="shared" si="43"/>
        <v>0</v>
      </c>
      <c r="AX18" s="603">
        <f t="shared" si="3"/>
        <v>0</v>
      </c>
      <c r="AY18" s="603">
        <f t="shared" si="4"/>
        <v>0</v>
      </c>
      <c r="AZ18" s="603">
        <f t="shared" si="5"/>
        <v>0</v>
      </c>
      <c r="BA18" s="603">
        <f t="shared" si="44"/>
        <v>0</v>
      </c>
      <c r="BB18" s="603">
        <f t="shared" si="45"/>
        <v>0</v>
      </c>
      <c r="BC18" s="603">
        <f t="shared" si="6"/>
        <v>0</v>
      </c>
      <c r="BE18" s="157">
        <f t="shared" si="7"/>
        <v>12</v>
      </c>
      <c r="BF18" s="489">
        <f t="shared" si="46"/>
        <v>365</v>
      </c>
      <c r="BG18" s="146">
        <f t="shared" si="8"/>
        <v>0</v>
      </c>
      <c r="BH18" s="147">
        <f t="shared" si="9"/>
        <v>0</v>
      </c>
      <c r="BI18" s="154" t="e">
        <f t="shared" si="10"/>
        <v>#NUM!</v>
      </c>
      <c r="BJ18" s="277" t="e">
        <f t="shared" ref="BJ18:BJ81" si="63">BI18/BI17-1</f>
        <v>#NUM!</v>
      </c>
      <c r="BK18" s="147" t="e">
        <f t="shared" ref="BK18:BK81" si="64">BG18/$BI18</f>
        <v>#NUM!</v>
      </c>
      <c r="BL18" s="132" t="e">
        <f t="shared" ref="BL18:BL81" si="65">BH18/$BI18</f>
        <v>#NUM!</v>
      </c>
      <c r="BN18" s="497">
        <f t="shared" si="11"/>
        <v>12</v>
      </c>
      <c r="BO18" s="497">
        <f t="shared" si="12"/>
        <v>365</v>
      </c>
      <c r="BP18" s="5">
        <f t="shared" si="13"/>
        <v>0</v>
      </c>
      <c r="BQ18" s="5">
        <f t="shared" si="14"/>
        <v>0</v>
      </c>
      <c r="BR18" s="499" t="e">
        <f t="shared" si="48"/>
        <v>#NUM!</v>
      </c>
      <c r="BS18" s="277" t="e">
        <f t="shared" si="60"/>
        <v>#NUM!</v>
      </c>
      <c r="BT18" s="5" t="e">
        <f t="shared" si="15"/>
        <v>#NUM!</v>
      </c>
      <c r="BU18" s="5" t="e">
        <f t="shared" si="16"/>
        <v>#NUM!</v>
      </c>
      <c r="BW18" s="5"/>
      <c r="BX18" s="5"/>
      <c r="BY18" s="5"/>
      <c r="BZ18" s="5"/>
      <c r="CA18" s="130"/>
      <c r="CB18" s="5"/>
      <c r="CC18" s="5" t="e">
        <f t="shared" si="17"/>
        <v>#DIV/0!</v>
      </c>
      <c r="CD18" s="5" t="e">
        <f t="shared" si="18"/>
        <v>#DIV/0!</v>
      </c>
      <c r="CE18" s="5"/>
      <c r="CI18" s="130">
        <f t="shared" si="19"/>
        <v>1.1565287626283698</v>
      </c>
      <c r="CJ18" s="130">
        <f t="shared" si="20"/>
        <v>1.1564136513372179</v>
      </c>
      <c r="CK18" s="296">
        <f t="shared" si="49"/>
        <v>1.1682614093911656</v>
      </c>
      <c r="CL18" s="130">
        <f t="shared" si="21"/>
        <v>1.1682614093911656</v>
      </c>
      <c r="CM18" s="5">
        <f t="shared" si="50"/>
        <v>0</v>
      </c>
      <c r="CN18" s="5">
        <f t="shared" si="22"/>
        <v>0</v>
      </c>
      <c r="DE18" s="130" t="e">
        <f t="shared" si="23"/>
        <v>#NUM!</v>
      </c>
      <c r="DF18" s="130" t="e">
        <f t="shared" si="24"/>
        <v>#NUM!</v>
      </c>
      <c r="DG18" s="130" t="e">
        <f t="shared" si="51"/>
        <v>#NUM!</v>
      </c>
      <c r="DH18" s="130" t="e">
        <f t="shared" si="25"/>
        <v>#NUM!</v>
      </c>
      <c r="DJ18" s="130" t="e">
        <f t="shared" si="26"/>
        <v>#NUM!</v>
      </c>
      <c r="DK18" s="130" t="e">
        <f t="shared" si="27"/>
        <v>#NUM!</v>
      </c>
      <c r="DL18" s="130" t="e">
        <f t="shared" si="52"/>
        <v>#NUM!</v>
      </c>
      <c r="DM18" s="130" t="e">
        <f t="shared" si="62"/>
        <v>#NUM!</v>
      </c>
      <c r="DO18" s="130" t="e">
        <f t="shared" si="28"/>
        <v>#NUM!</v>
      </c>
      <c r="DP18" s="130" t="e">
        <f t="shared" si="29"/>
        <v>#NUM!</v>
      </c>
      <c r="DQ18" s="130" t="e">
        <f t="shared" si="53"/>
        <v>#NUM!</v>
      </c>
    </row>
    <row r="19" spans="2:121" hidden="1">
      <c r="B19" s="231">
        <v>13</v>
      </c>
      <c r="C19" s="280"/>
      <c r="D19" s="475"/>
      <c r="E19" s="318">
        <f t="shared" si="30"/>
        <v>40738</v>
      </c>
      <c r="F19" s="542">
        <f t="shared" ref="F19:F50" si="66">IF(AN19="x",E19-E18,0)</f>
        <v>0</v>
      </c>
      <c r="G19" s="239"/>
      <c r="H19" s="685">
        <f t="shared" si="31"/>
        <v>0</v>
      </c>
      <c r="I19" s="240"/>
      <c r="J19" s="597">
        <f t="shared" si="32"/>
        <v>0</v>
      </c>
      <c r="K19" s="478">
        <f t="shared" si="33"/>
        <v>0</v>
      </c>
      <c r="L19" s="240"/>
      <c r="M19" s="235">
        <f t="shared" si="34"/>
        <v>0</v>
      </c>
      <c r="N19" s="479">
        <f t="shared" si="35"/>
        <v>0</v>
      </c>
      <c r="O19" s="234"/>
      <c r="P19" s="235">
        <f t="shared" si="36"/>
        <v>0</v>
      </c>
      <c r="Q19" s="651">
        <f t="shared" si="37"/>
        <v>0</v>
      </c>
      <c r="R19" s="479">
        <f>IF(J19&gt;0,IF(OR(ManualMode=FALSE,ISBLANK(S19)),'Pricing - Advanced'!$F$16*J19+'Pricing - Advanced'!$F$17,"N/A"),0)</f>
        <v>0</v>
      </c>
      <c r="S19" s="234"/>
      <c r="T19" s="235">
        <f t="shared" si="38"/>
        <v>0</v>
      </c>
      <c r="U19" s="599">
        <f>IF(OR(ManualMode=FALSE,ISBLANK(V19)),SUM(K19:L19)*'Pricing - Advanced'!$F$19+SUM(N19,O19)*'Pricing - Advanced'!$F$18,"N/A")</f>
        <v>0</v>
      </c>
      <c r="V19" s="234"/>
      <c r="W19" s="236">
        <f t="shared" si="39"/>
        <v>0</v>
      </c>
      <c r="X19" s="237">
        <f>'Pricing - Advanced'!$F$20*SUM(H19:I19)+IF(J19&gt;1,'Pricing - Advanced'!$F$21,0)</f>
        <v>0</v>
      </c>
      <c r="Y19" s="688">
        <f>IF(AND(FullTerm&gt;=B19,AB18&gt;0),AB18*'Pricing - Advanced'!$I$128,0)</f>
        <v>0</v>
      </c>
      <c r="Z19" s="233">
        <f t="shared" si="40"/>
        <v>0</v>
      </c>
      <c r="AA19" s="234"/>
      <c r="AB19" s="597">
        <f t="shared" si="61"/>
        <v>0</v>
      </c>
      <c r="AC19" s="236">
        <f t="shared" si="0"/>
        <v>0</v>
      </c>
      <c r="AF19" s="762" t="e">
        <f t="shared" si="41"/>
        <v>#N/A</v>
      </c>
      <c r="AG19" s="759" t="e">
        <f t="shared" si="1"/>
        <v>#N/A</v>
      </c>
      <c r="AH19" s="759">
        <f>IF(J19=0,0,J19-SUM($N$6:N19)-AB18)</f>
        <v>0</v>
      </c>
      <c r="AI19" s="759">
        <f t="shared" si="2"/>
        <v>0</v>
      </c>
      <c r="AJ19" s="760">
        <f t="shared" si="55"/>
        <v>3.0000000000000001E-3</v>
      </c>
      <c r="AK19" s="760">
        <f t="shared" si="56"/>
        <v>3.0000000000000001E-3</v>
      </c>
      <c r="AN19" s="1" t="b">
        <f t="shared" si="57"/>
        <v>1</v>
      </c>
      <c r="AQ19" s="15">
        <f>IF(J18&gt;1,IF(int_method=2,$AG$229*J18,$AG$229*'Pricing - Advanced'!$E$4),0)</f>
        <v>0</v>
      </c>
      <c r="AR19" s="5">
        <f t="shared" si="42"/>
        <v>0</v>
      </c>
      <c r="AS19" s="204">
        <f t="shared" si="58"/>
        <v>40738</v>
      </c>
      <c r="AT19" s="1">
        <f>IF($AT$4=FALSE,B19*'Pricing - Advanced'!$K$5,AT18+E19-E18)</f>
        <v>395</v>
      </c>
      <c r="AW19" s="603">
        <f t="shared" si="43"/>
        <v>0</v>
      </c>
      <c r="AX19" s="603">
        <f t="shared" si="3"/>
        <v>0</v>
      </c>
      <c r="AY19" s="603">
        <f t="shared" si="4"/>
        <v>0</v>
      </c>
      <c r="AZ19" s="603">
        <f t="shared" si="5"/>
        <v>0</v>
      </c>
      <c r="BA19" s="603">
        <f t="shared" si="44"/>
        <v>0</v>
      </c>
      <c r="BB19" s="603">
        <f t="shared" si="45"/>
        <v>0</v>
      </c>
      <c r="BC19" s="603">
        <f t="shared" si="6"/>
        <v>0</v>
      </c>
      <c r="BE19" s="157">
        <f t="shared" si="7"/>
        <v>13</v>
      </c>
      <c r="BF19" s="489">
        <f t="shared" si="46"/>
        <v>395</v>
      </c>
      <c r="BG19" s="146">
        <f t="shared" si="8"/>
        <v>0</v>
      </c>
      <c r="BH19" s="147">
        <f t="shared" si="9"/>
        <v>0</v>
      </c>
      <c r="BI19" s="154" t="e">
        <f t="shared" si="10"/>
        <v>#NUM!</v>
      </c>
      <c r="BJ19" s="277" t="e">
        <f t="shared" si="63"/>
        <v>#NUM!</v>
      </c>
      <c r="BK19" s="147" t="e">
        <f t="shared" si="64"/>
        <v>#NUM!</v>
      </c>
      <c r="BL19" s="132" t="e">
        <f t="shared" si="65"/>
        <v>#NUM!</v>
      </c>
      <c r="BN19" s="497">
        <f t="shared" si="11"/>
        <v>13</v>
      </c>
      <c r="BO19" s="497">
        <f t="shared" si="12"/>
        <v>395</v>
      </c>
      <c r="BP19" s="5">
        <f t="shared" si="13"/>
        <v>0</v>
      </c>
      <c r="BQ19" s="5">
        <f t="shared" si="14"/>
        <v>0</v>
      </c>
      <c r="BR19" s="499" t="e">
        <f t="shared" si="48"/>
        <v>#NUM!</v>
      </c>
      <c r="BS19" s="277" t="e">
        <f t="shared" si="60"/>
        <v>#NUM!</v>
      </c>
      <c r="BT19" s="5" t="e">
        <f t="shared" si="15"/>
        <v>#NUM!</v>
      </c>
      <c r="BU19" s="5" t="e">
        <f t="shared" si="16"/>
        <v>#NUM!</v>
      </c>
      <c r="BW19" s="5"/>
      <c r="BX19" s="5"/>
      <c r="BY19" s="5"/>
      <c r="BZ19" s="5"/>
      <c r="CA19" s="130"/>
      <c r="CB19" s="5"/>
      <c r="CC19" s="5" t="e">
        <f t="shared" si="17"/>
        <v>#DIV/0!</v>
      </c>
      <c r="CD19" s="5" t="e">
        <f t="shared" si="18"/>
        <v>#DIV/0!</v>
      </c>
      <c r="CE19" s="5"/>
      <c r="CI19" s="130">
        <f t="shared" si="19"/>
        <v>1.1706295279538388</v>
      </c>
      <c r="CJ19" s="130">
        <f t="shared" si="20"/>
        <v>1.1703091402558248</v>
      </c>
      <c r="CK19" s="296">
        <f t="shared" si="49"/>
        <v>1.1835002854610384</v>
      </c>
      <c r="CL19" s="130">
        <f t="shared" si="21"/>
        <v>1.1835002854610384</v>
      </c>
      <c r="CM19" s="5">
        <f t="shared" si="50"/>
        <v>0</v>
      </c>
      <c r="CN19" s="5">
        <f t="shared" si="22"/>
        <v>0</v>
      </c>
      <c r="DE19" s="130" t="e">
        <f t="shared" si="23"/>
        <v>#NUM!</v>
      </c>
      <c r="DF19" s="130" t="e">
        <f t="shared" si="24"/>
        <v>#NUM!</v>
      </c>
      <c r="DG19" s="130" t="e">
        <f t="shared" si="51"/>
        <v>#NUM!</v>
      </c>
      <c r="DH19" s="130" t="e">
        <f t="shared" si="25"/>
        <v>#NUM!</v>
      </c>
      <c r="DJ19" s="130" t="e">
        <f t="shared" si="26"/>
        <v>#NUM!</v>
      </c>
      <c r="DK19" s="130" t="e">
        <f t="shared" si="27"/>
        <v>#NUM!</v>
      </c>
      <c r="DL19" s="130" t="e">
        <f t="shared" si="52"/>
        <v>#NUM!</v>
      </c>
      <c r="DM19" s="130" t="e">
        <f t="shared" si="62"/>
        <v>#NUM!</v>
      </c>
      <c r="DO19" s="130" t="e">
        <f t="shared" si="28"/>
        <v>#NUM!</v>
      </c>
      <c r="DP19" s="130" t="e">
        <f t="shared" si="29"/>
        <v>#NUM!</v>
      </c>
      <c r="DQ19" s="130" t="e">
        <f t="shared" si="53"/>
        <v>#NUM!</v>
      </c>
    </row>
    <row r="20" spans="2:121" hidden="1">
      <c r="B20" s="231">
        <v>14</v>
      </c>
      <c r="C20" s="280"/>
      <c r="D20" s="475"/>
      <c r="E20" s="318">
        <f t="shared" si="30"/>
        <v>40769</v>
      </c>
      <c r="F20" s="542">
        <f t="shared" si="66"/>
        <v>0</v>
      </c>
      <c r="G20" s="239"/>
      <c r="H20" s="685">
        <f t="shared" si="31"/>
        <v>0</v>
      </c>
      <c r="I20" s="240"/>
      <c r="J20" s="597">
        <f t="shared" si="32"/>
        <v>0</v>
      </c>
      <c r="K20" s="478">
        <f t="shared" si="33"/>
        <v>0</v>
      </c>
      <c r="L20" s="240"/>
      <c r="M20" s="235">
        <f t="shared" si="34"/>
        <v>0</v>
      </c>
      <c r="N20" s="479">
        <f t="shared" si="35"/>
        <v>0</v>
      </c>
      <c r="O20" s="234"/>
      <c r="P20" s="235">
        <f t="shared" si="36"/>
        <v>0</v>
      </c>
      <c r="Q20" s="651">
        <f t="shared" si="37"/>
        <v>0</v>
      </c>
      <c r="R20" s="479">
        <f>IF(J20&gt;0,IF(OR(ManualMode=FALSE,ISBLANK(S20)),'Pricing - Advanced'!$F$16*J20+'Pricing - Advanced'!$F$17,"N/A"),0)</f>
        <v>0</v>
      </c>
      <c r="S20" s="234"/>
      <c r="T20" s="235">
        <f t="shared" si="38"/>
        <v>0</v>
      </c>
      <c r="U20" s="599">
        <f>IF(OR(ManualMode=FALSE,ISBLANK(V20)),SUM(K20:L20)*'Pricing - Advanced'!$F$19+SUM(N20,O20)*'Pricing - Advanced'!$F$18,"N/A")</f>
        <v>0</v>
      </c>
      <c r="V20" s="234"/>
      <c r="W20" s="236">
        <f t="shared" si="39"/>
        <v>0</v>
      </c>
      <c r="X20" s="237">
        <f>'Pricing - Advanced'!$F$20*SUM(H20:I20)+IF(J20&gt;1,'Pricing - Advanced'!$F$21,0)</f>
        <v>0</v>
      </c>
      <c r="Y20" s="688">
        <f>IF(AND(FullTerm&gt;=B20,AB19&gt;0),AB19*'Pricing - Advanced'!$I$128,0)</f>
        <v>0</v>
      </c>
      <c r="Z20" s="233">
        <f t="shared" si="40"/>
        <v>0</v>
      </c>
      <c r="AA20" s="234"/>
      <c r="AB20" s="597">
        <f t="shared" si="61"/>
        <v>0</v>
      </c>
      <c r="AC20" s="236">
        <f t="shared" si="0"/>
        <v>0</v>
      </c>
      <c r="AF20" s="762" t="e">
        <f t="shared" si="41"/>
        <v>#N/A</v>
      </c>
      <c r="AG20" s="759" t="e">
        <f t="shared" si="1"/>
        <v>#N/A</v>
      </c>
      <c r="AH20" s="759">
        <f>IF(J20=0,0,J20-SUM($N$6:N20)-AB19)</f>
        <v>0</v>
      </c>
      <c r="AI20" s="759">
        <f t="shared" si="2"/>
        <v>0</v>
      </c>
      <c r="AJ20" s="760">
        <f t="shared" si="55"/>
        <v>3.0000000000000001E-3</v>
      </c>
      <c r="AK20" s="760">
        <f t="shared" si="56"/>
        <v>3.0000000000000001E-3</v>
      </c>
      <c r="AN20" s="1" t="b">
        <f t="shared" si="57"/>
        <v>1</v>
      </c>
      <c r="AQ20" s="15">
        <f>IF(J19&gt;1,IF(int_method=2,$AG$229*J19,$AG$229*'Pricing - Advanced'!$E$4),0)</f>
        <v>0</v>
      </c>
      <c r="AR20" s="5">
        <f t="shared" si="42"/>
        <v>0</v>
      </c>
      <c r="AS20" s="204">
        <f t="shared" si="58"/>
        <v>40769</v>
      </c>
      <c r="AT20" s="1">
        <f>IF($AT$4=FALSE,B20*'Pricing - Advanced'!$K$5,AT19+E20-E19)</f>
        <v>426</v>
      </c>
      <c r="AW20" s="603">
        <f t="shared" si="43"/>
        <v>0</v>
      </c>
      <c r="AX20" s="603">
        <f t="shared" si="3"/>
        <v>0</v>
      </c>
      <c r="AY20" s="603">
        <f t="shared" si="4"/>
        <v>0</v>
      </c>
      <c r="AZ20" s="603">
        <f t="shared" si="5"/>
        <v>0</v>
      </c>
      <c r="BA20" s="603">
        <f t="shared" si="44"/>
        <v>0</v>
      </c>
      <c r="BB20" s="603">
        <f t="shared" si="45"/>
        <v>0</v>
      </c>
      <c r="BC20" s="603">
        <f t="shared" si="6"/>
        <v>0</v>
      </c>
      <c r="BE20" s="157">
        <f t="shared" si="7"/>
        <v>14</v>
      </c>
      <c r="BF20" s="489">
        <f t="shared" si="46"/>
        <v>426</v>
      </c>
      <c r="BG20" s="146">
        <f t="shared" si="8"/>
        <v>0</v>
      </c>
      <c r="BH20" s="147">
        <f t="shared" si="9"/>
        <v>0</v>
      </c>
      <c r="BI20" s="154" t="e">
        <f t="shared" si="10"/>
        <v>#NUM!</v>
      </c>
      <c r="BJ20" s="277" t="e">
        <f t="shared" si="63"/>
        <v>#NUM!</v>
      </c>
      <c r="BK20" s="147" t="e">
        <f t="shared" si="64"/>
        <v>#NUM!</v>
      </c>
      <c r="BL20" s="132" t="e">
        <f t="shared" si="65"/>
        <v>#NUM!</v>
      </c>
      <c r="BN20" s="497">
        <f t="shared" si="11"/>
        <v>14</v>
      </c>
      <c r="BO20" s="497">
        <f t="shared" si="12"/>
        <v>426</v>
      </c>
      <c r="BP20" s="5">
        <f t="shared" si="13"/>
        <v>0</v>
      </c>
      <c r="BQ20" s="5">
        <f t="shared" si="14"/>
        <v>0</v>
      </c>
      <c r="BR20" s="499" t="e">
        <f t="shared" si="48"/>
        <v>#NUM!</v>
      </c>
      <c r="BS20" s="277" t="e">
        <f t="shared" si="60"/>
        <v>#NUM!</v>
      </c>
      <c r="BT20" s="5" t="e">
        <f t="shared" si="15"/>
        <v>#NUM!</v>
      </c>
      <c r="BU20" s="5" t="e">
        <f t="shared" si="16"/>
        <v>#NUM!</v>
      </c>
      <c r="BW20" s="5"/>
      <c r="BX20" s="5"/>
      <c r="BY20" s="5"/>
      <c r="BZ20" s="5"/>
      <c r="CA20" s="130"/>
      <c r="CB20" s="5"/>
      <c r="CC20" s="5" t="e">
        <f t="shared" si="17"/>
        <v>#DIV/0!</v>
      </c>
      <c r="CD20" s="5" t="e">
        <f t="shared" si="18"/>
        <v>#DIV/0!</v>
      </c>
      <c r="CE20" s="5"/>
      <c r="CI20" s="130">
        <f t="shared" si="19"/>
        <v>1.1849022142804875</v>
      </c>
      <c r="CJ20" s="130">
        <f t="shared" si="20"/>
        <v>1.1848432451383986</v>
      </c>
      <c r="CK20" s="296">
        <f t="shared" si="49"/>
        <v>1.1989379383988332</v>
      </c>
      <c r="CL20" s="130">
        <f t="shared" si="21"/>
        <v>1.1989379383988332</v>
      </c>
      <c r="CM20" s="5">
        <f t="shared" si="50"/>
        <v>0</v>
      </c>
      <c r="CN20" s="5">
        <f t="shared" si="22"/>
        <v>0</v>
      </c>
      <c r="DE20" s="130" t="e">
        <f t="shared" si="23"/>
        <v>#NUM!</v>
      </c>
      <c r="DF20" s="130" t="e">
        <f t="shared" si="24"/>
        <v>#NUM!</v>
      </c>
      <c r="DG20" s="130" t="e">
        <f t="shared" si="51"/>
        <v>#NUM!</v>
      </c>
      <c r="DH20" s="130" t="e">
        <f t="shared" si="25"/>
        <v>#NUM!</v>
      </c>
      <c r="DJ20" s="130" t="e">
        <f t="shared" si="26"/>
        <v>#NUM!</v>
      </c>
      <c r="DK20" s="130" t="e">
        <f t="shared" si="27"/>
        <v>#NUM!</v>
      </c>
      <c r="DL20" s="130" t="e">
        <f t="shared" si="52"/>
        <v>#NUM!</v>
      </c>
      <c r="DM20" s="130" t="e">
        <f t="shared" si="62"/>
        <v>#NUM!</v>
      </c>
      <c r="DO20" s="130" t="e">
        <f t="shared" si="28"/>
        <v>#NUM!</v>
      </c>
      <c r="DP20" s="130" t="e">
        <f t="shared" si="29"/>
        <v>#NUM!</v>
      </c>
      <c r="DQ20" s="130" t="e">
        <f t="shared" si="53"/>
        <v>#NUM!</v>
      </c>
    </row>
    <row r="21" spans="2:121" hidden="1">
      <c r="B21" s="231">
        <v>15</v>
      </c>
      <c r="C21" s="280"/>
      <c r="D21" s="475"/>
      <c r="E21" s="318">
        <f t="shared" si="30"/>
        <v>40800</v>
      </c>
      <c r="F21" s="542">
        <f t="shared" si="66"/>
        <v>0</v>
      </c>
      <c r="G21" s="239"/>
      <c r="H21" s="685">
        <f t="shared" si="31"/>
        <v>0</v>
      </c>
      <c r="I21" s="240"/>
      <c r="J21" s="597">
        <f t="shared" si="32"/>
        <v>0</v>
      </c>
      <c r="K21" s="478">
        <f t="shared" si="33"/>
        <v>0</v>
      </c>
      <c r="L21" s="240"/>
      <c r="M21" s="235">
        <f t="shared" si="34"/>
        <v>0</v>
      </c>
      <c r="N21" s="479">
        <f t="shared" si="35"/>
        <v>0</v>
      </c>
      <c r="O21" s="234"/>
      <c r="P21" s="235">
        <f t="shared" si="36"/>
        <v>0</v>
      </c>
      <c r="Q21" s="651">
        <f t="shared" si="37"/>
        <v>0</v>
      </c>
      <c r="R21" s="479">
        <f>IF(J21&gt;0,IF(OR(ManualMode=FALSE,ISBLANK(S21)),'Pricing - Advanced'!$F$16*J21+'Pricing - Advanced'!$F$17,"N/A"),0)</f>
        <v>0</v>
      </c>
      <c r="S21" s="234"/>
      <c r="T21" s="235">
        <f t="shared" si="38"/>
        <v>0</v>
      </c>
      <c r="U21" s="599">
        <f>IF(OR(ManualMode=FALSE,ISBLANK(V21)),SUM(K21:L21)*'Pricing - Advanced'!$F$19+SUM(N21,O21)*'Pricing - Advanced'!$F$18,"N/A")</f>
        <v>0</v>
      </c>
      <c r="V21" s="234"/>
      <c r="W21" s="236">
        <f t="shared" si="39"/>
        <v>0</v>
      </c>
      <c r="X21" s="237">
        <f>'Pricing - Advanced'!$F$20*SUM(H21:I21)+IF(J21&gt;1,'Pricing - Advanced'!$F$21,0)</f>
        <v>0</v>
      </c>
      <c r="Y21" s="688">
        <f>IF(AND(FullTerm&gt;=B21,AB20&gt;0),AB20*'Pricing - Advanced'!$I$128,0)</f>
        <v>0</v>
      </c>
      <c r="Z21" s="233">
        <f t="shared" si="40"/>
        <v>0</v>
      </c>
      <c r="AA21" s="234"/>
      <c r="AB21" s="597">
        <f t="shared" si="61"/>
        <v>0</v>
      </c>
      <c r="AC21" s="236">
        <f t="shared" si="0"/>
        <v>0</v>
      </c>
      <c r="AF21" s="762" t="e">
        <f t="shared" si="41"/>
        <v>#N/A</v>
      </c>
      <c r="AG21" s="759" t="e">
        <f t="shared" si="1"/>
        <v>#N/A</v>
      </c>
      <c r="AH21" s="759">
        <f>IF(J21=0,0,J21-SUM($N$6:N21)-AB20)</f>
        <v>0</v>
      </c>
      <c r="AI21" s="759">
        <f t="shared" si="2"/>
        <v>0</v>
      </c>
      <c r="AJ21" s="760">
        <f t="shared" si="55"/>
        <v>3.0000000000000001E-3</v>
      </c>
      <c r="AK21" s="760">
        <f t="shared" si="56"/>
        <v>3.0000000000000001E-3</v>
      </c>
      <c r="AN21" s="1" t="b">
        <f t="shared" si="57"/>
        <v>1</v>
      </c>
      <c r="AQ21" s="15">
        <f>IF(J20&gt;1,IF(int_method=2,$AG$229*J20,$AG$229*'Pricing - Advanced'!$E$4),0)</f>
        <v>0</v>
      </c>
      <c r="AR21" s="5">
        <f t="shared" si="42"/>
        <v>0</v>
      </c>
      <c r="AS21" s="204">
        <f t="shared" si="58"/>
        <v>40800</v>
      </c>
      <c r="AT21" s="1">
        <f>IF($AT$4=FALSE,B21*'Pricing - Advanced'!$K$5,AT20+E21-E20)</f>
        <v>457</v>
      </c>
      <c r="AW21" s="603">
        <f t="shared" si="43"/>
        <v>0</v>
      </c>
      <c r="AX21" s="603">
        <f t="shared" si="3"/>
        <v>0</v>
      </c>
      <c r="AY21" s="603">
        <f t="shared" si="4"/>
        <v>0</v>
      </c>
      <c r="AZ21" s="603">
        <f t="shared" si="5"/>
        <v>0</v>
      </c>
      <c r="BA21" s="603">
        <f t="shared" si="44"/>
        <v>0</v>
      </c>
      <c r="BB21" s="603">
        <f t="shared" si="45"/>
        <v>0</v>
      </c>
      <c r="BC21" s="603">
        <f t="shared" si="6"/>
        <v>0</v>
      </c>
      <c r="BE21" s="157">
        <f t="shared" si="7"/>
        <v>15</v>
      </c>
      <c r="BF21" s="489">
        <f t="shared" si="46"/>
        <v>457</v>
      </c>
      <c r="BG21" s="146">
        <f t="shared" si="8"/>
        <v>0</v>
      </c>
      <c r="BH21" s="147">
        <f t="shared" si="9"/>
        <v>0</v>
      </c>
      <c r="BI21" s="154" t="e">
        <f t="shared" si="10"/>
        <v>#NUM!</v>
      </c>
      <c r="BJ21" s="277" t="e">
        <f t="shared" si="63"/>
        <v>#NUM!</v>
      </c>
      <c r="BK21" s="147" t="e">
        <f t="shared" si="64"/>
        <v>#NUM!</v>
      </c>
      <c r="BL21" s="132" t="e">
        <f t="shared" si="65"/>
        <v>#NUM!</v>
      </c>
      <c r="BN21" s="497">
        <f t="shared" si="11"/>
        <v>15</v>
      </c>
      <c r="BO21" s="497">
        <f t="shared" si="12"/>
        <v>457</v>
      </c>
      <c r="BP21" s="5">
        <f t="shared" si="13"/>
        <v>0</v>
      </c>
      <c r="BQ21" s="5">
        <f t="shared" si="14"/>
        <v>0</v>
      </c>
      <c r="BR21" s="499" t="e">
        <f t="shared" si="48"/>
        <v>#NUM!</v>
      </c>
      <c r="BS21" s="277" t="e">
        <f t="shared" si="60"/>
        <v>#NUM!</v>
      </c>
      <c r="BT21" s="5" t="e">
        <f t="shared" si="15"/>
        <v>#NUM!</v>
      </c>
      <c r="BU21" s="5" t="e">
        <f t="shared" si="16"/>
        <v>#NUM!</v>
      </c>
      <c r="BW21" s="5"/>
      <c r="BX21" s="5"/>
      <c r="BY21" s="5"/>
      <c r="BZ21" s="5"/>
      <c r="CA21" s="130"/>
      <c r="CB21" s="5"/>
      <c r="CC21" s="5" t="e">
        <f t="shared" si="17"/>
        <v>#DIV/0!</v>
      </c>
      <c r="CD21" s="5" t="e">
        <f t="shared" si="18"/>
        <v>#DIV/0!</v>
      </c>
      <c r="CE21" s="5"/>
      <c r="CI21" s="130">
        <f t="shared" si="19"/>
        <v>1.1993489177236654</v>
      </c>
      <c r="CJ21" s="130">
        <f t="shared" si="20"/>
        <v>1.1995578495124928</v>
      </c>
      <c r="CK21" s="296">
        <f t="shared" si="49"/>
        <v>1.214576961062648</v>
      </c>
      <c r="CL21" s="130">
        <f t="shared" si="21"/>
        <v>1.214576961062648</v>
      </c>
      <c r="CM21" s="5">
        <f t="shared" si="50"/>
        <v>0</v>
      </c>
      <c r="CN21" s="5">
        <f t="shared" si="22"/>
        <v>0</v>
      </c>
      <c r="DE21" s="130" t="e">
        <f t="shared" si="23"/>
        <v>#NUM!</v>
      </c>
      <c r="DF21" s="130" t="e">
        <f t="shared" si="24"/>
        <v>#NUM!</v>
      </c>
      <c r="DG21" s="130" t="e">
        <f t="shared" si="51"/>
        <v>#NUM!</v>
      </c>
      <c r="DH21" s="130" t="e">
        <f t="shared" si="25"/>
        <v>#NUM!</v>
      </c>
      <c r="DJ21" s="130" t="e">
        <f t="shared" si="26"/>
        <v>#NUM!</v>
      </c>
      <c r="DK21" s="130" t="e">
        <f t="shared" si="27"/>
        <v>#NUM!</v>
      </c>
      <c r="DL21" s="130" t="e">
        <f t="shared" si="52"/>
        <v>#NUM!</v>
      </c>
      <c r="DM21" s="130" t="e">
        <f t="shared" si="62"/>
        <v>#NUM!</v>
      </c>
      <c r="DO21" s="130" t="e">
        <f t="shared" si="28"/>
        <v>#NUM!</v>
      </c>
      <c r="DP21" s="130" t="e">
        <f t="shared" si="29"/>
        <v>#NUM!</v>
      </c>
      <c r="DQ21" s="130" t="e">
        <f t="shared" si="53"/>
        <v>#NUM!</v>
      </c>
    </row>
    <row r="22" spans="2:121" hidden="1">
      <c r="B22" s="231">
        <v>16</v>
      </c>
      <c r="C22" s="280"/>
      <c r="D22" s="475"/>
      <c r="E22" s="318">
        <f t="shared" si="30"/>
        <v>40830</v>
      </c>
      <c r="F22" s="542">
        <f t="shared" si="66"/>
        <v>0</v>
      </c>
      <c r="G22" s="239"/>
      <c r="H22" s="685">
        <f t="shared" si="31"/>
        <v>0</v>
      </c>
      <c r="I22" s="240"/>
      <c r="J22" s="597">
        <f t="shared" si="32"/>
        <v>0</v>
      </c>
      <c r="K22" s="478">
        <f t="shared" si="33"/>
        <v>0</v>
      </c>
      <c r="L22" s="240"/>
      <c r="M22" s="235">
        <f t="shared" si="34"/>
        <v>0</v>
      </c>
      <c r="N22" s="479">
        <f t="shared" si="35"/>
        <v>0</v>
      </c>
      <c r="O22" s="234"/>
      <c r="P22" s="235">
        <f t="shared" si="36"/>
        <v>0</v>
      </c>
      <c r="Q22" s="651">
        <f t="shared" si="37"/>
        <v>0</v>
      </c>
      <c r="R22" s="479">
        <f>IF(J22&gt;0,IF(OR(ManualMode=FALSE,ISBLANK(S22)),'Pricing - Advanced'!$F$16*J22+'Pricing - Advanced'!$F$17,"N/A"),0)</f>
        <v>0</v>
      </c>
      <c r="S22" s="234"/>
      <c r="T22" s="235">
        <f t="shared" si="38"/>
        <v>0</v>
      </c>
      <c r="U22" s="599">
        <f>IF(OR(ManualMode=FALSE,ISBLANK(V22)),SUM(K22:L22)*'Pricing - Advanced'!$F$19+SUM(N22,O22)*'Pricing - Advanced'!$F$18,"N/A")</f>
        <v>0</v>
      </c>
      <c r="V22" s="234"/>
      <c r="W22" s="236">
        <f t="shared" si="39"/>
        <v>0</v>
      </c>
      <c r="X22" s="237">
        <f>'Pricing - Advanced'!$F$20*SUM(H22:I22)+IF(J22&gt;1,'Pricing - Advanced'!$F$21,0)</f>
        <v>0</v>
      </c>
      <c r="Y22" s="688">
        <f>IF(AND(FullTerm&gt;=B22,AB21&gt;0),AB21*'Pricing - Advanced'!$I$128,0)</f>
        <v>0</v>
      </c>
      <c r="Z22" s="233">
        <f t="shared" si="40"/>
        <v>0</v>
      </c>
      <c r="AA22" s="234"/>
      <c r="AB22" s="597">
        <f t="shared" si="61"/>
        <v>0</v>
      </c>
      <c r="AC22" s="236">
        <f t="shared" si="0"/>
        <v>0</v>
      </c>
      <c r="AF22" s="762" t="e">
        <f t="shared" si="41"/>
        <v>#N/A</v>
      </c>
      <c r="AG22" s="759" t="e">
        <f t="shared" si="1"/>
        <v>#N/A</v>
      </c>
      <c r="AH22" s="759">
        <f>IF(J22=0,0,J22-SUM($N$6:N22)-AB21)</f>
        <v>0</v>
      </c>
      <c r="AI22" s="759">
        <f t="shared" si="2"/>
        <v>0</v>
      </c>
      <c r="AJ22" s="760">
        <f t="shared" si="55"/>
        <v>3.0000000000000001E-3</v>
      </c>
      <c r="AK22" s="760">
        <f t="shared" si="56"/>
        <v>3.0000000000000001E-3</v>
      </c>
      <c r="AN22" s="1" t="b">
        <f t="shared" si="57"/>
        <v>1</v>
      </c>
      <c r="AQ22" s="15">
        <f>IF(J21&gt;1,IF(int_method=2,$AG$229*J21,$AG$229*'Pricing - Advanced'!$E$4),0)</f>
        <v>0</v>
      </c>
      <c r="AR22" s="5">
        <f t="shared" si="42"/>
        <v>0</v>
      </c>
      <c r="AS22" s="204">
        <f t="shared" si="58"/>
        <v>40830</v>
      </c>
      <c r="AT22" s="1">
        <f>IF($AT$4=FALSE,B22*'Pricing - Advanced'!$K$5,AT21+E22-E21)</f>
        <v>487</v>
      </c>
      <c r="AW22" s="603">
        <f t="shared" si="43"/>
        <v>0</v>
      </c>
      <c r="AX22" s="603">
        <f t="shared" si="3"/>
        <v>0</v>
      </c>
      <c r="AY22" s="603">
        <f t="shared" si="4"/>
        <v>0</v>
      </c>
      <c r="AZ22" s="603">
        <f t="shared" si="5"/>
        <v>0</v>
      </c>
      <c r="BA22" s="603">
        <f t="shared" si="44"/>
        <v>0</v>
      </c>
      <c r="BB22" s="603">
        <f t="shared" si="45"/>
        <v>0</v>
      </c>
      <c r="BC22" s="603">
        <f t="shared" si="6"/>
        <v>0</v>
      </c>
      <c r="BE22" s="157">
        <f t="shared" si="7"/>
        <v>16</v>
      </c>
      <c r="BF22" s="489">
        <f t="shared" si="46"/>
        <v>487</v>
      </c>
      <c r="BG22" s="146">
        <f t="shared" si="8"/>
        <v>0</v>
      </c>
      <c r="BH22" s="147">
        <f t="shared" si="9"/>
        <v>0</v>
      </c>
      <c r="BI22" s="154" t="e">
        <f t="shared" si="10"/>
        <v>#NUM!</v>
      </c>
      <c r="BJ22" s="277" t="e">
        <f t="shared" si="63"/>
        <v>#NUM!</v>
      </c>
      <c r="BK22" s="147" t="e">
        <f t="shared" si="64"/>
        <v>#NUM!</v>
      </c>
      <c r="BL22" s="132" t="e">
        <f t="shared" si="65"/>
        <v>#NUM!</v>
      </c>
      <c r="BN22" s="497">
        <f t="shared" si="11"/>
        <v>16</v>
      </c>
      <c r="BO22" s="497">
        <f t="shared" si="12"/>
        <v>487</v>
      </c>
      <c r="BP22" s="5">
        <f t="shared" si="13"/>
        <v>0</v>
      </c>
      <c r="BQ22" s="5">
        <f t="shared" si="14"/>
        <v>0</v>
      </c>
      <c r="BR22" s="499" t="e">
        <f t="shared" si="48"/>
        <v>#NUM!</v>
      </c>
      <c r="BS22" s="277" t="e">
        <f t="shared" si="60"/>
        <v>#NUM!</v>
      </c>
      <c r="BT22" s="5" t="e">
        <f t="shared" si="15"/>
        <v>#NUM!</v>
      </c>
      <c r="BU22" s="5" t="e">
        <f t="shared" si="16"/>
        <v>#NUM!</v>
      </c>
      <c r="BW22" s="5"/>
      <c r="BX22" s="5"/>
      <c r="BY22" s="5"/>
      <c r="BZ22" s="5"/>
      <c r="CA22" s="130"/>
      <c r="CB22" s="5"/>
      <c r="CC22" s="5" t="e">
        <f t="shared" si="17"/>
        <v>#DIV/0!</v>
      </c>
      <c r="CD22" s="5" t="e">
        <f t="shared" si="18"/>
        <v>#DIV/0!</v>
      </c>
      <c r="CE22" s="5"/>
      <c r="CI22" s="130">
        <f t="shared" si="19"/>
        <v>1.213971759955226</v>
      </c>
      <c r="CJ22" s="130">
        <f t="shared" si="20"/>
        <v>1.213971759955226</v>
      </c>
      <c r="CK22" s="296">
        <f t="shared" si="49"/>
        <v>1.2304199801319864</v>
      </c>
      <c r="CL22" s="130">
        <f t="shared" si="21"/>
        <v>1.2304199801319864</v>
      </c>
      <c r="CM22" s="5">
        <f t="shared" si="50"/>
        <v>0</v>
      </c>
      <c r="CN22" s="5">
        <f t="shared" si="22"/>
        <v>0</v>
      </c>
      <c r="DE22" s="130" t="e">
        <f t="shared" si="23"/>
        <v>#NUM!</v>
      </c>
      <c r="DF22" s="130" t="e">
        <f t="shared" si="24"/>
        <v>#NUM!</v>
      </c>
      <c r="DG22" s="130" t="e">
        <f t="shared" si="51"/>
        <v>#NUM!</v>
      </c>
      <c r="DH22" s="130" t="e">
        <f t="shared" si="25"/>
        <v>#NUM!</v>
      </c>
      <c r="DJ22" s="130" t="e">
        <f t="shared" si="26"/>
        <v>#NUM!</v>
      </c>
      <c r="DK22" s="130" t="e">
        <f t="shared" si="27"/>
        <v>#NUM!</v>
      </c>
      <c r="DL22" s="130" t="e">
        <f t="shared" si="52"/>
        <v>#NUM!</v>
      </c>
      <c r="DM22" s="130" t="e">
        <f t="shared" si="62"/>
        <v>#NUM!</v>
      </c>
      <c r="DO22" s="130" t="e">
        <f t="shared" si="28"/>
        <v>#NUM!</v>
      </c>
      <c r="DP22" s="130" t="e">
        <f t="shared" si="29"/>
        <v>#NUM!</v>
      </c>
      <c r="DQ22" s="130" t="e">
        <f t="shared" si="53"/>
        <v>#NUM!</v>
      </c>
    </row>
    <row r="23" spans="2:121" hidden="1">
      <c r="B23" s="231">
        <v>17</v>
      </c>
      <c r="C23" s="280"/>
      <c r="D23" s="475"/>
      <c r="E23" s="318">
        <f t="shared" si="30"/>
        <v>40861</v>
      </c>
      <c r="F23" s="542">
        <f t="shared" si="66"/>
        <v>0</v>
      </c>
      <c r="G23" s="239"/>
      <c r="H23" s="685">
        <f t="shared" si="31"/>
        <v>0</v>
      </c>
      <c r="I23" s="240"/>
      <c r="J23" s="597">
        <f t="shared" si="32"/>
        <v>0</v>
      </c>
      <c r="K23" s="478">
        <f t="shared" si="33"/>
        <v>0</v>
      </c>
      <c r="L23" s="240"/>
      <c r="M23" s="235">
        <f t="shared" si="34"/>
        <v>0</v>
      </c>
      <c r="N23" s="479">
        <f t="shared" si="35"/>
        <v>0</v>
      </c>
      <c r="O23" s="234"/>
      <c r="P23" s="235">
        <f t="shared" si="36"/>
        <v>0</v>
      </c>
      <c r="Q23" s="651">
        <f t="shared" si="37"/>
        <v>0</v>
      </c>
      <c r="R23" s="479">
        <f>IF(J23&gt;0,IF(OR(ManualMode=FALSE,ISBLANK(S23)),'Pricing - Advanced'!$F$16*J23+'Pricing - Advanced'!$F$17,"N/A"),0)</f>
        <v>0</v>
      </c>
      <c r="S23" s="234"/>
      <c r="T23" s="235">
        <f t="shared" si="38"/>
        <v>0</v>
      </c>
      <c r="U23" s="599">
        <f>IF(OR(ManualMode=FALSE,ISBLANK(V23)),SUM(K23:L23)*'Pricing - Advanced'!$F$19+SUM(N23,O23)*'Pricing - Advanced'!$F$18,"N/A")</f>
        <v>0</v>
      </c>
      <c r="V23" s="234"/>
      <c r="W23" s="236">
        <f t="shared" si="39"/>
        <v>0</v>
      </c>
      <c r="X23" s="237">
        <f>'Pricing - Advanced'!$F$20*SUM(H23:I23)+IF(J23&gt;1,'Pricing - Advanced'!$F$21,0)</f>
        <v>0</v>
      </c>
      <c r="Y23" s="688">
        <f>IF(AND(FullTerm&gt;=B23,AB22&gt;0),AB22*'Pricing - Advanced'!$I$128,0)</f>
        <v>0</v>
      </c>
      <c r="Z23" s="233">
        <f t="shared" si="40"/>
        <v>0</v>
      </c>
      <c r="AA23" s="234"/>
      <c r="AB23" s="597">
        <f t="shared" si="61"/>
        <v>0</v>
      </c>
      <c r="AC23" s="236">
        <f t="shared" si="0"/>
        <v>0</v>
      </c>
      <c r="AF23" s="762" t="e">
        <f t="shared" si="41"/>
        <v>#N/A</v>
      </c>
      <c r="AG23" s="759" t="e">
        <f t="shared" si="1"/>
        <v>#N/A</v>
      </c>
      <c r="AH23" s="759">
        <f>IF(J23=0,0,J23-SUM($N$6:N23)-AB22)</f>
        <v>0</v>
      </c>
      <c r="AI23" s="759">
        <f t="shared" si="2"/>
        <v>0</v>
      </c>
      <c r="AJ23" s="760">
        <f t="shared" si="55"/>
        <v>3.0000000000000001E-3</v>
      </c>
      <c r="AK23" s="760">
        <f t="shared" si="56"/>
        <v>3.0000000000000001E-3</v>
      </c>
      <c r="AN23" s="1" t="b">
        <f t="shared" si="57"/>
        <v>1</v>
      </c>
      <c r="AQ23" s="15">
        <f>IF(J22&gt;1,IF(int_method=2,$AG$229*J22,$AG$229*'Pricing - Advanced'!$E$4),0)</f>
        <v>0</v>
      </c>
      <c r="AR23" s="5">
        <f t="shared" si="42"/>
        <v>0</v>
      </c>
      <c r="AS23" s="204">
        <f t="shared" si="58"/>
        <v>40861</v>
      </c>
      <c r="AT23" s="1">
        <f>IF($AT$4=FALSE,B23*'Pricing - Advanced'!$K$5,AT22+E23-E22)</f>
        <v>518</v>
      </c>
      <c r="AW23" s="603">
        <f t="shared" si="43"/>
        <v>0</v>
      </c>
      <c r="AX23" s="603">
        <f t="shared" si="3"/>
        <v>0</v>
      </c>
      <c r="AY23" s="603">
        <f t="shared" si="4"/>
        <v>0</v>
      </c>
      <c r="AZ23" s="603">
        <f t="shared" si="5"/>
        <v>0</v>
      </c>
      <c r="BA23" s="603">
        <f t="shared" si="44"/>
        <v>0</v>
      </c>
      <c r="BB23" s="603">
        <f t="shared" si="45"/>
        <v>0</v>
      </c>
      <c r="BC23" s="603">
        <f t="shared" si="6"/>
        <v>0</v>
      </c>
      <c r="BE23" s="157">
        <f t="shared" si="7"/>
        <v>17</v>
      </c>
      <c r="BF23" s="489">
        <f t="shared" si="46"/>
        <v>518</v>
      </c>
      <c r="BG23" s="146">
        <f t="shared" si="8"/>
        <v>0</v>
      </c>
      <c r="BH23" s="147">
        <f t="shared" si="9"/>
        <v>0</v>
      </c>
      <c r="BI23" s="154" t="e">
        <f t="shared" si="10"/>
        <v>#NUM!</v>
      </c>
      <c r="BJ23" s="277" t="e">
        <f t="shared" si="63"/>
        <v>#NUM!</v>
      </c>
      <c r="BK23" s="147" t="e">
        <f t="shared" si="64"/>
        <v>#NUM!</v>
      </c>
      <c r="BL23" s="132" t="e">
        <f t="shared" si="65"/>
        <v>#NUM!</v>
      </c>
      <c r="BN23" s="497">
        <f t="shared" si="11"/>
        <v>17</v>
      </c>
      <c r="BO23" s="497">
        <f t="shared" si="12"/>
        <v>518</v>
      </c>
      <c r="BP23" s="5">
        <f t="shared" si="13"/>
        <v>0</v>
      </c>
      <c r="BQ23" s="5">
        <f t="shared" si="14"/>
        <v>0</v>
      </c>
      <c r="BR23" s="499" t="e">
        <f t="shared" si="48"/>
        <v>#NUM!</v>
      </c>
      <c r="BS23" s="277" t="e">
        <f t="shared" si="60"/>
        <v>#NUM!</v>
      </c>
      <c r="BT23" s="5" t="e">
        <f t="shared" si="15"/>
        <v>#NUM!</v>
      </c>
      <c r="BU23" s="5" t="e">
        <f t="shared" si="16"/>
        <v>#NUM!</v>
      </c>
      <c r="BW23" s="5"/>
      <c r="BX23" s="5"/>
      <c r="BY23" s="5"/>
      <c r="BZ23" s="5"/>
      <c r="CA23" s="130"/>
      <c r="CB23" s="5"/>
      <c r="CC23" s="5" t="e">
        <f t="shared" si="17"/>
        <v>#DIV/0!</v>
      </c>
      <c r="CD23" s="5" t="e">
        <f t="shared" si="18"/>
        <v>#DIV/0!</v>
      </c>
      <c r="CE23" s="5"/>
      <c r="CI23" s="130">
        <f t="shared" si="19"/>
        <v>1.2287728885151181</v>
      </c>
      <c r="CJ23" s="130">
        <f t="shared" si="20"/>
        <v>1.2290481122426353</v>
      </c>
      <c r="CK23" s="296">
        <f t="shared" si="49"/>
        <v>1.2464696565489266</v>
      </c>
      <c r="CL23" s="130">
        <f t="shared" si="21"/>
        <v>1.2464696565489266</v>
      </c>
      <c r="CM23" s="5">
        <f t="shared" si="50"/>
        <v>0</v>
      </c>
      <c r="CN23" s="5">
        <f t="shared" si="22"/>
        <v>0</v>
      </c>
      <c r="DE23" s="130" t="e">
        <f t="shared" si="23"/>
        <v>#NUM!</v>
      </c>
      <c r="DF23" s="130" t="e">
        <f t="shared" si="24"/>
        <v>#NUM!</v>
      </c>
      <c r="DG23" s="130" t="e">
        <f t="shared" si="51"/>
        <v>#NUM!</v>
      </c>
      <c r="DH23" s="130" t="e">
        <f t="shared" si="25"/>
        <v>#NUM!</v>
      </c>
      <c r="DJ23" s="130" t="e">
        <f t="shared" si="26"/>
        <v>#NUM!</v>
      </c>
      <c r="DK23" s="130" t="e">
        <f t="shared" si="27"/>
        <v>#NUM!</v>
      </c>
      <c r="DL23" s="130" t="e">
        <f t="shared" si="52"/>
        <v>#NUM!</v>
      </c>
      <c r="DM23" s="130" t="e">
        <f t="shared" si="62"/>
        <v>#NUM!</v>
      </c>
      <c r="DO23" s="130" t="e">
        <f t="shared" si="28"/>
        <v>#NUM!</v>
      </c>
      <c r="DP23" s="130" t="e">
        <f t="shared" si="29"/>
        <v>#NUM!</v>
      </c>
      <c r="DQ23" s="130" t="e">
        <f t="shared" si="53"/>
        <v>#NUM!</v>
      </c>
    </row>
    <row r="24" spans="2:121" hidden="1">
      <c r="B24" s="231">
        <v>18</v>
      </c>
      <c r="C24" s="280"/>
      <c r="D24" s="475"/>
      <c r="E24" s="318">
        <f t="shared" si="30"/>
        <v>40891</v>
      </c>
      <c r="F24" s="542">
        <f t="shared" si="66"/>
        <v>0</v>
      </c>
      <c r="G24" s="239"/>
      <c r="H24" s="685">
        <f t="shared" si="31"/>
        <v>0</v>
      </c>
      <c r="I24" s="240"/>
      <c r="J24" s="597">
        <f t="shared" si="32"/>
        <v>0</v>
      </c>
      <c r="K24" s="478">
        <f t="shared" si="33"/>
        <v>0</v>
      </c>
      <c r="L24" s="240"/>
      <c r="M24" s="235">
        <f t="shared" si="34"/>
        <v>0</v>
      </c>
      <c r="N24" s="479">
        <f t="shared" si="35"/>
        <v>0</v>
      </c>
      <c r="O24" s="234"/>
      <c r="P24" s="235">
        <f t="shared" si="36"/>
        <v>0</v>
      </c>
      <c r="Q24" s="651">
        <f t="shared" si="37"/>
        <v>0</v>
      </c>
      <c r="R24" s="479">
        <f>IF(J24&gt;0,IF(OR(ManualMode=FALSE,ISBLANK(S24)),'Pricing - Advanced'!$F$16*J24+'Pricing - Advanced'!$F$17,"N/A"),0)</f>
        <v>0</v>
      </c>
      <c r="S24" s="234"/>
      <c r="T24" s="235">
        <f t="shared" si="38"/>
        <v>0</v>
      </c>
      <c r="U24" s="599">
        <f>IF(OR(ManualMode=FALSE,ISBLANK(V24)),SUM(K24:L24)*'Pricing - Advanced'!$F$19+SUM(N24,O24)*'Pricing - Advanced'!$F$18,"N/A")</f>
        <v>0</v>
      </c>
      <c r="V24" s="234"/>
      <c r="W24" s="236">
        <f t="shared" si="39"/>
        <v>0</v>
      </c>
      <c r="X24" s="237">
        <f>'Pricing - Advanced'!$F$20*SUM(H24:I24)+IF(J24&gt;1,'Pricing - Advanced'!$F$21,0)</f>
        <v>0</v>
      </c>
      <c r="Y24" s="688">
        <f>IF(AND(FullTerm&gt;=B24,AB23&gt;0),AB23*'Pricing - Advanced'!$I$128,0)</f>
        <v>0</v>
      </c>
      <c r="Z24" s="233">
        <f t="shared" si="40"/>
        <v>0</v>
      </c>
      <c r="AA24" s="234"/>
      <c r="AB24" s="597">
        <f t="shared" si="61"/>
        <v>0</v>
      </c>
      <c r="AC24" s="236">
        <f t="shared" si="0"/>
        <v>0</v>
      </c>
      <c r="AF24" s="762" t="e">
        <f t="shared" si="41"/>
        <v>#N/A</v>
      </c>
      <c r="AG24" s="759" t="e">
        <f t="shared" si="1"/>
        <v>#N/A</v>
      </c>
      <c r="AH24" s="759">
        <f>IF(J24=0,0,J24-SUM($N$6:N24)-AB23)</f>
        <v>0</v>
      </c>
      <c r="AI24" s="759">
        <f t="shared" si="2"/>
        <v>0</v>
      </c>
      <c r="AJ24" s="760">
        <f t="shared" si="55"/>
        <v>3.0000000000000001E-3</v>
      </c>
      <c r="AK24" s="760">
        <f t="shared" si="56"/>
        <v>3.0000000000000001E-3</v>
      </c>
      <c r="AN24" s="1" t="b">
        <f t="shared" si="57"/>
        <v>1</v>
      </c>
      <c r="AQ24" s="15">
        <f>IF(J23&gt;1,IF(int_method=2,$AG$229*J23,$AG$229*'Pricing - Advanced'!$E$4),0)</f>
        <v>0</v>
      </c>
      <c r="AR24" s="5">
        <f t="shared" si="42"/>
        <v>0</v>
      </c>
      <c r="AS24" s="204">
        <f t="shared" si="58"/>
        <v>40891</v>
      </c>
      <c r="AT24" s="1">
        <f>IF($AT$4=FALSE,B24*'Pricing - Advanced'!$K$5,AT23+E24-E23)</f>
        <v>548</v>
      </c>
      <c r="AW24" s="603">
        <f t="shared" si="43"/>
        <v>0</v>
      </c>
      <c r="AX24" s="603">
        <f t="shared" si="3"/>
        <v>0</v>
      </c>
      <c r="AY24" s="603">
        <f t="shared" si="4"/>
        <v>0</v>
      </c>
      <c r="AZ24" s="603">
        <f t="shared" si="5"/>
        <v>0</v>
      </c>
      <c r="BA24" s="603">
        <f t="shared" si="44"/>
        <v>0</v>
      </c>
      <c r="BB24" s="603">
        <f t="shared" si="45"/>
        <v>0</v>
      </c>
      <c r="BC24" s="603">
        <f t="shared" si="6"/>
        <v>0</v>
      </c>
      <c r="BE24" s="157">
        <f t="shared" si="7"/>
        <v>18</v>
      </c>
      <c r="BF24" s="489">
        <f t="shared" si="46"/>
        <v>548</v>
      </c>
      <c r="BG24" s="146">
        <f t="shared" si="8"/>
        <v>0</v>
      </c>
      <c r="BH24" s="147">
        <f t="shared" si="9"/>
        <v>0</v>
      </c>
      <c r="BI24" s="154" t="e">
        <f t="shared" si="10"/>
        <v>#NUM!</v>
      </c>
      <c r="BJ24" s="277" t="e">
        <f t="shared" si="63"/>
        <v>#NUM!</v>
      </c>
      <c r="BK24" s="147" t="e">
        <f t="shared" si="64"/>
        <v>#NUM!</v>
      </c>
      <c r="BL24" s="132" t="e">
        <f t="shared" si="65"/>
        <v>#NUM!</v>
      </c>
      <c r="BN24" s="497">
        <f t="shared" si="11"/>
        <v>18</v>
      </c>
      <c r="BO24" s="497">
        <f t="shared" si="12"/>
        <v>548</v>
      </c>
      <c r="BP24" s="5">
        <f t="shared" si="13"/>
        <v>0</v>
      </c>
      <c r="BQ24" s="5">
        <f t="shared" si="14"/>
        <v>0</v>
      </c>
      <c r="BR24" s="499" t="e">
        <f t="shared" si="48"/>
        <v>#NUM!</v>
      </c>
      <c r="BS24" s="277" t="e">
        <f t="shared" si="60"/>
        <v>#NUM!</v>
      </c>
      <c r="BT24" s="5" t="e">
        <f t="shared" si="15"/>
        <v>#NUM!</v>
      </c>
      <c r="BU24" s="5" t="e">
        <f t="shared" si="16"/>
        <v>#NUM!</v>
      </c>
      <c r="BW24" s="5"/>
      <c r="BX24" s="5"/>
      <c r="BY24" s="5"/>
      <c r="BZ24" s="5"/>
      <c r="CA24" s="130"/>
      <c r="CB24" s="5"/>
      <c r="CC24" s="5" t="e">
        <f t="shared" si="17"/>
        <v>#DIV/0!</v>
      </c>
      <c r="CD24" s="5" t="e">
        <f t="shared" si="18"/>
        <v>#DIV/0!</v>
      </c>
      <c r="CE24" s="5"/>
      <c r="CI24" s="130">
        <f t="shared" si="19"/>
        <v>1.2437544771267781</v>
      </c>
      <c r="CJ24" s="130">
        <f t="shared" si="20"/>
        <v>1.243816378255713</v>
      </c>
      <c r="CK24" s="296">
        <f t="shared" si="49"/>
        <v>1.2627286859650442</v>
      </c>
      <c r="CL24" s="130">
        <f t="shared" si="21"/>
        <v>1.2627286859650442</v>
      </c>
      <c r="CM24" s="5">
        <f t="shared" si="50"/>
        <v>0</v>
      </c>
      <c r="CN24" s="5">
        <f t="shared" si="22"/>
        <v>0</v>
      </c>
      <c r="DE24" s="130" t="e">
        <f t="shared" si="23"/>
        <v>#NUM!</v>
      </c>
      <c r="DF24" s="130" t="e">
        <f t="shared" si="24"/>
        <v>#NUM!</v>
      </c>
      <c r="DG24" s="130" t="e">
        <f t="shared" si="51"/>
        <v>#NUM!</v>
      </c>
      <c r="DH24" s="130" t="e">
        <f t="shared" si="25"/>
        <v>#NUM!</v>
      </c>
      <c r="DJ24" s="130" t="e">
        <f t="shared" si="26"/>
        <v>#NUM!</v>
      </c>
      <c r="DK24" s="130" t="e">
        <f t="shared" si="27"/>
        <v>#NUM!</v>
      </c>
      <c r="DL24" s="130" t="e">
        <f t="shared" si="52"/>
        <v>#NUM!</v>
      </c>
      <c r="DM24" s="130" t="e">
        <f t="shared" si="62"/>
        <v>#NUM!</v>
      </c>
      <c r="DO24" s="130" t="e">
        <f t="shared" si="28"/>
        <v>#NUM!</v>
      </c>
      <c r="DP24" s="130" t="e">
        <f t="shared" si="29"/>
        <v>#NUM!</v>
      </c>
      <c r="DQ24" s="130" t="e">
        <f t="shared" si="53"/>
        <v>#NUM!</v>
      </c>
    </row>
    <row r="25" spans="2:121" hidden="1">
      <c r="B25" s="231">
        <v>19</v>
      </c>
      <c r="C25" s="280"/>
      <c r="D25" s="475"/>
      <c r="E25" s="318">
        <f t="shared" si="30"/>
        <v>40922</v>
      </c>
      <c r="F25" s="542">
        <f t="shared" si="66"/>
        <v>0</v>
      </c>
      <c r="G25" s="239"/>
      <c r="H25" s="685">
        <f t="shared" si="31"/>
        <v>0</v>
      </c>
      <c r="I25" s="240"/>
      <c r="J25" s="597">
        <f t="shared" si="32"/>
        <v>0</v>
      </c>
      <c r="K25" s="478">
        <f t="shared" si="33"/>
        <v>0</v>
      </c>
      <c r="L25" s="240"/>
      <c r="M25" s="235">
        <f t="shared" si="34"/>
        <v>0</v>
      </c>
      <c r="N25" s="479">
        <f t="shared" si="35"/>
        <v>0</v>
      </c>
      <c r="O25" s="234"/>
      <c r="P25" s="235">
        <f t="shared" si="36"/>
        <v>0</v>
      </c>
      <c r="Q25" s="651">
        <f t="shared" si="37"/>
        <v>0</v>
      </c>
      <c r="R25" s="479">
        <f>IF(J25&gt;0,IF(OR(ManualMode=FALSE,ISBLANK(S25)),'Pricing - Advanced'!$F$16*J25+'Pricing - Advanced'!$F$17,"N/A"),0)</f>
        <v>0</v>
      </c>
      <c r="S25" s="234"/>
      <c r="T25" s="235">
        <f t="shared" si="38"/>
        <v>0</v>
      </c>
      <c r="U25" s="599">
        <f>IF(OR(ManualMode=FALSE,ISBLANK(V25)),SUM(K25:L25)*'Pricing - Advanced'!$F$19+SUM(N25,O25)*'Pricing - Advanced'!$F$18,"N/A")</f>
        <v>0</v>
      </c>
      <c r="V25" s="234"/>
      <c r="W25" s="236">
        <f t="shared" si="39"/>
        <v>0</v>
      </c>
      <c r="X25" s="237">
        <f>'Pricing - Advanced'!$F$20*SUM(H25:I25)+IF(J25&gt;1,'Pricing - Advanced'!$F$21,0)</f>
        <v>0</v>
      </c>
      <c r="Y25" s="688">
        <f>IF(AND(FullTerm&gt;=B25,AB24&gt;0),AB24*'Pricing - Advanced'!$I$128,0)</f>
        <v>0</v>
      </c>
      <c r="Z25" s="233">
        <f t="shared" si="40"/>
        <v>0</v>
      </c>
      <c r="AA25" s="234"/>
      <c r="AB25" s="597">
        <f t="shared" si="61"/>
        <v>0</v>
      </c>
      <c r="AC25" s="236">
        <f t="shared" si="0"/>
        <v>0</v>
      </c>
      <c r="AF25" s="762" t="e">
        <f t="shared" si="41"/>
        <v>#N/A</v>
      </c>
      <c r="AG25" s="759" t="e">
        <f t="shared" si="1"/>
        <v>#N/A</v>
      </c>
      <c r="AH25" s="759">
        <f>IF(J25=0,0,J25-SUM($N$6:N25)-AB24)</f>
        <v>0</v>
      </c>
      <c r="AI25" s="759">
        <f t="shared" si="2"/>
        <v>0</v>
      </c>
      <c r="AJ25" s="760">
        <f t="shared" si="55"/>
        <v>3.0000000000000001E-3</v>
      </c>
      <c r="AK25" s="760">
        <f t="shared" si="56"/>
        <v>3.0000000000000001E-3</v>
      </c>
      <c r="AN25" s="1" t="b">
        <f t="shared" si="57"/>
        <v>1</v>
      </c>
      <c r="AQ25" s="15">
        <f>IF(J24&gt;1,IF(int_method=2,$AG$229*J24,$AG$229*'Pricing - Advanced'!$E$4),0)</f>
        <v>0</v>
      </c>
      <c r="AR25" s="5">
        <f t="shared" si="42"/>
        <v>0</v>
      </c>
      <c r="AS25" s="204">
        <f t="shared" si="58"/>
        <v>40922</v>
      </c>
      <c r="AT25" s="1">
        <f>IF($AT$4=FALSE,B25*'Pricing - Advanced'!$K$5,AT24+E25-E24)</f>
        <v>579</v>
      </c>
      <c r="AW25" s="603">
        <f t="shared" si="43"/>
        <v>0</v>
      </c>
      <c r="AX25" s="603">
        <f t="shared" si="3"/>
        <v>0</v>
      </c>
      <c r="AY25" s="603">
        <f t="shared" si="4"/>
        <v>0</v>
      </c>
      <c r="AZ25" s="603">
        <f t="shared" si="5"/>
        <v>0</v>
      </c>
      <c r="BA25" s="603">
        <f t="shared" si="44"/>
        <v>0</v>
      </c>
      <c r="BB25" s="603">
        <f t="shared" si="45"/>
        <v>0</v>
      </c>
      <c r="BC25" s="603">
        <f t="shared" si="6"/>
        <v>0</v>
      </c>
      <c r="BE25" s="157">
        <f t="shared" si="7"/>
        <v>19</v>
      </c>
      <c r="BF25" s="489">
        <f t="shared" si="46"/>
        <v>579</v>
      </c>
      <c r="BG25" s="146">
        <f t="shared" si="8"/>
        <v>0</v>
      </c>
      <c r="BH25" s="147">
        <f t="shared" si="9"/>
        <v>0</v>
      </c>
      <c r="BI25" s="154" t="e">
        <f t="shared" si="10"/>
        <v>#NUM!</v>
      </c>
      <c r="BJ25" s="277" t="e">
        <f t="shared" si="63"/>
        <v>#NUM!</v>
      </c>
      <c r="BK25" s="147" t="e">
        <f t="shared" si="64"/>
        <v>#NUM!</v>
      </c>
      <c r="BL25" s="132" t="e">
        <f t="shared" si="65"/>
        <v>#NUM!</v>
      </c>
      <c r="BN25" s="497">
        <f t="shared" si="11"/>
        <v>19</v>
      </c>
      <c r="BO25" s="497">
        <f t="shared" si="12"/>
        <v>579</v>
      </c>
      <c r="BP25" s="5">
        <f t="shared" si="13"/>
        <v>0</v>
      </c>
      <c r="BQ25" s="5">
        <f t="shared" si="14"/>
        <v>0</v>
      </c>
      <c r="BR25" s="499" t="e">
        <f t="shared" si="48"/>
        <v>#NUM!</v>
      </c>
      <c r="BS25" s="277" t="e">
        <f t="shared" si="60"/>
        <v>#NUM!</v>
      </c>
      <c r="BT25" s="5" t="e">
        <f t="shared" si="15"/>
        <v>#NUM!</v>
      </c>
      <c r="BU25" s="5" t="e">
        <f t="shared" si="16"/>
        <v>#NUM!</v>
      </c>
      <c r="BW25" s="5"/>
      <c r="BX25" s="5"/>
      <c r="BY25" s="5"/>
      <c r="BZ25" s="5"/>
      <c r="CA25" s="130"/>
      <c r="CB25" s="5"/>
      <c r="CC25" s="5" t="e">
        <f t="shared" si="17"/>
        <v>#DIV/0!</v>
      </c>
      <c r="CD25" s="5" t="e">
        <f t="shared" si="18"/>
        <v>#DIV/0!</v>
      </c>
      <c r="CE25" s="5"/>
      <c r="CI25" s="130">
        <f t="shared" si="19"/>
        <v>1.2589187260163679</v>
      </c>
      <c r="CJ25" s="130">
        <f t="shared" si="20"/>
        <v>1.2592633717674273</v>
      </c>
      <c r="CK25" s="296">
        <f t="shared" si="49"/>
        <v>1.2791997991941655</v>
      </c>
      <c r="CL25" s="130">
        <f t="shared" si="21"/>
        <v>1.2791997991941655</v>
      </c>
      <c r="CM25" s="5">
        <f t="shared" si="50"/>
        <v>0</v>
      </c>
      <c r="CN25" s="5">
        <f t="shared" si="22"/>
        <v>0</v>
      </c>
      <c r="DE25" s="130" t="e">
        <f t="shared" si="23"/>
        <v>#NUM!</v>
      </c>
      <c r="DF25" s="130" t="e">
        <f t="shared" si="24"/>
        <v>#NUM!</v>
      </c>
      <c r="DG25" s="130" t="e">
        <f t="shared" si="51"/>
        <v>#NUM!</v>
      </c>
      <c r="DH25" s="130" t="e">
        <f t="shared" si="25"/>
        <v>#NUM!</v>
      </c>
      <c r="DJ25" s="130" t="e">
        <f t="shared" si="26"/>
        <v>#NUM!</v>
      </c>
      <c r="DK25" s="130" t="e">
        <f t="shared" si="27"/>
        <v>#NUM!</v>
      </c>
      <c r="DL25" s="130" t="e">
        <f t="shared" si="52"/>
        <v>#NUM!</v>
      </c>
      <c r="DM25" s="130" t="e">
        <f t="shared" si="62"/>
        <v>#NUM!</v>
      </c>
      <c r="DO25" s="130" t="e">
        <f t="shared" si="28"/>
        <v>#NUM!</v>
      </c>
      <c r="DP25" s="130" t="e">
        <f t="shared" si="29"/>
        <v>#NUM!</v>
      </c>
      <c r="DQ25" s="130" t="e">
        <f t="shared" si="53"/>
        <v>#NUM!</v>
      </c>
    </row>
    <row r="26" spans="2:121" hidden="1">
      <c r="B26" s="231">
        <v>20</v>
      </c>
      <c r="C26" s="280"/>
      <c r="D26" s="475"/>
      <c r="E26" s="318">
        <f t="shared" si="30"/>
        <v>40953</v>
      </c>
      <c r="F26" s="542">
        <f t="shared" si="66"/>
        <v>0</v>
      </c>
      <c r="G26" s="239"/>
      <c r="H26" s="685">
        <f t="shared" si="31"/>
        <v>0</v>
      </c>
      <c r="I26" s="240"/>
      <c r="J26" s="597">
        <f t="shared" si="32"/>
        <v>0</v>
      </c>
      <c r="K26" s="478">
        <f t="shared" si="33"/>
        <v>0</v>
      </c>
      <c r="L26" s="240"/>
      <c r="M26" s="235">
        <f t="shared" si="34"/>
        <v>0</v>
      </c>
      <c r="N26" s="479">
        <f t="shared" si="35"/>
        <v>0</v>
      </c>
      <c r="O26" s="234"/>
      <c r="P26" s="235">
        <f t="shared" si="36"/>
        <v>0</v>
      </c>
      <c r="Q26" s="651">
        <f t="shared" si="37"/>
        <v>0</v>
      </c>
      <c r="R26" s="479">
        <f>IF(J26&gt;0,IF(OR(ManualMode=FALSE,ISBLANK(S26)),'Pricing - Advanced'!$F$16*J26+'Pricing - Advanced'!$F$17,"N/A"),0)</f>
        <v>0</v>
      </c>
      <c r="S26" s="234"/>
      <c r="T26" s="235">
        <f t="shared" si="38"/>
        <v>0</v>
      </c>
      <c r="U26" s="599">
        <f>IF(OR(ManualMode=FALSE,ISBLANK(V26)),SUM(K26:L26)*'Pricing - Advanced'!$F$19+SUM(N26,O26)*'Pricing - Advanced'!$F$18,"N/A")</f>
        <v>0</v>
      </c>
      <c r="V26" s="234"/>
      <c r="W26" s="236">
        <f t="shared" si="39"/>
        <v>0</v>
      </c>
      <c r="X26" s="237">
        <f>'Pricing - Advanced'!$F$20*SUM(H26:I26)+IF(J26&gt;1,'Pricing - Advanced'!$F$21,0)</f>
        <v>0</v>
      </c>
      <c r="Y26" s="688">
        <f>IF(AND(FullTerm&gt;=B26,AB25&gt;0),AB25*'Pricing - Advanced'!$I$128,0)</f>
        <v>0</v>
      </c>
      <c r="Z26" s="233">
        <f t="shared" si="40"/>
        <v>0</v>
      </c>
      <c r="AA26" s="234"/>
      <c r="AB26" s="597">
        <f t="shared" si="61"/>
        <v>0</v>
      </c>
      <c r="AC26" s="236">
        <f t="shared" si="0"/>
        <v>0</v>
      </c>
      <c r="AF26" s="762" t="e">
        <f t="shared" si="41"/>
        <v>#N/A</v>
      </c>
      <c r="AG26" s="759" t="e">
        <f t="shared" si="1"/>
        <v>#N/A</v>
      </c>
      <c r="AH26" s="759">
        <f>IF(J26=0,0,J26-SUM($N$6:N26)-AB25)</f>
        <v>0</v>
      </c>
      <c r="AI26" s="759">
        <f t="shared" si="2"/>
        <v>0</v>
      </c>
      <c r="AJ26" s="760">
        <f t="shared" si="55"/>
        <v>3.0000000000000001E-3</v>
      </c>
      <c r="AK26" s="760">
        <f t="shared" si="56"/>
        <v>3.0000000000000001E-3</v>
      </c>
      <c r="AN26" s="1" t="b">
        <f t="shared" si="57"/>
        <v>1</v>
      </c>
      <c r="AQ26" s="15">
        <f>IF(J25&gt;1,IF(int_method=2,$AG$229*J25,$AG$229*'Pricing - Advanced'!$E$4),0)</f>
        <v>0</v>
      </c>
      <c r="AR26" s="5">
        <f t="shared" si="42"/>
        <v>0</v>
      </c>
      <c r="AS26" s="204">
        <f t="shared" si="58"/>
        <v>40953</v>
      </c>
      <c r="AT26" s="1">
        <f>IF($AT$4=FALSE,B26*'Pricing - Advanced'!$K$5,AT25+E26-E25)</f>
        <v>610</v>
      </c>
      <c r="AW26" s="603">
        <f t="shared" si="43"/>
        <v>0</v>
      </c>
      <c r="AX26" s="603">
        <f t="shared" si="3"/>
        <v>0</v>
      </c>
      <c r="AY26" s="603">
        <f t="shared" si="4"/>
        <v>0</v>
      </c>
      <c r="AZ26" s="603">
        <f t="shared" si="5"/>
        <v>0</v>
      </c>
      <c r="BA26" s="603">
        <f t="shared" si="44"/>
        <v>0</v>
      </c>
      <c r="BB26" s="603">
        <f t="shared" si="45"/>
        <v>0</v>
      </c>
      <c r="BC26" s="603">
        <f t="shared" si="6"/>
        <v>0</v>
      </c>
      <c r="BE26" s="157">
        <f t="shared" si="7"/>
        <v>20</v>
      </c>
      <c r="BF26" s="489">
        <f t="shared" si="46"/>
        <v>610</v>
      </c>
      <c r="BG26" s="146">
        <f t="shared" si="8"/>
        <v>0</v>
      </c>
      <c r="BH26" s="147">
        <f t="shared" si="9"/>
        <v>0</v>
      </c>
      <c r="BI26" s="154" t="e">
        <f t="shared" si="10"/>
        <v>#NUM!</v>
      </c>
      <c r="BJ26" s="277" t="e">
        <f t="shared" si="63"/>
        <v>#NUM!</v>
      </c>
      <c r="BK26" s="147" t="e">
        <f t="shared" si="64"/>
        <v>#NUM!</v>
      </c>
      <c r="BL26" s="132" t="e">
        <f t="shared" si="65"/>
        <v>#NUM!</v>
      </c>
      <c r="BN26" s="497">
        <f t="shared" si="11"/>
        <v>20</v>
      </c>
      <c r="BO26" s="497">
        <f t="shared" si="12"/>
        <v>610</v>
      </c>
      <c r="BP26" s="5">
        <f t="shared" si="13"/>
        <v>0</v>
      </c>
      <c r="BQ26" s="5">
        <f t="shared" si="14"/>
        <v>0</v>
      </c>
      <c r="BR26" s="499" t="e">
        <f t="shared" si="48"/>
        <v>#NUM!</v>
      </c>
      <c r="BS26" s="277" t="e">
        <f t="shared" si="60"/>
        <v>#NUM!</v>
      </c>
      <c r="BT26" s="5" t="e">
        <f t="shared" si="15"/>
        <v>#NUM!</v>
      </c>
      <c r="BU26" s="5" t="e">
        <f t="shared" si="16"/>
        <v>#NUM!</v>
      </c>
      <c r="BW26" s="5"/>
      <c r="BX26" s="5"/>
      <c r="BY26" s="5"/>
      <c r="BZ26" s="5"/>
      <c r="CA26" s="130"/>
      <c r="CB26" s="5"/>
      <c r="CC26" s="5" t="e">
        <f t="shared" si="17"/>
        <v>#DIV/0!</v>
      </c>
      <c r="CD26" s="5" t="e">
        <f t="shared" si="18"/>
        <v>#DIV/0!</v>
      </c>
      <c r="CE26" s="5"/>
      <c r="CI26" s="130">
        <f t="shared" si="19"/>
        <v>1.2742678622359049</v>
      </c>
      <c r="CJ26" s="130">
        <f t="shared" si="20"/>
        <v>1.274902201962371</v>
      </c>
      <c r="CK26" s="296">
        <f t="shared" si="49"/>
        <v>1.2958857626710256</v>
      </c>
      <c r="CL26" s="130">
        <f t="shared" si="21"/>
        <v>1.2958857626710256</v>
      </c>
      <c r="CM26" s="5">
        <f t="shared" si="50"/>
        <v>0</v>
      </c>
      <c r="CN26" s="5">
        <f t="shared" si="22"/>
        <v>0</v>
      </c>
      <c r="DE26" s="130" t="e">
        <f t="shared" si="23"/>
        <v>#NUM!</v>
      </c>
      <c r="DF26" s="130" t="e">
        <f t="shared" si="24"/>
        <v>#NUM!</v>
      </c>
      <c r="DG26" s="130" t="e">
        <f t="shared" si="51"/>
        <v>#NUM!</v>
      </c>
      <c r="DH26" s="130" t="e">
        <f t="shared" si="25"/>
        <v>#NUM!</v>
      </c>
      <c r="DJ26" s="130" t="e">
        <f t="shared" si="26"/>
        <v>#NUM!</v>
      </c>
      <c r="DK26" s="130" t="e">
        <f t="shared" si="27"/>
        <v>#NUM!</v>
      </c>
      <c r="DL26" s="130" t="e">
        <f t="shared" si="52"/>
        <v>#NUM!</v>
      </c>
      <c r="DM26" s="130" t="e">
        <f t="shared" si="62"/>
        <v>#NUM!</v>
      </c>
      <c r="DO26" s="130" t="e">
        <f t="shared" si="28"/>
        <v>#NUM!</v>
      </c>
      <c r="DP26" s="130" t="e">
        <f t="shared" si="29"/>
        <v>#NUM!</v>
      </c>
      <c r="DQ26" s="130" t="e">
        <f t="shared" si="53"/>
        <v>#NUM!</v>
      </c>
    </row>
    <row r="27" spans="2:121" hidden="1">
      <c r="B27" s="231">
        <v>21</v>
      </c>
      <c r="C27" s="280"/>
      <c r="D27" s="475"/>
      <c r="E27" s="318">
        <f t="shared" si="30"/>
        <v>40982</v>
      </c>
      <c r="F27" s="542">
        <f t="shared" si="66"/>
        <v>0</v>
      </c>
      <c r="G27" s="239"/>
      <c r="H27" s="685">
        <f t="shared" si="31"/>
        <v>0</v>
      </c>
      <c r="I27" s="240"/>
      <c r="J27" s="597">
        <f t="shared" si="32"/>
        <v>0</v>
      </c>
      <c r="K27" s="478">
        <f t="shared" si="33"/>
        <v>0</v>
      </c>
      <c r="L27" s="240"/>
      <c r="M27" s="235">
        <f t="shared" si="34"/>
        <v>0</v>
      </c>
      <c r="N27" s="479">
        <f t="shared" si="35"/>
        <v>0</v>
      </c>
      <c r="O27" s="234"/>
      <c r="P27" s="235">
        <f t="shared" si="36"/>
        <v>0</v>
      </c>
      <c r="Q27" s="651">
        <f t="shared" si="37"/>
        <v>0</v>
      </c>
      <c r="R27" s="479">
        <f>IF(J27&gt;0,IF(OR(ManualMode=FALSE,ISBLANK(S27)),'Pricing - Advanced'!$F$16*J27+'Pricing - Advanced'!$F$17,"N/A"),0)</f>
        <v>0</v>
      </c>
      <c r="S27" s="234"/>
      <c r="T27" s="235">
        <f t="shared" si="38"/>
        <v>0</v>
      </c>
      <c r="U27" s="599">
        <f>IF(OR(ManualMode=FALSE,ISBLANK(V27)),SUM(K27:L27)*'Pricing - Advanced'!$F$19+SUM(N27,O27)*'Pricing - Advanced'!$F$18,"N/A")</f>
        <v>0</v>
      </c>
      <c r="V27" s="234"/>
      <c r="W27" s="236">
        <f t="shared" si="39"/>
        <v>0</v>
      </c>
      <c r="X27" s="237">
        <f>'Pricing - Advanced'!$F$20*SUM(H27:I27)+IF(J27&gt;1,'Pricing - Advanced'!$F$21,0)</f>
        <v>0</v>
      </c>
      <c r="Y27" s="688">
        <f>IF(AND(FullTerm&gt;=B27,AB26&gt;0),AB26*'Pricing - Advanced'!$I$128,0)</f>
        <v>0</v>
      </c>
      <c r="Z27" s="233">
        <f t="shared" si="40"/>
        <v>0</v>
      </c>
      <c r="AA27" s="234"/>
      <c r="AB27" s="597">
        <f t="shared" si="61"/>
        <v>0</v>
      </c>
      <c r="AC27" s="236">
        <f t="shared" si="0"/>
        <v>0</v>
      </c>
      <c r="AF27" s="762" t="e">
        <f t="shared" si="41"/>
        <v>#N/A</v>
      </c>
      <c r="AG27" s="759" t="e">
        <f t="shared" si="1"/>
        <v>#N/A</v>
      </c>
      <c r="AH27" s="759">
        <f>IF(J27=0,0,J27-SUM($N$6:N27)-AB26)</f>
        <v>0</v>
      </c>
      <c r="AI27" s="759">
        <f t="shared" si="2"/>
        <v>0</v>
      </c>
      <c r="AJ27" s="760">
        <f t="shared" si="55"/>
        <v>3.0000000000000001E-3</v>
      </c>
      <c r="AK27" s="760">
        <f t="shared" si="56"/>
        <v>3.0000000000000001E-3</v>
      </c>
      <c r="AN27" s="1" t="b">
        <f t="shared" si="57"/>
        <v>1</v>
      </c>
      <c r="AQ27" s="15">
        <f>IF(J26&gt;1,IF(int_method=2,$AG$229*J26,$AG$229*'Pricing - Advanced'!$E$4),0)</f>
        <v>0</v>
      </c>
      <c r="AR27" s="5">
        <f t="shared" si="42"/>
        <v>0</v>
      </c>
      <c r="AS27" s="204">
        <f t="shared" si="58"/>
        <v>40982</v>
      </c>
      <c r="AT27" s="1">
        <f>IF($AT$4=FALSE,B27*'Pricing - Advanced'!$K$5,AT26+E27-E26)</f>
        <v>639</v>
      </c>
      <c r="AW27" s="603">
        <f t="shared" si="43"/>
        <v>0</v>
      </c>
      <c r="AX27" s="603">
        <f t="shared" si="3"/>
        <v>0</v>
      </c>
      <c r="AY27" s="603">
        <f t="shared" si="4"/>
        <v>0</v>
      </c>
      <c r="AZ27" s="603">
        <f t="shared" si="5"/>
        <v>0</v>
      </c>
      <c r="BA27" s="603">
        <f t="shared" si="44"/>
        <v>0</v>
      </c>
      <c r="BB27" s="603">
        <f t="shared" si="45"/>
        <v>0</v>
      </c>
      <c r="BC27" s="603">
        <f t="shared" si="6"/>
        <v>0</v>
      </c>
      <c r="BE27" s="157">
        <f t="shared" si="7"/>
        <v>21</v>
      </c>
      <c r="BF27" s="489">
        <f t="shared" si="46"/>
        <v>639</v>
      </c>
      <c r="BG27" s="146">
        <f t="shared" si="8"/>
        <v>0</v>
      </c>
      <c r="BH27" s="147">
        <f t="shared" si="9"/>
        <v>0</v>
      </c>
      <c r="BI27" s="154" t="e">
        <f t="shared" si="10"/>
        <v>#NUM!</v>
      </c>
      <c r="BJ27" s="277" t="e">
        <f t="shared" si="63"/>
        <v>#NUM!</v>
      </c>
      <c r="BK27" s="147" t="e">
        <f t="shared" si="64"/>
        <v>#NUM!</v>
      </c>
      <c r="BL27" s="132" t="e">
        <f t="shared" si="65"/>
        <v>#NUM!</v>
      </c>
      <c r="BN27" s="497">
        <f t="shared" si="11"/>
        <v>21</v>
      </c>
      <c r="BO27" s="497">
        <f t="shared" si="12"/>
        <v>639</v>
      </c>
      <c r="BP27" s="5">
        <f t="shared" si="13"/>
        <v>0</v>
      </c>
      <c r="BQ27" s="5">
        <f t="shared" si="14"/>
        <v>0</v>
      </c>
      <c r="BR27" s="499" t="e">
        <f t="shared" si="48"/>
        <v>#NUM!</v>
      </c>
      <c r="BS27" s="277" t="e">
        <f t="shared" si="60"/>
        <v>#NUM!</v>
      </c>
      <c r="BT27" s="5" t="e">
        <f t="shared" si="15"/>
        <v>#NUM!</v>
      </c>
      <c r="BU27" s="5" t="e">
        <f t="shared" si="16"/>
        <v>#NUM!</v>
      </c>
      <c r="BW27" s="5"/>
      <c r="BX27" s="5"/>
      <c r="BY27" s="5"/>
      <c r="BZ27" s="5"/>
      <c r="CA27" s="130"/>
      <c r="CB27" s="5"/>
      <c r="CC27" s="5" t="e">
        <f t="shared" si="17"/>
        <v>#DIV/0!</v>
      </c>
      <c r="CD27" s="5" t="e">
        <f t="shared" si="18"/>
        <v>#DIV/0!</v>
      </c>
      <c r="CE27" s="5"/>
      <c r="CI27" s="130">
        <f t="shared" si="19"/>
        <v>1.2898041399903297</v>
      </c>
      <c r="CJ27" s="130">
        <f t="shared" si="20"/>
        <v>1.2897078564788693</v>
      </c>
      <c r="CK27" s="296">
        <f t="shared" si="49"/>
        <v>1.3127893789159102</v>
      </c>
      <c r="CL27" s="130">
        <f t="shared" si="21"/>
        <v>1.3127893789159102</v>
      </c>
      <c r="CM27" s="5">
        <f t="shared" si="50"/>
        <v>0</v>
      </c>
      <c r="CN27" s="5">
        <f t="shared" si="22"/>
        <v>0</v>
      </c>
      <c r="DE27" s="130" t="e">
        <f t="shared" si="23"/>
        <v>#NUM!</v>
      </c>
      <c r="DF27" s="130" t="e">
        <f t="shared" si="24"/>
        <v>#NUM!</v>
      </c>
      <c r="DG27" s="130" t="e">
        <f t="shared" si="51"/>
        <v>#NUM!</v>
      </c>
      <c r="DH27" s="130" t="e">
        <f t="shared" si="25"/>
        <v>#NUM!</v>
      </c>
      <c r="DJ27" s="130" t="e">
        <f t="shared" si="26"/>
        <v>#NUM!</v>
      </c>
      <c r="DK27" s="130" t="e">
        <f t="shared" si="27"/>
        <v>#NUM!</v>
      </c>
      <c r="DL27" s="130" t="e">
        <f t="shared" si="52"/>
        <v>#NUM!</v>
      </c>
      <c r="DM27" s="130" t="e">
        <f t="shared" si="62"/>
        <v>#NUM!</v>
      </c>
      <c r="DO27" s="130" t="e">
        <f t="shared" si="28"/>
        <v>#NUM!</v>
      </c>
      <c r="DP27" s="130" t="e">
        <f t="shared" si="29"/>
        <v>#NUM!</v>
      </c>
      <c r="DQ27" s="130" t="e">
        <f t="shared" si="53"/>
        <v>#NUM!</v>
      </c>
    </row>
    <row r="28" spans="2:121" hidden="1">
      <c r="B28" s="231">
        <v>22</v>
      </c>
      <c r="C28" s="280"/>
      <c r="D28" s="475"/>
      <c r="E28" s="318">
        <f t="shared" si="30"/>
        <v>41013</v>
      </c>
      <c r="F28" s="542">
        <f t="shared" si="66"/>
        <v>0</v>
      </c>
      <c r="G28" s="239"/>
      <c r="H28" s="685">
        <f t="shared" si="31"/>
        <v>0</v>
      </c>
      <c r="I28" s="240"/>
      <c r="J28" s="597">
        <f t="shared" si="32"/>
        <v>0</v>
      </c>
      <c r="K28" s="478">
        <f t="shared" si="33"/>
        <v>0</v>
      </c>
      <c r="L28" s="240"/>
      <c r="M28" s="235">
        <f t="shared" si="34"/>
        <v>0</v>
      </c>
      <c r="N28" s="479">
        <f t="shared" si="35"/>
        <v>0</v>
      </c>
      <c r="O28" s="234"/>
      <c r="P28" s="235">
        <f t="shared" si="36"/>
        <v>0</v>
      </c>
      <c r="Q28" s="651">
        <f t="shared" si="37"/>
        <v>0</v>
      </c>
      <c r="R28" s="479">
        <f>IF(J28&gt;0,IF(OR(ManualMode=FALSE,ISBLANK(S28)),'Pricing - Advanced'!$F$16*J28+'Pricing - Advanced'!$F$17,"N/A"),0)</f>
        <v>0</v>
      </c>
      <c r="S28" s="234"/>
      <c r="T28" s="235">
        <f t="shared" si="38"/>
        <v>0</v>
      </c>
      <c r="U28" s="599">
        <f>IF(OR(ManualMode=FALSE,ISBLANK(V28)),SUM(K28:L28)*'Pricing - Advanced'!$F$19+SUM(N28,O28)*'Pricing - Advanced'!$F$18,"N/A")</f>
        <v>0</v>
      </c>
      <c r="V28" s="234"/>
      <c r="W28" s="236">
        <f t="shared" si="39"/>
        <v>0</v>
      </c>
      <c r="X28" s="237">
        <f>'Pricing - Advanced'!$F$20*SUM(H28:I28)+IF(J28&gt;1,'Pricing - Advanced'!$F$21,0)</f>
        <v>0</v>
      </c>
      <c r="Y28" s="688">
        <f>IF(AND(FullTerm&gt;=B28,AB27&gt;0),AB27*'Pricing - Advanced'!$I$128,0)</f>
        <v>0</v>
      </c>
      <c r="Z28" s="233">
        <f t="shared" si="40"/>
        <v>0</v>
      </c>
      <c r="AA28" s="234"/>
      <c r="AB28" s="597">
        <f t="shared" si="61"/>
        <v>0</v>
      </c>
      <c r="AC28" s="236">
        <f t="shared" si="0"/>
        <v>0</v>
      </c>
      <c r="AF28" s="762" t="e">
        <f t="shared" si="41"/>
        <v>#N/A</v>
      </c>
      <c r="AG28" s="759" t="e">
        <f t="shared" si="1"/>
        <v>#N/A</v>
      </c>
      <c r="AH28" s="759">
        <f>IF(J28=0,0,J28-SUM($N$6:N28)-AB27)</f>
        <v>0</v>
      </c>
      <c r="AI28" s="759">
        <f t="shared" si="2"/>
        <v>0</v>
      </c>
      <c r="AJ28" s="760">
        <f t="shared" si="55"/>
        <v>3.0000000000000001E-3</v>
      </c>
      <c r="AK28" s="760">
        <f t="shared" si="56"/>
        <v>3.0000000000000001E-3</v>
      </c>
      <c r="AN28" s="1" t="b">
        <f t="shared" si="57"/>
        <v>1</v>
      </c>
      <c r="AQ28" s="15">
        <f>IF(J27&gt;1,IF(int_method=2,$AG$229*J27,$AG$229*'Pricing - Advanced'!$E$4),0)</f>
        <v>0</v>
      </c>
      <c r="AR28" s="5">
        <f t="shared" si="42"/>
        <v>0</v>
      </c>
      <c r="AS28" s="204">
        <f t="shared" si="58"/>
        <v>41013</v>
      </c>
      <c r="AT28" s="1">
        <f>IF($AT$4=FALSE,B28*'Pricing - Advanced'!$K$5,AT27+E28-E27)</f>
        <v>670</v>
      </c>
      <c r="AW28" s="603">
        <f t="shared" si="43"/>
        <v>0</v>
      </c>
      <c r="AX28" s="603">
        <f t="shared" si="3"/>
        <v>0</v>
      </c>
      <c r="AY28" s="603">
        <f t="shared" si="4"/>
        <v>0</v>
      </c>
      <c r="AZ28" s="603">
        <f t="shared" si="5"/>
        <v>0</v>
      </c>
      <c r="BA28" s="603">
        <f t="shared" si="44"/>
        <v>0</v>
      </c>
      <c r="BB28" s="603">
        <f t="shared" si="45"/>
        <v>0</v>
      </c>
      <c r="BC28" s="603">
        <f t="shared" si="6"/>
        <v>0</v>
      </c>
      <c r="BE28" s="157">
        <f t="shared" si="7"/>
        <v>22</v>
      </c>
      <c r="BF28" s="489">
        <f t="shared" si="46"/>
        <v>670</v>
      </c>
      <c r="BG28" s="146">
        <f t="shared" si="8"/>
        <v>0</v>
      </c>
      <c r="BH28" s="147">
        <f t="shared" si="9"/>
        <v>0</v>
      </c>
      <c r="BI28" s="154" t="e">
        <f t="shared" si="10"/>
        <v>#NUM!</v>
      </c>
      <c r="BJ28" s="277" t="e">
        <f t="shared" si="63"/>
        <v>#NUM!</v>
      </c>
      <c r="BK28" s="147" t="e">
        <f t="shared" si="64"/>
        <v>#NUM!</v>
      </c>
      <c r="BL28" s="132" t="e">
        <f t="shared" si="65"/>
        <v>#NUM!</v>
      </c>
      <c r="BN28" s="497">
        <f t="shared" si="11"/>
        <v>22</v>
      </c>
      <c r="BO28" s="497">
        <f t="shared" si="12"/>
        <v>670</v>
      </c>
      <c r="BP28" s="5">
        <f t="shared" si="13"/>
        <v>0</v>
      </c>
      <c r="BQ28" s="5">
        <f t="shared" si="14"/>
        <v>0</v>
      </c>
      <c r="BR28" s="499" t="e">
        <f t="shared" si="48"/>
        <v>#NUM!</v>
      </c>
      <c r="BS28" s="277" t="e">
        <f t="shared" si="60"/>
        <v>#NUM!</v>
      </c>
      <c r="BT28" s="5" t="e">
        <f t="shared" si="15"/>
        <v>#NUM!</v>
      </c>
      <c r="BU28" s="5" t="e">
        <f t="shared" si="16"/>
        <v>#NUM!</v>
      </c>
      <c r="BW28" s="5"/>
      <c r="BX28" s="5"/>
      <c r="BY28" s="5"/>
      <c r="BZ28" s="5"/>
      <c r="CA28" s="130"/>
      <c r="CB28" s="5"/>
      <c r="CC28" s="5" t="e">
        <f t="shared" si="17"/>
        <v>#DIV/0!</v>
      </c>
      <c r="CD28" s="5" t="e">
        <f t="shared" si="18"/>
        <v>#DIV/0!</v>
      </c>
      <c r="CE28" s="5"/>
      <c r="CI28" s="130">
        <f t="shared" si="19"/>
        <v>1.3055298409685647</v>
      </c>
      <c r="CJ28" s="130">
        <f t="shared" si="20"/>
        <v>1.3057247776573588</v>
      </c>
      <c r="CK28" s="296">
        <f t="shared" si="49"/>
        <v>1.3299134870053579</v>
      </c>
      <c r="CL28" s="130">
        <f t="shared" si="21"/>
        <v>1.3299134870053579</v>
      </c>
      <c r="CM28" s="5">
        <f t="shared" si="50"/>
        <v>0</v>
      </c>
      <c r="CN28" s="5">
        <f t="shared" si="22"/>
        <v>0</v>
      </c>
      <c r="DE28" s="130" t="e">
        <f t="shared" si="23"/>
        <v>#NUM!</v>
      </c>
      <c r="DF28" s="130" t="e">
        <f t="shared" si="24"/>
        <v>#NUM!</v>
      </c>
      <c r="DG28" s="130" t="e">
        <f t="shared" si="51"/>
        <v>#NUM!</v>
      </c>
      <c r="DH28" s="130" t="e">
        <f t="shared" si="25"/>
        <v>#NUM!</v>
      </c>
      <c r="DJ28" s="130" t="e">
        <f t="shared" si="26"/>
        <v>#NUM!</v>
      </c>
      <c r="DK28" s="130" t="e">
        <f t="shared" si="27"/>
        <v>#NUM!</v>
      </c>
      <c r="DL28" s="130" t="e">
        <f t="shared" si="52"/>
        <v>#NUM!</v>
      </c>
      <c r="DM28" s="130" t="e">
        <f t="shared" si="62"/>
        <v>#NUM!</v>
      </c>
      <c r="DO28" s="130" t="e">
        <f t="shared" si="28"/>
        <v>#NUM!</v>
      </c>
      <c r="DP28" s="130" t="e">
        <f t="shared" si="29"/>
        <v>#NUM!</v>
      </c>
      <c r="DQ28" s="130" t="e">
        <f t="shared" si="53"/>
        <v>#NUM!</v>
      </c>
    </row>
    <row r="29" spans="2:121" hidden="1">
      <c r="B29" s="231">
        <v>23</v>
      </c>
      <c r="C29" s="280"/>
      <c r="D29" s="475"/>
      <c r="E29" s="318">
        <f t="shared" si="30"/>
        <v>41043</v>
      </c>
      <c r="F29" s="542">
        <f t="shared" si="66"/>
        <v>0</v>
      </c>
      <c r="G29" s="239"/>
      <c r="H29" s="685">
        <f t="shared" si="31"/>
        <v>0</v>
      </c>
      <c r="I29" s="240"/>
      <c r="J29" s="597">
        <f t="shared" si="32"/>
        <v>0</v>
      </c>
      <c r="K29" s="478">
        <f t="shared" si="33"/>
        <v>0</v>
      </c>
      <c r="L29" s="240"/>
      <c r="M29" s="235">
        <f t="shared" si="34"/>
        <v>0</v>
      </c>
      <c r="N29" s="479">
        <f t="shared" si="35"/>
        <v>0</v>
      </c>
      <c r="O29" s="234"/>
      <c r="P29" s="235">
        <f t="shared" si="36"/>
        <v>0</v>
      </c>
      <c r="Q29" s="651">
        <f t="shared" si="37"/>
        <v>0</v>
      </c>
      <c r="R29" s="479">
        <f>IF(J29&gt;0,IF(OR(ManualMode=FALSE,ISBLANK(S29)),'Pricing - Advanced'!$F$16*J29+'Pricing - Advanced'!$F$17,"N/A"),0)</f>
        <v>0</v>
      </c>
      <c r="S29" s="234"/>
      <c r="T29" s="235">
        <f t="shared" si="38"/>
        <v>0</v>
      </c>
      <c r="U29" s="599">
        <f>IF(OR(ManualMode=FALSE,ISBLANK(V29)),SUM(K29:L29)*'Pricing - Advanced'!$F$19+SUM(N29,O29)*'Pricing - Advanced'!$F$18,"N/A")</f>
        <v>0</v>
      </c>
      <c r="V29" s="234"/>
      <c r="W29" s="236">
        <f t="shared" si="39"/>
        <v>0</v>
      </c>
      <c r="X29" s="237">
        <f>'Pricing - Advanced'!$F$20*SUM(H29:I29)+IF(J29&gt;1,'Pricing - Advanced'!$F$21,0)</f>
        <v>0</v>
      </c>
      <c r="Y29" s="688">
        <f>IF(AND(FullTerm&gt;=B29,AB28&gt;0),AB28*'Pricing - Advanced'!$I$128,0)</f>
        <v>0</v>
      </c>
      <c r="Z29" s="233">
        <f t="shared" si="40"/>
        <v>0</v>
      </c>
      <c r="AA29" s="234"/>
      <c r="AB29" s="597">
        <f t="shared" si="61"/>
        <v>0</v>
      </c>
      <c r="AC29" s="236">
        <f t="shared" si="0"/>
        <v>0</v>
      </c>
      <c r="AF29" s="762" t="e">
        <f t="shared" si="41"/>
        <v>#N/A</v>
      </c>
      <c r="AG29" s="759" t="e">
        <f t="shared" si="1"/>
        <v>#N/A</v>
      </c>
      <c r="AH29" s="759">
        <f>IF(J29=0,0,J29-SUM($N$6:N29)-AB28)</f>
        <v>0</v>
      </c>
      <c r="AI29" s="759">
        <f t="shared" si="2"/>
        <v>0</v>
      </c>
      <c r="AJ29" s="760">
        <f t="shared" si="55"/>
        <v>3.0000000000000001E-3</v>
      </c>
      <c r="AK29" s="760">
        <f t="shared" si="56"/>
        <v>3.0000000000000001E-3</v>
      </c>
      <c r="AN29" s="1" t="b">
        <f t="shared" si="57"/>
        <v>1</v>
      </c>
      <c r="AQ29" s="15">
        <f>IF(J28&gt;1,IF(int_method=2,$AG$229*J28,$AG$229*'Pricing - Advanced'!$E$4),0)</f>
        <v>0</v>
      </c>
      <c r="AR29" s="5">
        <f t="shared" si="42"/>
        <v>0</v>
      </c>
      <c r="AS29" s="204">
        <f t="shared" si="58"/>
        <v>41043</v>
      </c>
      <c r="AT29" s="1">
        <f>IF($AT$4=FALSE,B29*'Pricing - Advanced'!$K$5,AT28+E29-E28)</f>
        <v>700</v>
      </c>
      <c r="AW29" s="603">
        <f t="shared" si="43"/>
        <v>0</v>
      </c>
      <c r="AX29" s="603">
        <f t="shared" si="3"/>
        <v>0</v>
      </c>
      <c r="AY29" s="603">
        <f t="shared" si="4"/>
        <v>0</v>
      </c>
      <c r="AZ29" s="603">
        <f t="shared" si="5"/>
        <v>0</v>
      </c>
      <c r="BA29" s="603">
        <f t="shared" si="44"/>
        <v>0</v>
      </c>
      <c r="BB29" s="603">
        <f t="shared" si="45"/>
        <v>0</v>
      </c>
      <c r="BC29" s="603">
        <f t="shared" si="6"/>
        <v>0</v>
      </c>
      <c r="BE29" s="157">
        <f t="shared" si="7"/>
        <v>23</v>
      </c>
      <c r="BF29" s="489">
        <f t="shared" si="46"/>
        <v>700</v>
      </c>
      <c r="BG29" s="146">
        <f t="shared" si="8"/>
        <v>0</v>
      </c>
      <c r="BH29" s="147">
        <f t="shared" si="9"/>
        <v>0</v>
      </c>
      <c r="BI29" s="154" t="e">
        <f t="shared" si="10"/>
        <v>#NUM!</v>
      </c>
      <c r="BJ29" s="277" t="e">
        <f t="shared" si="63"/>
        <v>#NUM!</v>
      </c>
      <c r="BK29" s="147" t="e">
        <f t="shared" si="64"/>
        <v>#NUM!</v>
      </c>
      <c r="BL29" s="132" t="e">
        <f t="shared" si="65"/>
        <v>#NUM!</v>
      </c>
      <c r="BN29" s="497">
        <f t="shared" si="11"/>
        <v>23</v>
      </c>
      <c r="BO29" s="497">
        <f t="shared" si="12"/>
        <v>700</v>
      </c>
      <c r="BP29" s="5">
        <f t="shared" si="13"/>
        <v>0</v>
      </c>
      <c r="BQ29" s="5">
        <f t="shared" si="14"/>
        <v>0</v>
      </c>
      <c r="BR29" s="499" t="e">
        <f t="shared" si="48"/>
        <v>#NUM!</v>
      </c>
      <c r="BS29" s="277" t="e">
        <f t="shared" si="60"/>
        <v>#NUM!</v>
      </c>
      <c r="BT29" s="5" t="e">
        <f t="shared" si="15"/>
        <v>#NUM!</v>
      </c>
      <c r="BU29" s="5" t="e">
        <f t="shared" si="16"/>
        <v>#NUM!</v>
      </c>
      <c r="BW29" s="5"/>
      <c r="BX29" s="5"/>
      <c r="BY29" s="5"/>
      <c r="BZ29" s="5"/>
      <c r="CA29" s="130"/>
      <c r="CB29" s="5"/>
      <c r="CC29" s="5" t="e">
        <f t="shared" si="17"/>
        <v>#DIV/0!</v>
      </c>
      <c r="CD29" s="5" t="e">
        <f t="shared" si="18"/>
        <v>#DIV/0!</v>
      </c>
      <c r="CE29" s="5"/>
      <c r="CI29" s="130">
        <f t="shared" si="19"/>
        <v>1.3214472746786075</v>
      </c>
      <c r="CJ29" s="130">
        <f t="shared" si="20"/>
        <v>1.3214143919728834</v>
      </c>
      <c r="CK29" s="296">
        <f t="shared" si="49"/>
        <v>1.347260963049002</v>
      </c>
      <c r="CL29" s="130">
        <f t="shared" si="21"/>
        <v>1.347260963049002</v>
      </c>
      <c r="CM29" s="5">
        <f t="shared" si="50"/>
        <v>0</v>
      </c>
      <c r="CN29" s="5">
        <f t="shared" si="22"/>
        <v>0</v>
      </c>
      <c r="DE29" s="130" t="e">
        <f t="shared" si="23"/>
        <v>#NUM!</v>
      </c>
      <c r="DF29" s="130" t="e">
        <f t="shared" si="24"/>
        <v>#NUM!</v>
      </c>
      <c r="DG29" s="130" t="e">
        <f t="shared" si="51"/>
        <v>#NUM!</v>
      </c>
      <c r="DH29" s="130" t="e">
        <f t="shared" si="25"/>
        <v>#NUM!</v>
      </c>
      <c r="DJ29" s="130" t="e">
        <f t="shared" si="26"/>
        <v>#NUM!</v>
      </c>
      <c r="DK29" s="130" t="e">
        <f t="shared" si="27"/>
        <v>#NUM!</v>
      </c>
      <c r="DL29" s="130" t="e">
        <f t="shared" si="52"/>
        <v>#NUM!</v>
      </c>
      <c r="DM29" s="130" t="e">
        <f t="shared" si="62"/>
        <v>#NUM!</v>
      </c>
      <c r="DO29" s="130" t="e">
        <f t="shared" si="28"/>
        <v>#NUM!</v>
      </c>
      <c r="DP29" s="130" t="e">
        <f t="shared" si="29"/>
        <v>#NUM!</v>
      </c>
      <c r="DQ29" s="130" t="e">
        <f t="shared" si="53"/>
        <v>#NUM!</v>
      </c>
    </row>
    <row r="30" spans="2:121" hidden="1">
      <c r="B30" s="231">
        <v>24</v>
      </c>
      <c r="C30" s="280"/>
      <c r="D30" s="475"/>
      <c r="E30" s="318">
        <f t="shared" si="30"/>
        <v>41074</v>
      </c>
      <c r="F30" s="542">
        <f t="shared" si="66"/>
        <v>0</v>
      </c>
      <c r="G30" s="239"/>
      <c r="H30" s="685">
        <f t="shared" si="31"/>
        <v>0</v>
      </c>
      <c r="I30" s="240"/>
      <c r="J30" s="597">
        <f t="shared" si="32"/>
        <v>0</v>
      </c>
      <c r="K30" s="478">
        <f t="shared" si="33"/>
        <v>0</v>
      </c>
      <c r="L30" s="240"/>
      <c r="M30" s="235">
        <f t="shared" si="34"/>
        <v>0</v>
      </c>
      <c r="N30" s="479">
        <f t="shared" si="35"/>
        <v>0</v>
      </c>
      <c r="O30" s="234"/>
      <c r="P30" s="235">
        <f t="shared" si="36"/>
        <v>0</v>
      </c>
      <c r="Q30" s="651">
        <f t="shared" si="37"/>
        <v>0</v>
      </c>
      <c r="R30" s="479">
        <f>IF(J30&gt;0,IF(OR(ManualMode=FALSE,ISBLANK(S30)),'Pricing - Advanced'!$F$16*J30+'Pricing - Advanced'!$F$17,"N/A"),0)</f>
        <v>0</v>
      </c>
      <c r="S30" s="234"/>
      <c r="T30" s="235">
        <f t="shared" si="38"/>
        <v>0</v>
      </c>
      <c r="U30" s="599">
        <f>IF(OR(ManualMode=FALSE,ISBLANK(V30)),SUM(K30:L30)*'Pricing - Advanced'!$F$19+SUM(N30,O30)*'Pricing - Advanced'!$F$18,"N/A")</f>
        <v>0</v>
      </c>
      <c r="V30" s="234"/>
      <c r="W30" s="236">
        <f t="shared" si="39"/>
        <v>0</v>
      </c>
      <c r="X30" s="237">
        <f>'Pricing - Advanced'!$F$20*SUM(H30:I30)+IF(J30&gt;1,'Pricing - Advanced'!$F$21,0)</f>
        <v>0</v>
      </c>
      <c r="Y30" s="688">
        <f>IF(AND(FullTerm&gt;=B30,AB29&gt;0),AB29*'Pricing - Advanced'!$I$128,0)</f>
        <v>0</v>
      </c>
      <c r="Z30" s="233">
        <f t="shared" si="40"/>
        <v>0</v>
      </c>
      <c r="AA30" s="234"/>
      <c r="AB30" s="597">
        <f t="shared" si="61"/>
        <v>0</v>
      </c>
      <c r="AC30" s="236">
        <f t="shared" si="0"/>
        <v>0</v>
      </c>
      <c r="AF30" s="762" t="e">
        <f t="shared" si="41"/>
        <v>#N/A</v>
      </c>
      <c r="AG30" s="759" t="e">
        <f t="shared" si="1"/>
        <v>#N/A</v>
      </c>
      <c r="AH30" s="759">
        <f>IF(J30=0,0,J30-SUM($N$6:N30)-AB29)</f>
        <v>0</v>
      </c>
      <c r="AI30" s="759">
        <f t="shared" si="2"/>
        <v>0</v>
      </c>
      <c r="AJ30" s="760">
        <f t="shared" si="55"/>
        <v>3.0000000000000001E-3</v>
      </c>
      <c r="AK30" s="760">
        <f t="shared" si="56"/>
        <v>3.0000000000000001E-3</v>
      </c>
      <c r="AN30" s="1" t="b">
        <f t="shared" si="57"/>
        <v>1</v>
      </c>
      <c r="AQ30" s="15">
        <f>IF(J29&gt;1,IF(int_method=2,$AG$229*J29,$AG$229*'Pricing - Advanced'!$E$4),0)</f>
        <v>0</v>
      </c>
      <c r="AR30" s="5">
        <f t="shared" si="42"/>
        <v>0</v>
      </c>
      <c r="AS30" s="204">
        <f t="shared" si="58"/>
        <v>41074</v>
      </c>
      <c r="AT30" s="1">
        <f>IF($AT$4=FALSE,B30*'Pricing - Advanced'!$K$5,AT29+E30-E29)</f>
        <v>731</v>
      </c>
      <c r="AW30" s="603">
        <f t="shared" si="43"/>
        <v>0</v>
      </c>
      <c r="AX30" s="603">
        <f t="shared" si="3"/>
        <v>0</v>
      </c>
      <c r="AY30" s="603">
        <f t="shared" si="4"/>
        <v>0</v>
      </c>
      <c r="AZ30" s="603">
        <f t="shared" si="5"/>
        <v>0</v>
      </c>
      <c r="BA30" s="603">
        <f t="shared" si="44"/>
        <v>0</v>
      </c>
      <c r="BB30" s="603">
        <f t="shared" si="45"/>
        <v>0</v>
      </c>
      <c r="BC30" s="603">
        <f t="shared" si="6"/>
        <v>0</v>
      </c>
      <c r="BE30" s="157">
        <f t="shared" si="7"/>
        <v>24</v>
      </c>
      <c r="BF30" s="489">
        <f t="shared" si="46"/>
        <v>731</v>
      </c>
      <c r="BG30" s="146">
        <f t="shared" si="8"/>
        <v>0</v>
      </c>
      <c r="BH30" s="147">
        <f t="shared" si="9"/>
        <v>0</v>
      </c>
      <c r="BI30" s="154" t="e">
        <f t="shared" si="10"/>
        <v>#NUM!</v>
      </c>
      <c r="BJ30" s="277" t="e">
        <f t="shared" si="63"/>
        <v>#NUM!</v>
      </c>
      <c r="BK30" s="147" t="e">
        <f t="shared" si="64"/>
        <v>#NUM!</v>
      </c>
      <c r="BL30" s="132" t="e">
        <f t="shared" si="65"/>
        <v>#NUM!</v>
      </c>
      <c r="BN30" s="497">
        <f t="shared" si="11"/>
        <v>24</v>
      </c>
      <c r="BO30" s="497">
        <f t="shared" si="12"/>
        <v>731</v>
      </c>
      <c r="BP30" s="5">
        <f t="shared" si="13"/>
        <v>0</v>
      </c>
      <c r="BQ30" s="5">
        <f t="shared" si="14"/>
        <v>0</v>
      </c>
      <c r="BR30" s="499" t="e">
        <f t="shared" si="48"/>
        <v>#NUM!</v>
      </c>
      <c r="BS30" s="277" t="e">
        <f t="shared" si="60"/>
        <v>#NUM!</v>
      </c>
      <c r="BT30" s="5" t="e">
        <f t="shared" si="15"/>
        <v>#NUM!</v>
      </c>
      <c r="BU30" s="5" t="e">
        <f t="shared" si="16"/>
        <v>#NUM!</v>
      </c>
      <c r="BW30" s="5"/>
      <c r="BX30" s="5"/>
      <c r="BY30" s="5"/>
      <c r="BZ30" s="5"/>
      <c r="CA30" s="130"/>
      <c r="CB30" s="5"/>
      <c r="CC30" s="5" t="e">
        <f t="shared" si="17"/>
        <v>#DIV/0!</v>
      </c>
      <c r="CD30" s="5" t="e">
        <f t="shared" si="18"/>
        <v>#DIV/0!</v>
      </c>
      <c r="CE30" s="5"/>
      <c r="CI30" s="130">
        <f t="shared" si="19"/>
        <v>1.337558778786708</v>
      </c>
      <c r="CJ30" s="130">
        <f t="shared" si="20"/>
        <v>1.3378250775820533</v>
      </c>
      <c r="CK30" s="296">
        <f t="shared" si="49"/>
        <v>1.3648347206726323</v>
      </c>
      <c r="CL30" s="130">
        <f t="shared" si="21"/>
        <v>1.3648347206726323</v>
      </c>
      <c r="CM30" s="5">
        <f t="shared" si="50"/>
        <v>0</v>
      </c>
      <c r="CN30" s="5">
        <f t="shared" si="22"/>
        <v>0</v>
      </c>
      <c r="DE30" s="130" t="e">
        <f t="shared" si="23"/>
        <v>#NUM!</v>
      </c>
      <c r="DF30" s="130" t="e">
        <f t="shared" si="24"/>
        <v>#NUM!</v>
      </c>
      <c r="DG30" s="130" t="e">
        <f t="shared" si="51"/>
        <v>#NUM!</v>
      </c>
      <c r="DH30" s="130" t="e">
        <f t="shared" si="25"/>
        <v>#NUM!</v>
      </c>
      <c r="DJ30" s="130" t="e">
        <f t="shared" si="26"/>
        <v>#NUM!</v>
      </c>
      <c r="DK30" s="130" t="e">
        <f t="shared" si="27"/>
        <v>#NUM!</v>
      </c>
      <c r="DL30" s="130" t="e">
        <f t="shared" si="52"/>
        <v>#NUM!</v>
      </c>
      <c r="DM30" s="130" t="e">
        <f t="shared" si="62"/>
        <v>#NUM!</v>
      </c>
      <c r="DO30" s="130" t="e">
        <f t="shared" si="28"/>
        <v>#NUM!</v>
      </c>
      <c r="DP30" s="130" t="e">
        <f t="shared" si="29"/>
        <v>#NUM!</v>
      </c>
      <c r="DQ30" s="130" t="e">
        <f t="shared" si="53"/>
        <v>#NUM!</v>
      </c>
    </row>
    <row r="31" spans="2:121" hidden="1">
      <c r="B31" s="231">
        <v>25</v>
      </c>
      <c r="C31" s="280"/>
      <c r="D31" s="475"/>
      <c r="E31" s="318">
        <f t="shared" si="30"/>
        <v>41104</v>
      </c>
      <c r="F31" s="542">
        <f t="shared" si="66"/>
        <v>0</v>
      </c>
      <c r="G31" s="239"/>
      <c r="H31" s="685">
        <f t="shared" si="31"/>
        <v>0</v>
      </c>
      <c r="I31" s="240"/>
      <c r="J31" s="597">
        <f t="shared" si="32"/>
        <v>0</v>
      </c>
      <c r="K31" s="478">
        <f t="shared" si="33"/>
        <v>0</v>
      </c>
      <c r="L31" s="240"/>
      <c r="M31" s="235">
        <f t="shared" si="34"/>
        <v>0</v>
      </c>
      <c r="N31" s="479">
        <f t="shared" si="35"/>
        <v>0</v>
      </c>
      <c r="O31" s="234"/>
      <c r="P31" s="235">
        <f t="shared" si="36"/>
        <v>0</v>
      </c>
      <c r="Q31" s="651">
        <f t="shared" si="37"/>
        <v>0</v>
      </c>
      <c r="R31" s="479">
        <f>IF(J31&gt;0,IF(OR(ManualMode=FALSE,ISBLANK(S31)),'Pricing - Advanced'!$F$16*J31+'Pricing - Advanced'!$F$17,"N/A"),0)</f>
        <v>0</v>
      </c>
      <c r="S31" s="234"/>
      <c r="T31" s="235">
        <f t="shared" si="38"/>
        <v>0</v>
      </c>
      <c r="U31" s="599">
        <f>IF(OR(ManualMode=FALSE,ISBLANK(V31)),SUM(K31:L31)*'Pricing - Advanced'!$F$19+SUM(N31,O31)*'Pricing - Advanced'!$F$18,"N/A")</f>
        <v>0</v>
      </c>
      <c r="V31" s="234"/>
      <c r="W31" s="236">
        <f t="shared" si="39"/>
        <v>0</v>
      </c>
      <c r="X31" s="237">
        <f>'Pricing - Advanced'!$F$20*SUM(H31:I31)+IF(J31&gt;1,'Pricing - Advanced'!$F$21,0)</f>
        <v>0</v>
      </c>
      <c r="Y31" s="688">
        <f>IF(AND(FullTerm&gt;=B31,AB30&gt;0),AB30*'Pricing - Advanced'!$I$128,0)</f>
        <v>0</v>
      </c>
      <c r="Z31" s="233">
        <f t="shared" si="40"/>
        <v>0</v>
      </c>
      <c r="AA31" s="234"/>
      <c r="AB31" s="597">
        <f t="shared" si="61"/>
        <v>0</v>
      </c>
      <c r="AC31" s="236">
        <f t="shared" si="0"/>
        <v>0</v>
      </c>
      <c r="AF31" s="762" t="e">
        <f t="shared" si="41"/>
        <v>#N/A</v>
      </c>
      <c r="AG31" s="759" t="e">
        <f t="shared" si="1"/>
        <v>#N/A</v>
      </c>
      <c r="AH31" s="759">
        <f>IF(J31=0,0,J31-SUM($N$6:N31)-AB30)</f>
        <v>0</v>
      </c>
      <c r="AI31" s="759">
        <f t="shared" si="2"/>
        <v>0</v>
      </c>
      <c r="AJ31" s="760">
        <f t="shared" si="55"/>
        <v>3.0000000000000001E-3</v>
      </c>
      <c r="AK31" s="760">
        <f t="shared" si="56"/>
        <v>3.0000000000000001E-3</v>
      </c>
      <c r="AN31" s="1" t="b">
        <f t="shared" si="57"/>
        <v>1</v>
      </c>
      <c r="AQ31" s="15">
        <f>IF(J30&gt;1,IF(int_method=2,$AG$229*J30,$AG$229*'Pricing - Advanced'!$E$4),0)</f>
        <v>0</v>
      </c>
      <c r="AR31" s="5">
        <f t="shared" si="42"/>
        <v>0</v>
      </c>
      <c r="AS31" s="204">
        <f t="shared" si="58"/>
        <v>41104</v>
      </c>
      <c r="AT31" s="1">
        <f>IF($AT$4=FALSE,B31*'Pricing - Advanced'!$K$5,AT30+E31-E30)</f>
        <v>761</v>
      </c>
      <c r="AW31" s="603">
        <f t="shared" si="43"/>
        <v>0</v>
      </c>
      <c r="AX31" s="603">
        <f t="shared" si="3"/>
        <v>0</v>
      </c>
      <c r="AY31" s="603">
        <f t="shared" si="4"/>
        <v>0</v>
      </c>
      <c r="AZ31" s="603">
        <f t="shared" si="5"/>
        <v>0</v>
      </c>
      <c r="BA31" s="603">
        <f t="shared" si="44"/>
        <v>0</v>
      </c>
      <c r="BB31" s="603">
        <f t="shared" si="45"/>
        <v>0</v>
      </c>
      <c r="BC31" s="603">
        <f t="shared" si="6"/>
        <v>0</v>
      </c>
      <c r="BE31" s="157">
        <f t="shared" si="7"/>
        <v>25</v>
      </c>
      <c r="BF31" s="489">
        <f t="shared" si="46"/>
        <v>761</v>
      </c>
      <c r="BG31" s="146">
        <f t="shared" si="8"/>
        <v>0</v>
      </c>
      <c r="BH31" s="147">
        <f t="shared" si="9"/>
        <v>0</v>
      </c>
      <c r="BI31" s="154" t="e">
        <f t="shared" si="10"/>
        <v>#NUM!</v>
      </c>
      <c r="BJ31" s="277" t="e">
        <f t="shared" si="63"/>
        <v>#NUM!</v>
      </c>
      <c r="BK31" s="147" t="e">
        <f t="shared" si="64"/>
        <v>#NUM!</v>
      </c>
      <c r="BL31" s="132" t="e">
        <f t="shared" si="65"/>
        <v>#NUM!</v>
      </c>
      <c r="BN31" s="497">
        <f t="shared" si="11"/>
        <v>25</v>
      </c>
      <c r="BO31" s="497">
        <f t="shared" si="12"/>
        <v>761</v>
      </c>
      <c r="BP31" s="5">
        <f t="shared" si="13"/>
        <v>0</v>
      </c>
      <c r="BQ31" s="5">
        <f t="shared" si="14"/>
        <v>0</v>
      </c>
      <c r="BR31" s="499" t="e">
        <f t="shared" si="48"/>
        <v>#NUM!</v>
      </c>
      <c r="BS31" s="277" t="e">
        <f t="shared" si="60"/>
        <v>#NUM!</v>
      </c>
      <c r="BT31" s="5" t="e">
        <f t="shared" si="15"/>
        <v>#NUM!</v>
      </c>
      <c r="BU31" s="5" t="e">
        <f t="shared" si="16"/>
        <v>#NUM!</v>
      </c>
      <c r="BW31" s="5"/>
      <c r="BX31" s="5"/>
      <c r="BY31" s="5"/>
      <c r="BZ31" s="5"/>
      <c r="CA31" s="130"/>
      <c r="CB31" s="5"/>
      <c r="CC31" s="5" t="e">
        <f t="shared" si="17"/>
        <v>#DIV/0!</v>
      </c>
      <c r="CD31" s="5" t="e">
        <f t="shared" si="18"/>
        <v>#DIV/0!</v>
      </c>
      <c r="CE31" s="5"/>
      <c r="CI31" s="130">
        <f t="shared" si="19"/>
        <v>1.3538667194606859</v>
      </c>
      <c r="CJ31" s="130">
        <f t="shared" si="20"/>
        <v>1.3539004097255989</v>
      </c>
      <c r="CK31" s="296">
        <f t="shared" si="49"/>
        <v>1.3826377115075592</v>
      </c>
      <c r="CL31" s="130">
        <f t="shared" si="21"/>
        <v>1.3826377115075592</v>
      </c>
      <c r="CM31" s="5">
        <f t="shared" si="50"/>
        <v>0</v>
      </c>
      <c r="CN31" s="5">
        <f t="shared" si="22"/>
        <v>0</v>
      </c>
      <c r="DE31" s="130" t="e">
        <f t="shared" si="23"/>
        <v>#NUM!</v>
      </c>
      <c r="DF31" s="130" t="e">
        <f t="shared" si="24"/>
        <v>#NUM!</v>
      </c>
      <c r="DG31" s="130" t="e">
        <f t="shared" si="51"/>
        <v>#NUM!</v>
      </c>
      <c r="DH31" s="130" t="e">
        <f t="shared" si="25"/>
        <v>#NUM!</v>
      </c>
      <c r="DJ31" s="130" t="e">
        <f t="shared" si="26"/>
        <v>#NUM!</v>
      </c>
      <c r="DK31" s="130" t="e">
        <f t="shared" si="27"/>
        <v>#NUM!</v>
      </c>
      <c r="DL31" s="130" t="e">
        <f t="shared" si="52"/>
        <v>#NUM!</v>
      </c>
      <c r="DM31" s="130" t="e">
        <f t="shared" si="62"/>
        <v>#NUM!</v>
      </c>
      <c r="DO31" s="130" t="e">
        <f t="shared" si="28"/>
        <v>#NUM!</v>
      </c>
      <c r="DP31" s="130" t="e">
        <f t="shared" si="29"/>
        <v>#NUM!</v>
      </c>
      <c r="DQ31" s="130" t="e">
        <f t="shared" si="53"/>
        <v>#NUM!</v>
      </c>
    </row>
    <row r="32" spans="2:121" hidden="1">
      <c r="B32" s="231">
        <v>26</v>
      </c>
      <c r="C32" s="280"/>
      <c r="D32" s="475"/>
      <c r="E32" s="318">
        <f t="shared" si="30"/>
        <v>41135</v>
      </c>
      <c r="F32" s="542">
        <f t="shared" si="66"/>
        <v>0</v>
      </c>
      <c r="G32" s="239"/>
      <c r="H32" s="685">
        <f t="shared" si="31"/>
        <v>0</v>
      </c>
      <c r="I32" s="240"/>
      <c r="J32" s="597">
        <f t="shared" si="32"/>
        <v>0</v>
      </c>
      <c r="K32" s="478">
        <f t="shared" si="33"/>
        <v>0</v>
      </c>
      <c r="L32" s="240"/>
      <c r="M32" s="235">
        <f t="shared" si="34"/>
        <v>0</v>
      </c>
      <c r="N32" s="479">
        <f t="shared" si="35"/>
        <v>0</v>
      </c>
      <c r="O32" s="234"/>
      <c r="P32" s="235">
        <f t="shared" si="36"/>
        <v>0</v>
      </c>
      <c r="Q32" s="651">
        <f t="shared" si="37"/>
        <v>0</v>
      </c>
      <c r="R32" s="479">
        <f>IF(J32&gt;0,IF(OR(ManualMode=FALSE,ISBLANK(S32)),'Pricing - Advanced'!$F$16*J32+'Pricing - Advanced'!$F$17,"N/A"),0)</f>
        <v>0</v>
      </c>
      <c r="S32" s="234"/>
      <c r="T32" s="235">
        <f t="shared" si="38"/>
        <v>0</v>
      </c>
      <c r="U32" s="599">
        <f>IF(OR(ManualMode=FALSE,ISBLANK(V32)),SUM(K32:L32)*'Pricing - Advanced'!$F$19+SUM(N32,O32)*'Pricing - Advanced'!$F$18,"N/A")</f>
        <v>0</v>
      </c>
      <c r="V32" s="234"/>
      <c r="W32" s="236">
        <f t="shared" si="39"/>
        <v>0</v>
      </c>
      <c r="X32" s="237">
        <f>'Pricing - Advanced'!$F$20*SUM(H32:I32)+IF(J32&gt;1,'Pricing - Advanced'!$F$21,0)</f>
        <v>0</v>
      </c>
      <c r="Y32" s="688">
        <f>IF(AND(FullTerm&gt;=B32,AB31&gt;0),AB31*'Pricing - Advanced'!$I$128,0)</f>
        <v>0</v>
      </c>
      <c r="Z32" s="233">
        <f t="shared" si="40"/>
        <v>0</v>
      </c>
      <c r="AA32" s="234"/>
      <c r="AB32" s="597">
        <f t="shared" si="61"/>
        <v>0</v>
      </c>
      <c r="AC32" s="236">
        <f t="shared" si="0"/>
        <v>0</v>
      </c>
      <c r="AF32" s="762" t="e">
        <f t="shared" si="41"/>
        <v>#N/A</v>
      </c>
      <c r="AG32" s="759" t="e">
        <f t="shared" si="1"/>
        <v>#N/A</v>
      </c>
      <c r="AH32" s="759">
        <f>IF(J32=0,0,J32-SUM($N$6:N32)-AB31)</f>
        <v>0</v>
      </c>
      <c r="AI32" s="759">
        <f t="shared" si="2"/>
        <v>0</v>
      </c>
      <c r="AJ32" s="760">
        <f t="shared" si="55"/>
        <v>3.0000000000000001E-3</v>
      </c>
      <c r="AK32" s="760">
        <f t="shared" si="56"/>
        <v>3.0000000000000001E-3</v>
      </c>
      <c r="AN32" s="1" t="b">
        <f t="shared" si="57"/>
        <v>1</v>
      </c>
      <c r="AQ32" s="15">
        <f>IF(J31&gt;1,IF(int_method=2,$AG$229*J31,$AG$229*'Pricing - Advanced'!$E$4),0)</f>
        <v>0</v>
      </c>
      <c r="AR32" s="5">
        <f t="shared" si="42"/>
        <v>0</v>
      </c>
      <c r="AS32" s="204">
        <f t="shared" si="58"/>
        <v>41135</v>
      </c>
      <c r="AT32" s="1">
        <f>IF($AT$4=FALSE,B32*'Pricing - Advanced'!$K$5,AT31+E32-E31)</f>
        <v>792</v>
      </c>
      <c r="AW32" s="603">
        <f t="shared" si="43"/>
        <v>0</v>
      </c>
      <c r="AX32" s="603">
        <f t="shared" si="3"/>
        <v>0</v>
      </c>
      <c r="AY32" s="603">
        <f t="shared" si="4"/>
        <v>0</v>
      </c>
      <c r="AZ32" s="603">
        <f t="shared" si="5"/>
        <v>0</v>
      </c>
      <c r="BA32" s="603">
        <f t="shared" si="44"/>
        <v>0</v>
      </c>
      <c r="BB32" s="603">
        <f t="shared" si="45"/>
        <v>0</v>
      </c>
      <c r="BC32" s="603">
        <f t="shared" si="6"/>
        <v>0</v>
      </c>
      <c r="BE32" s="157">
        <f t="shared" si="7"/>
        <v>26</v>
      </c>
      <c r="BF32" s="489">
        <f t="shared" si="46"/>
        <v>792</v>
      </c>
      <c r="BG32" s="146">
        <f t="shared" si="8"/>
        <v>0</v>
      </c>
      <c r="BH32" s="147">
        <f t="shared" si="9"/>
        <v>0</v>
      </c>
      <c r="BI32" s="154" t="e">
        <f t="shared" si="10"/>
        <v>#NUM!</v>
      </c>
      <c r="BJ32" s="277" t="e">
        <f t="shared" si="63"/>
        <v>#NUM!</v>
      </c>
      <c r="BK32" s="147" t="e">
        <f t="shared" si="64"/>
        <v>#NUM!</v>
      </c>
      <c r="BL32" s="132" t="e">
        <f t="shared" si="65"/>
        <v>#NUM!</v>
      </c>
      <c r="BN32" s="497">
        <f t="shared" si="11"/>
        <v>26</v>
      </c>
      <c r="BO32" s="497">
        <f t="shared" si="12"/>
        <v>792</v>
      </c>
      <c r="BP32" s="5">
        <f t="shared" si="13"/>
        <v>0</v>
      </c>
      <c r="BQ32" s="5">
        <f t="shared" si="14"/>
        <v>0</v>
      </c>
      <c r="BR32" s="499" t="e">
        <f t="shared" si="48"/>
        <v>#NUM!</v>
      </c>
      <c r="BS32" s="277" t="e">
        <f t="shared" si="60"/>
        <v>#NUM!</v>
      </c>
      <c r="BT32" s="5" t="e">
        <f t="shared" si="15"/>
        <v>#NUM!</v>
      </c>
      <c r="BU32" s="5" t="e">
        <f t="shared" si="16"/>
        <v>#NUM!</v>
      </c>
      <c r="BW32" s="5"/>
      <c r="BX32" s="5"/>
      <c r="BY32" s="5"/>
      <c r="BZ32" s="5"/>
      <c r="CA32" s="130"/>
      <c r="CB32" s="5"/>
      <c r="CC32" s="5" t="e">
        <f t="shared" si="17"/>
        <v>#DIV/0!</v>
      </c>
      <c r="CD32" s="5" t="e">
        <f t="shared" si="18"/>
        <v>#DIV/0!</v>
      </c>
      <c r="CE32" s="5"/>
      <c r="CI32" s="130">
        <f t="shared" si="19"/>
        <v>1.3703734917174275</v>
      </c>
      <c r="CJ32" s="130">
        <f t="shared" si="20"/>
        <v>1.3707145401793781</v>
      </c>
      <c r="CK32" s="296">
        <f t="shared" si="49"/>
        <v>1.400672925686359</v>
      </c>
      <c r="CL32" s="130">
        <f t="shared" si="21"/>
        <v>1.400672925686359</v>
      </c>
      <c r="CM32" s="5">
        <f t="shared" si="50"/>
        <v>0</v>
      </c>
      <c r="CN32" s="5">
        <f t="shared" si="22"/>
        <v>0</v>
      </c>
      <c r="DE32" s="130" t="e">
        <f t="shared" si="23"/>
        <v>#NUM!</v>
      </c>
      <c r="DF32" s="130" t="e">
        <f t="shared" si="24"/>
        <v>#NUM!</v>
      </c>
      <c r="DG32" s="130" t="e">
        <f t="shared" si="51"/>
        <v>#NUM!</v>
      </c>
      <c r="DH32" s="130" t="e">
        <f t="shared" si="25"/>
        <v>#NUM!</v>
      </c>
      <c r="DJ32" s="130" t="e">
        <f t="shared" si="26"/>
        <v>#NUM!</v>
      </c>
      <c r="DK32" s="130" t="e">
        <f t="shared" si="27"/>
        <v>#NUM!</v>
      </c>
      <c r="DL32" s="130" t="e">
        <f t="shared" si="52"/>
        <v>#NUM!</v>
      </c>
      <c r="DM32" s="130" t="e">
        <f t="shared" si="62"/>
        <v>#NUM!</v>
      </c>
      <c r="DO32" s="130" t="e">
        <f t="shared" si="28"/>
        <v>#NUM!</v>
      </c>
      <c r="DP32" s="130" t="e">
        <f t="shared" si="29"/>
        <v>#NUM!</v>
      </c>
      <c r="DQ32" s="130" t="e">
        <f t="shared" si="53"/>
        <v>#NUM!</v>
      </c>
    </row>
    <row r="33" spans="2:121" hidden="1">
      <c r="B33" s="231">
        <v>27</v>
      </c>
      <c r="C33" s="280"/>
      <c r="D33" s="475"/>
      <c r="E33" s="318">
        <f t="shared" si="30"/>
        <v>41166</v>
      </c>
      <c r="F33" s="542">
        <f t="shared" si="66"/>
        <v>0</v>
      </c>
      <c r="G33" s="239"/>
      <c r="H33" s="685">
        <f t="shared" si="31"/>
        <v>0</v>
      </c>
      <c r="I33" s="240"/>
      <c r="J33" s="597">
        <f t="shared" si="32"/>
        <v>0</v>
      </c>
      <c r="K33" s="478">
        <f t="shared" si="33"/>
        <v>0</v>
      </c>
      <c r="L33" s="240"/>
      <c r="M33" s="235">
        <f t="shared" si="34"/>
        <v>0</v>
      </c>
      <c r="N33" s="479">
        <f t="shared" si="35"/>
        <v>0</v>
      </c>
      <c r="O33" s="234"/>
      <c r="P33" s="235">
        <f t="shared" si="36"/>
        <v>0</v>
      </c>
      <c r="Q33" s="651">
        <f t="shared" si="37"/>
        <v>0</v>
      </c>
      <c r="R33" s="479">
        <f>IF(J33&gt;0,IF(OR(ManualMode=FALSE,ISBLANK(S33)),'Pricing - Advanced'!$F$16*J33+'Pricing - Advanced'!$F$17,"N/A"),0)</f>
        <v>0</v>
      </c>
      <c r="S33" s="234"/>
      <c r="T33" s="235">
        <f t="shared" si="38"/>
        <v>0</v>
      </c>
      <c r="U33" s="599">
        <f>IF(OR(ManualMode=FALSE,ISBLANK(V33)),SUM(K33:L33)*'Pricing - Advanced'!$F$19+SUM(N33,O33)*'Pricing - Advanced'!$F$18,"N/A")</f>
        <v>0</v>
      </c>
      <c r="V33" s="234"/>
      <c r="W33" s="236">
        <f t="shared" si="39"/>
        <v>0</v>
      </c>
      <c r="X33" s="237">
        <f>'Pricing - Advanced'!$F$20*SUM(H33:I33)+IF(J33&gt;1,'Pricing - Advanced'!$F$21,0)</f>
        <v>0</v>
      </c>
      <c r="Y33" s="688">
        <f>IF(AND(FullTerm&gt;=B33,AB32&gt;0),AB32*'Pricing - Advanced'!$I$128,0)</f>
        <v>0</v>
      </c>
      <c r="Z33" s="233">
        <f t="shared" si="40"/>
        <v>0</v>
      </c>
      <c r="AA33" s="234"/>
      <c r="AB33" s="597">
        <f t="shared" si="61"/>
        <v>0</v>
      </c>
      <c r="AC33" s="236">
        <f t="shared" si="0"/>
        <v>0</v>
      </c>
      <c r="AF33" s="762" t="e">
        <f t="shared" si="41"/>
        <v>#N/A</v>
      </c>
      <c r="AG33" s="759" t="e">
        <f t="shared" si="1"/>
        <v>#N/A</v>
      </c>
      <c r="AH33" s="759">
        <f>IF(J33=0,0,J33-SUM($N$6:N33)-AB32)</f>
        <v>0</v>
      </c>
      <c r="AI33" s="759">
        <f t="shared" si="2"/>
        <v>0</v>
      </c>
      <c r="AJ33" s="760">
        <f t="shared" si="55"/>
        <v>3.0000000000000001E-3</v>
      </c>
      <c r="AK33" s="760">
        <f t="shared" si="56"/>
        <v>3.0000000000000001E-3</v>
      </c>
      <c r="AN33" s="1" t="b">
        <f t="shared" si="57"/>
        <v>1</v>
      </c>
      <c r="AQ33" s="15">
        <f>IF(J32&gt;1,IF(int_method=2,$AG$229*J32,$AG$229*'Pricing - Advanced'!$E$4),0)</f>
        <v>0</v>
      </c>
      <c r="AR33" s="5">
        <f t="shared" si="42"/>
        <v>0</v>
      </c>
      <c r="AS33" s="204">
        <f t="shared" si="58"/>
        <v>41166</v>
      </c>
      <c r="AT33" s="1">
        <f>IF($AT$4=FALSE,B33*'Pricing - Advanced'!$K$5,AT32+E33-E32)</f>
        <v>823</v>
      </c>
      <c r="AW33" s="603">
        <f t="shared" si="43"/>
        <v>0</v>
      </c>
      <c r="AX33" s="603">
        <f t="shared" si="3"/>
        <v>0</v>
      </c>
      <c r="AY33" s="603">
        <f t="shared" si="4"/>
        <v>0</v>
      </c>
      <c r="AZ33" s="603">
        <f t="shared" si="5"/>
        <v>0</v>
      </c>
      <c r="BA33" s="603">
        <f t="shared" si="44"/>
        <v>0</v>
      </c>
      <c r="BB33" s="603">
        <f t="shared" si="45"/>
        <v>0</v>
      </c>
      <c r="BC33" s="603">
        <f t="shared" si="6"/>
        <v>0</v>
      </c>
      <c r="BE33" s="157">
        <f t="shared" si="7"/>
        <v>27</v>
      </c>
      <c r="BF33" s="489">
        <f t="shared" si="46"/>
        <v>823</v>
      </c>
      <c r="BG33" s="146">
        <f t="shared" si="8"/>
        <v>0</v>
      </c>
      <c r="BH33" s="147">
        <f t="shared" si="9"/>
        <v>0</v>
      </c>
      <c r="BI33" s="154" t="e">
        <f t="shared" si="10"/>
        <v>#NUM!</v>
      </c>
      <c r="BJ33" s="277" t="e">
        <f t="shared" si="63"/>
        <v>#NUM!</v>
      </c>
      <c r="BK33" s="147" t="e">
        <f t="shared" si="64"/>
        <v>#NUM!</v>
      </c>
      <c r="BL33" s="132" t="e">
        <f t="shared" si="65"/>
        <v>#NUM!</v>
      </c>
      <c r="BN33" s="497">
        <f t="shared" si="11"/>
        <v>27</v>
      </c>
      <c r="BO33" s="497">
        <f t="shared" si="12"/>
        <v>823</v>
      </c>
      <c r="BP33" s="5">
        <f t="shared" si="13"/>
        <v>0</v>
      </c>
      <c r="BQ33" s="5">
        <f t="shared" si="14"/>
        <v>0</v>
      </c>
      <c r="BR33" s="499" t="e">
        <f t="shared" si="48"/>
        <v>#NUM!</v>
      </c>
      <c r="BS33" s="277" t="e">
        <f t="shared" si="60"/>
        <v>#NUM!</v>
      </c>
      <c r="BT33" s="5" t="e">
        <f t="shared" si="15"/>
        <v>#NUM!</v>
      </c>
      <c r="BU33" s="5" t="e">
        <f t="shared" si="16"/>
        <v>#NUM!</v>
      </c>
      <c r="BW33" s="5"/>
      <c r="BX33" s="5"/>
      <c r="BY33" s="5"/>
      <c r="BZ33" s="5"/>
      <c r="CA33" s="130"/>
      <c r="CB33" s="5"/>
      <c r="CC33" s="5" t="e">
        <f t="shared" si="17"/>
        <v>#DIV/0!</v>
      </c>
      <c r="CD33" s="5" t="e">
        <f t="shared" si="18"/>
        <v>#DIV/0!</v>
      </c>
      <c r="CE33" s="5"/>
      <c r="CI33" s="130">
        <f t="shared" si="19"/>
        <v>1.3870815197746253</v>
      </c>
      <c r="CJ33" s="130">
        <f t="shared" si="20"/>
        <v>1.3877374858317388</v>
      </c>
      <c r="CK33" s="296">
        <f t="shared" si="49"/>
        <v>1.4189433923450876</v>
      </c>
      <c r="CL33" s="130">
        <f t="shared" si="21"/>
        <v>1.4189433923450876</v>
      </c>
      <c r="CM33" s="5">
        <f t="shared" si="50"/>
        <v>0</v>
      </c>
      <c r="CN33" s="5">
        <f t="shared" si="22"/>
        <v>0</v>
      </c>
      <c r="DE33" s="130" t="e">
        <f t="shared" si="23"/>
        <v>#NUM!</v>
      </c>
      <c r="DF33" s="130" t="e">
        <f t="shared" si="24"/>
        <v>#NUM!</v>
      </c>
      <c r="DG33" s="130" t="e">
        <f t="shared" si="51"/>
        <v>#NUM!</v>
      </c>
      <c r="DH33" s="130" t="e">
        <f t="shared" si="25"/>
        <v>#NUM!</v>
      </c>
      <c r="DJ33" s="130" t="e">
        <f t="shared" si="26"/>
        <v>#NUM!</v>
      </c>
      <c r="DK33" s="130" t="e">
        <f t="shared" si="27"/>
        <v>#NUM!</v>
      </c>
      <c r="DL33" s="130" t="e">
        <f t="shared" si="52"/>
        <v>#NUM!</v>
      </c>
      <c r="DM33" s="130" t="e">
        <f t="shared" si="62"/>
        <v>#NUM!</v>
      </c>
      <c r="DO33" s="130" t="e">
        <f t="shared" si="28"/>
        <v>#NUM!</v>
      </c>
      <c r="DP33" s="130" t="e">
        <f t="shared" si="29"/>
        <v>#NUM!</v>
      </c>
      <c r="DQ33" s="130" t="e">
        <f t="shared" si="53"/>
        <v>#NUM!</v>
      </c>
    </row>
    <row r="34" spans="2:121" hidden="1">
      <c r="B34" s="231">
        <v>28</v>
      </c>
      <c r="C34" s="280"/>
      <c r="D34" s="475"/>
      <c r="E34" s="318">
        <f t="shared" si="30"/>
        <v>41196</v>
      </c>
      <c r="F34" s="542">
        <f t="shared" si="66"/>
        <v>0</v>
      </c>
      <c r="G34" s="239"/>
      <c r="H34" s="685">
        <f t="shared" si="31"/>
        <v>0</v>
      </c>
      <c r="I34" s="240"/>
      <c r="J34" s="597">
        <f t="shared" si="32"/>
        <v>0</v>
      </c>
      <c r="K34" s="478">
        <f t="shared" si="33"/>
        <v>0</v>
      </c>
      <c r="L34" s="240"/>
      <c r="M34" s="235">
        <f t="shared" si="34"/>
        <v>0</v>
      </c>
      <c r="N34" s="479">
        <f t="shared" si="35"/>
        <v>0</v>
      </c>
      <c r="O34" s="234"/>
      <c r="P34" s="235">
        <f t="shared" si="36"/>
        <v>0</v>
      </c>
      <c r="Q34" s="651">
        <f t="shared" si="37"/>
        <v>0</v>
      </c>
      <c r="R34" s="479">
        <f>IF(J34&gt;0,IF(OR(ManualMode=FALSE,ISBLANK(S34)),'Pricing - Advanced'!$F$16*J34+'Pricing - Advanced'!$F$17,"N/A"),0)</f>
        <v>0</v>
      </c>
      <c r="S34" s="234"/>
      <c r="T34" s="235">
        <f t="shared" si="38"/>
        <v>0</v>
      </c>
      <c r="U34" s="599">
        <f>IF(OR(ManualMode=FALSE,ISBLANK(V34)),SUM(K34:L34)*'Pricing - Advanced'!$F$19+SUM(N34,O34)*'Pricing - Advanced'!$F$18,"N/A")</f>
        <v>0</v>
      </c>
      <c r="V34" s="234"/>
      <c r="W34" s="236">
        <f t="shared" si="39"/>
        <v>0</v>
      </c>
      <c r="X34" s="237">
        <f>'Pricing - Advanced'!$F$20*SUM(H34:I34)+IF(J34&gt;1,'Pricing - Advanced'!$F$21,0)</f>
        <v>0</v>
      </c>
      <c r="Y34" s="688">
        <f>IF(AND(FullTerm&gt;=B34,AB33&gt;0),AB33*'Pricing - Advanced'!$I$128,0)</f>
        <v>0</v>
      </c>
      <c r="Z34" s="233">
        <f t="shared" si="40"/>
        <v>0</v>
      </c>
      <c r="AA34" s="234"/>
      <c r="AB34" s="597">
        <f t="shared" si="61"/>
        <v>0</v>
      </c>
      <c r="AC34" s="236">
        <f t="shared" si="0"/>
        <v>0</v>
      </c>
      <c r="AF34" s="762" t="e">
        <f t="shared" si="41"/>
        <v>#N/A</v>
      </c>
      <c r="AG34" s="759" t="e">
        <f t="shared" si="1"/>
        <v>#N/A</v>
      </c>
      <c r="AH34" s="759">
        <f>IF(J34=0,0,J34-SUM($N$6:N34)-AB33)</f>
        <v>0</v>
      </c>
      <c r="AI34" s="759">
        <f t="shared" si="2"/>
        <v>0</v>
      </c>
      <c r="AJ34" s="760">
        <f t="shared" si="55"/>
        <v>3.0000000000000001E-3</v>
      </c>
      <c r="AK34" s="760">
        <f t="shared" si="56"/>
        <v>3.0000000000000001E-3</v>
      </c>
      <c r="AN34" s="1" t="b">
        <f t="shared" si="57"/>
        <v>1</v>
      </c>
      <c r="AQ34" s="15">
        <f>IF(J33&gt;1,IF(int_method=2,$AG$229*J33,$AG$229*'Pricing - Advanced'!$E$4),0)</f>
        <v>0</v>
      </c>
      <c r="AR34" s="5">
        <f t="shared" si="42"/>
        <v>0</v>
      </c>
      <c r="AS34" s="204">
        <f t="shared" si="58"/>
        <v>41196</v>
      </c>
      <c r="AT34" s="1">
        <f>IF($AT$4=FALSE,B34*'Pricing - Advanced'!$K$5,AT33+E34-E33)</f>
        <v>853</v>
      </c>
      <c r="AW34" s="603">
        <f t="shared" si="43"/>
        <v>0</v>
      </c>
      <c r="AX34" s="603">
        <f t="shared" si="3"/>
        <v>0</v>
      </c>
      <c r="AY34" s="603">
        <f t="shared" si="4"/>
        <v>0</v>
      </c>
      <c r="AZ34" s="603">
        <f t="shared" si="5"/>
        <v>0</v>
      </c>
      <c r="BA34" s="603">
        <f t="shared" si="44"/>
        <v>0</v>
      </c>
      <c r="BB34" s="603">
        <f t="shared" si="45"/>
        <v>0</v>
      </c>
      <c r="BC34" s="603">
        <f t="shared" si="6"/>
        <v>0</v>
      </c>
      <c r="BE34" s="157">
        <f t="shared" si="7"/>
        <v>28</v>
      </c>
      <c r="BF34" s="489">
        <f t="shared" si="46"/>
        <v>853</v>
      </c>
      <c r="BG34" s="146">
        <f t="shared" si="8"/>
        <v>0</v>
      </c>
      <c r="BH34" s="147">
        <f t="shared" si="9"/>
        <v>0</v>
      </c>
      <c r="BI34" s="154" t="e">
        <f t="shared" si="10"/>
        <v>#NUM!</v>
      </c>
      <c r="BJ34" s="277" t="e">
        <f t="shared" si="63"/>
        <v>#NUM!</v>
      </c>
      <c r="BK34" s="147" t="e">
        <f t="shared" si="64"/>
        <v>#NUM!</v>
      </c>
      <c r="BL34" s="132" t="e">
        <f t="shared" si="65"/>
        <v>#NUM!</v>
      </c>
      <c r="BN34" s="497">
        <f t="shared" si="11"/>
        <v>28</v>
      </c>
      <c r="BO34" s="497">
        <f t="shared" si="12"/>
        <v>853</v>
      </c>
      <c r="BP34" s="5">
        <f t="shared" si="13"/>
        <v>0</v>
      </c>
      <c r="BQ34" s="5">
        <f t="shared" si="14"/>
        <v>0</v>
      </c>
      <c r="BR34" s="499" t="e">
        <f t="shared" si="48"/>
        <v>#NUM!</v>
      </c>
      <c r="BS34" s="277" t="e">
        <f t="shared" si="60"/>
        <v>#NUM!</v>
      </c>
      <c r="BT34" s="5" t="e">
        <f t="shared" si="15"/>
        <v>#NUM!</v>
      </c>
      <c r="BU34" s="5" t="e">
        <f t="shared" si="16"/>
        <v>#NUM!</v>
      </c>
      <c r="BW34" s="5"/>
      <c r="BX34" s="5"/>
      <c r="BY34" s="5"/>
      <c r="BZ34" s="5"/>
      <c r="CA34" s="130"/>
      <c r="CB34" s="5"/>
      <c r="CC34" s="5" t="e">
        <f t="shared" si="17"/>
        <v>#DIV/0!</v>
      </c>
      <c r="CD34" s="5" t="e">
        <f t="shared" si="18"/>
        <v>#DIV/0!</v>
      </c>
      <c r="CE34" s="5"/>
      <c r="CI34" s="130">
        <f t="shared" si="19"/>
        <v>1.4039932574068019</v>
      </c>
      <c r="CJ34" s="130">
        <f t="shared" si="20"/>
        <v>1.404412566443259</v>
      </c>
      <c r="CK34" s="296">
        <f t="shared" si="49"/>
        <v>1.4374521801320441</v>
      </c>
      <c r="CL34" s="130">
        <f t="shared" si="21"/>
        <v>1.4374521801320441</v>
      </c>
      <c r="CM34" s="5">
        <f t="shared" si="50"/>
        <v>0</v>
      </c>
      <c r="CN34" s="5">
        <f t="shared" si="22"/>
        <v>0</v>
      </c>
      <c r="DE34" s="130" t="e">
        <f t="shared" si="23"/>
        <v>#NUM!</v>
      </c>
      <c r="DF34" s="130" t="e">
        <f t="shared" si="24"/>
        <v>#NUM!</v>
      </c>
      <c r="DG34" s="130" t="e">
        <f t="shared" si="51"/>
        <v>#NUM!</v>
      </c>
      <c r="DH34" s="130" t="e">
        <f t="shared" si="25"/>
        <v>#NUM!</v>
      </c>
      <c r="DJ34" s="130" t="e">
        <f t="shared" si="26"/>
        <v>#NUM!</v>
      </c>
      <c r="DK34" s="130" t="e">
        <f t="shared" si="27"/>
        <v>#NUM!</v>
      </c>
      <c r="DL34" s="130" t="e">
        <f t="shared" si="52"/>
        <v>#NUM!</v>
      </c>
      <c r="DM34" s="130" t="e">
        <f t="shared" si="62"/>
        <v>#NUM!</v>
      </c>
      <c r="DO34" s="130" t="e">
        <f t="shared" si="28"/>
        <v>#NUM!</v>
      </c>
      <c r="DP34" s="130" t="e">
        <f t="shared" si="29"/>
        <v>#NUM!</v>
      </c>
      <c r="DQ34" s="130" t="e">
        <f t="shared" si="53"/>
        <v>#NUM!</v>
      </c>
    </row>
    <row r="35" spans="2:121" hidden="1">
      <c r="B35" s="231">
        <v>29</v>
      </c>
      <c r="C35" s="280"/>
      <c r="D35" s="475"/>
      <c r="E35" s="318">
        <f t="shared" si="30"/>
        <v>41227</v>
      </c>
      <c r="F35" s="542">
        <f t="shared" si="66"/>
        <v>0</v>
      </c>
      <c r="G35" s="239"/>
      <c r="H35" s="685">
        <f t="shared" si="31"/>
        <v>0</v>
      </c>
      <c r="I35" s="240"/>
      <c r="J35" s="597">
        <f t="shared" si="32"/>
        <v>0</v>
      </c>
      <c r="K35" s="478">
        <f t="shared" si="33"/>
        <v>0</v>
      </c>
      <c r="L35" s="240"/>
      <c r="M35" s="235">
        <f t="shared" si="34"/>
        <v>0</v>
      </c>
      <c r="N35" s="479">
        <f t="shared" si="35"/>
        <v>0</v>
      </c>
      <c r="O35" s="234"/>
      <c r="P35" s="235">
        <f t="shared" si="36"/>
        <v>0</v>
      </c>
      <c r="Q35" s="651">
        <f t="shared" si="37"/>
        <v>0</v>
      </c>
      <c r="R35" s="479">
        <f>IF(J35&gt;0,IF(OR(ManualMode=FALSE,ISBLANK(S35)),'Pricing - Advanced'!$F$16*J35+'Pricing - Advanced'!$F$17,"N/A"),0)</f>
        <v>0</v>
      </c>
      <c r="S35" s="234"/>
      <c r="T35" s="235">
        <f t="shared" si="38"/>
        <v>0</v>
      </c>
      <c r="U35" s="599">
        <f>IF(OR(ManualMode=FALSE,ISBLANK(V35)),SUM(K35:L35)*'Pricing - Advanced'!$F$19+SUM(N35,O35)*'Pricing - Advanced'!$F$18,"N/A")</f>
        <v>0</v>
      </c>
      <c r="V35" s="234"/>
      <c r="W35" s="236">
        <f t="shared" si="39"/>
        <v>0</v>
      </c>
      <c r="X35" s="237">
        <f>'Pricing - Advanced'!$F$20*SUM(H35:I35)+IF(J35&gt;1,'Pricing - Advanced'!$F$21,0)</f>
        <v>0</v>
      </c>
      <c r="Y35" s="688">
        <f>IF(AND(FullTerm&gt;=B35,AB34&gt;0),AB34*'Pricing - Advanced'!$I$128,0)</f>
        <v>0</v>
      </c>
      <c r="Z35" s="233">
        <f t="shared" si="40"/>
        <v>0</v>
      </c>
      <c r="AA35" s="234"/>
      <c r="AB35" s="597">
        <f t="shared" si="61"/>
        <v>0</v>
      </c>
      <c r="AC35" s="236">
        <f t="shared" si="0"/>
        <v>0</v>
      </c>
      <c r="AF35" s="762" t="e">
        <f t="shared" si="41"/>
        <v>#N/A</v>
      </c>
      <c r="AG35" s="759" t="e">
        <f t="shared" si="1"/>
        <v>#N/A</v>
      </c>
      <c r="AH35" s="759">
        <f>IF(J35=0,0,J35-SUM($N$6:N35)-AB34)</f>
        <v>0</v>
      </c>
      <c r="AI35" s="759">
        <f t="shared" si="2"/>
        <v>0</v>
      </c>
      <c r="AJ35" s="760">
        <f t="shared" si="55"/>
        <v>3.0000000000000001E-3</v>
      </c>
      <c r="AK35" s="760">
        <f t="shared" si="56"/>
        <v>3.0000000000000001E-3</v>
      </c>
      <c r="AN35" s="1" t="b">
        <f t="shared" si="57"/>
        <v>1</v>
      </c>
      <c r="AQ35" s="15">
        <f>IF(J34&gt;1,IF(int_method=2,$AG$229*J34,$AG$229*'Pricing - Advanced'!$E$4),0)</f>
        <v>0</v>
      </c>
      <c r="AR35" s="5">
        <f t="shared" si="42"/>
        <v>0</v>
      </c>
      <c r="AS35" s="204">
        <f t="shared" si="58"/>
        <v>41227</v>
      </c>
      <c r="AT35" s="1">
        <f>IF($AT$4=FALSE,B35*'Pricing - Advanced'!$K$5,AT34+E35-E34)</f>
        <v>884</v>
      </c>
      <c r="AW35" s="603">
        <f t="shared" si="43"/>
        <v>0</v>
      </c>
      <c r="AX35" s="603">
        <f t="shared" si="3"/>
        <v>0</v>
      </c>
      <c r="AY35" s="603">
        <f t="shared" si="4"/>
        <v>0</v>
      </c>
      <c r="AZ35" s="603">
        <f t="shared" si="5"/>
        <v>0</v>
      </c>
      <c r="BA35" s="603">
        <f t="shared" si="44"/>
        <v>0</v>
      </c>
      <c r="BB35" s="603">
        <f t="shared" si="45"/>
        <v>0</v>
      </c>
      <c r="BC35" s="603">
        <f t="shared" si="6"/>
        <v>0</v>
      </c>
      <c r="BE35" s="157">
        <f t="shared" si="7"/>
        <v>29</v>
      </c>
      <c r="BF35" s="489">
        <f t="shared" si="46"/>
        <v>884</v>
      </c>
      <c r="BG35" s="146">
        <f t="shared" si="8"/>
        <v>0</v>
      </c>
      <c r="BH35" s="147">
        <f t="shared" si="9"/>
        <v>0</v>
      </c>
      <c r="BI35" s="154" t="e">
        <f t="shared" si="10"/>
        <v>#NUM!</v>
      </c>
      <c r="BJ35" s="277" t="e">
        <f t="shared" si="63"/>
        <v>#NUM!</v>
      </c>
      <c r="BK35" s="147" t="e">
        <f t="shared" si="64"/>
        <v>#NUM!</v>
      </c>
      <c r="BL35" s="132" t="e">
        <f t="shared" si="65"/>
        <v>#NUM!</v>
      </c>
      <c r="BN35" s="497">
        <f t="shared" si="11"/>
        <v>29</v>
      </c>
      <c r="BO35" s="497">
        <f t="shared" si="12"/>
        <v>884</v>
      </c>
      <c r="BP35" s="5">
        <f t="shared" si="13"/>
        <v>0</v>
      </c>
      <c r="BQ35" s="5">
        <f t="shared" si="14"/>
        <v>0</v>
      </c>
      <c r="BR35" s="499" t="e">
        <f t="shared" si="48"/>
        <v>#NUM!</v>
      </c>
      <c r="BS35" s="277" t="e">
        <f t="shared" si="60"/>
        <v>#NUM!</v>
      </c>
      <c r="BT35" s="5" t="e">
        <f t="shared" si="15"/>
        <v>#NUM!</v>
      </c>
      <c r="BU35" s="5" t="e">
        <f t="shared" si="16"/>
        <v>#NUM!</v>
      </c>
      <c r="BW35" s="5"/>
      <c r="BX35" s="5"/>
      <c r="BY35" s="5"/>
      <c r="BZ35" s="5"/>
      <c r="CA35" s="130"/>
      <c r="CB35" s="5"/>
      <c r="CC35" s="5" t="e">
        <f t="shared" si="17"/>
        <v>#DIV/0!</v>
      </c>
      <c r="CD35" s="5" t="e">
        <f t="shared" si="18"/>
        <v>#DIV/0!</v>
      </c>
      <c r="CE35" s="5"/>
      <c r="CI35" s="130">
        <f t="shared" si="19"/>
        <v>1.4211111883056773</v>
      </c>
      <c r="CJ35" s="130">
        <f t="shared" si="20"/>
        <v>1.4218540089108698</v>
      </c>
      <c r="CK35" s="296">
        <f t="shared" si="49"/>
        <v>1.4562023977231708</v>
      </c>
      <c r="CL35" s="130">
        <f t="shared" si="21"/>
        <v>1.4562023977231708</v>
      </c>
      <c r="CM35" s="5">
        <f t="shared" si="50"/>
        <v>0</v>
      </c>
      <c r="CN35" s="5">
        <f t="shared" si="22"/>
        <v>0</v>
      </c>
      <c r="DE35" s="130" t="e">
        <f t="shared" si="23"/>
        <v>#NUM!</v>
      </c>
      <c r="DF35" s="130" t="e">
        <f t="shared" si="24"/>
        <v>#NUM!</v>
      </c>
      <c r="DG35" s="130" t="e">
        <f t="shared" si="51"/>
        <v>#NUM!</v>
      </c>
      <c r="DH35" s="130" t="e">
        <f t="shared" si="25"/>
        <v>#NUM!</v>
      </c>
      <c r="DJ35" s="130" t="e">
        <f t="shared" si="26"/>
        <v>#NUM!</v>
      </c>
      <c r="DK35" s="130" t="e">
        <f t="shared" si="27"/>
        <v>#NUM!</v>
      </c>
      <c r="DL35" s="130" t="e">
        <f t="shared" si="52"/>
        <v>#NUM!</v>
      </c>
      <c r="DM35" s="130" t="e">
        <f t="shared" si="62"/>
        <v>#NUM!</v>
      </c>
      <c r="DO35" s="130" t="e">
        <f t="shared" si="28"/>
        <v>#NUM!</v>
      </c>
      <c r="DP35" s="130" t="e">
        <f t="shared" si="29"/>
        <v>#NUM!</v>
      </c>
      <c r="DQ35" s="130" t="e">
        <f t="shared" si="53"/>
        <v>#NUM!</v>
      </c>
    </row>
    <row r="36" spans="2:121" hidden="1">
      <c r="B36" s="231">
        <v>30</v>
      </c>
      <c r="C36" s="280"/>
      <c r="D36" s="475"/>
      <c r="E36" s="318">
        <f t="shared" si="30"/>
        <v>41257</v>
      </c>
      <c r="F36" s="542">
        <f t="shared" si="66"/>
        <v>0</v>
      </c>
      <c r="G36" s="239"/>
      <c r="H36" s="685">
        <f t="shared" si="31"/>
        <v>0</v>
      </c>
      <c r="I36" s="240"/>
      <c r="J36" s="597">
        <f t="shared" si="32"/>
        <v>0</v>
      </c>
      <c r="K36" s="478">
        <f t="shared" si="33"/>
        <v>0</v>
      </c>
      <c r="L36" s="240"/>
      <c r="M36" s="235">
        <f t="shared" si="34"/>
        <v>0</v>
      </c>
      <c r="N36" s="479">
        <f t="shared" si="35"/>
        <v>0</v>
      </c>
      <c r="O36" s="234"/>
      <c r="P36" s="235">
        <f t="shared" si="36"/>
        <v>0</v>
      </c>
      <c r="Q36" s="651">
        <f t="shared" si="37"/>
        <v>0</v>
      </c>
      <c r="R36" s="479">
        <f>IF(J36&gt;0,IF(OR(ManualMode=FALSE,ISBLANK(S36)),'Pricing - Advanced'!$F$16*J36+'Pricing - Advanced'!$F$17,"N/A"),0)</f>
        <v>0</v>
      </c>
      <c r="S36" s="234"/>
      <c r="T36" s="235">
        <f t="shared" si="38"/>
        <v>0</v>
      </c>
      <c r="U36" s="599">
        <f>IF(OR(ManualMode=FALSE,ISBLANK(V36)),SUM(K36:L36)*'Pricing - Advanced'!$F$19+SUM(N36,O36)*'Pricing - Advanced'!$F$18,"N/A")</f>
        <v>0</v>
      </c>
      <c r="V36" s="234"/>
      <c r="W36" s="236">
        <f t="shared" si="39"/>
        <v>0</v>
      </c>
      <c r="X36" s="237">
        <f>'Pricing - Advanced'!$F$20*SUM(H36:I36)+IF(J36&gt;1,'Pricing - Advanced'!$F$21,0)</f>
        <v>0</v>
      </c>
      <c r="Y36" s="688">
        <f>IF(AND(FullTerm&gt;=B36,AB35&gt;0),AB35*'Pricing - Advanced'!$I$128,0)</f>
        <v>0</v>
      </c>
      <c r="Z36" s="233">
        <f t="shared" si="40"/>
        <v>0</v>
      </c>
      <c r="AA36" s="234"/>
      <c r="AB36" s="597">
        <f t="shared" si="61"/>
        <v>0</v>
      </c>
      <c r="AC36" s="236">
        <f t="shared" si="0"/>
        <v>0</v>
      </c>
      <c r="AF36" s="762" t="e">
        <f t="shared" si="41"/>
        <v>#N/A</v>
      </c>
      <c r="AG36" s="759" t="e">
        <f t="shared" si="1"/>
        <v>#N/A</v>
      </c>
      <c r="AH36" s="759">
        <f>IF(J36=0,0,J36-SUM($N$6:N36)-AB35)</f>
        <v>0</v>
      </c>
      <c r="AI36" s="759">
        <f t="shared" si="2"/>
        <v>0</v>
      </c>
      <c r="AJ36" s="760">
        <f t="shared" si="55"/>
        <v>3.0000000000000001E-3</v>
      </c>
      <c r="AK36" s="760">
        <f t="shared" si="56"/>
        <v>3.0000000000000001E-3</v>
      </c>
      <c r="AN36" s="1" t="b">
        <f t="shared" si="57"/>
        <v>1</v>
      </c>
      <c r="AQ36" s="15">
        <f>IF(J35&gt;1,IF(int_method=2,$AG$229*J35,$AG$229*'Pricing - Advanced'!$E$4),0)</f>
        <v>0</v>
      </c>
      <c r="AR36" s="5">
        <f t="shared" si="42"/>
        <v>0</v>
      </c>
      <c r="AS36" s="204">
        <f t="shared" si="58"/>
        <v>41257</v>
      </c>
      <c r="AT36" s="1">
        <f>IF($AT$4=FALSE,B36*'Pricing - Advanced'!$K$5,AT35+E36-E35)</f>
        <v>914</v>
      </c>
      <c r="AW36" s="603">
        <f t="shared" si="43"/>
        <v>0</v>
      </c>
      <c r="AX36" s="603">
        <f t="shared" si="3"/>
        <v>0</v>
      </c>
      <c r="AY36" s="603">
        <f t="shared" si="4"/>
        <v>0</v>
      </c>
      <c r="AZ36" s="603">
        <f t="shared" si="5"/>
        <v>0</v>
      </c>
      <c r="BA36" s="603">
        <f t="shared" si="44"/>
        <v>0</v>
      </c>
      <c r="BB36" s="603">
        <f t="shared" si="45"/>
        <v>0</v>
      </c>
      <c r="BC36" s="603">
        <f t="shared" si="6"/>
        <v>0</v>
      </c>
      <c r="BE36" s="157">
        <f t="shared" si="7"/>
        <v>30</v>
      </c>
      <c r="BF36" s="489">
        <f t="shared" si="46"/>
        <v>914</v>
      </c>
      <c r="BG36" s="146">
        <f t="shared" si="8"/>
        <v>0</v>
      </c>
      <c r="BH36" s="147">
        <f t="shared" si="9"/>
        <v>0</v>
      </c>
      <c r="BI36" s="154" t="e">
        <f t="shared" si="10"/>
        <v>#NUM!</v>
      </c>
      <c r="BJ36" s="277" t="e">
        <f t="shared" si="63"/>
        <v>#NUM!</v>
      </c>
      <c r="BK36" s="147" t="e">
        <f t="shared" si="64"/>
        <v>#NUM!</v>
      </c>
      <c r="BL36" s="132" t="e">
        <f t="shared" si="65"/>
        <v>#NUM!</v>
      </c>
      <c r="BN36" s="497">
        <f t="shared" si="11"/>
        <v>30</v>
      </c>
      <c r="BO36" s="497">
        <f t="shared" si="12"/>
        <v>914</v>
      </c>
      <c r="BP36" s="5">
        <f t="shared" si="13"/>
        <v>0</v>
      </c>
      <c r="BQ36" s="5">
        <f t="shared" si="14"/>
        <v>0</v>
      </c>
      <c r="BR36" s="499" t="e">
        <f t="shared" si="48"/>
        <v>#NUM!</v>
      </c>
      <c r="BS36" s="277" t="e">
        <f t="shared" si="60"/>
        <v>#NUM!</v>
      </c>
      <c r="BT36" s="5" t="e">
        <f t="shared" si="15"/>
        <v>#NUM!</v>
      </c>
      <c r="BU36" s="5" t="e">
        <f t="shared" si="16"/>
        <v>#NUM!</v>
      </c>
      <c r="BW36" s="5"/>
      <c r="BX36" s="5"/>
      <c r="BY36" s="5"/>
      <c r="BZ36" s="5"/>
      <c r="CA36" s="130"/>
      <c r="CB36" s="5"/>
      <c r="CC36" s="5" t="e">
        <f t="shared" si="17"/>
        <v>#DIV/0!</v>
      </c>
      <c r="CD36" s="5" t="e">
        <f t="shared" si="18"/>
        <v>#DIV/0!</v>
      </c>
      <c r="CE36" s="5"/>
      <c r="CI36" s="130">
        <f t="shared" si="19"/>
        <v>1.4384378264449276</v>
      </c>
      <c r="CJ36" s="130">
        <f t="shared" si="20"/>
        <v>1.4389390343270361</v>
      </c>
      <c r="CK36" s="296">
        <f t="shared" si="49"/>
        <v>1.4751971943441768</v>
      </c>
      <c r="CL36" s="130">
        <f t="shared" si="21"/>
        <v>1.4751971943441768</v>
      </c>
      <c r="CM36" s="5">
        <f t="shared" si="50"/>
        <v>0</v>
      </c>
      <c r="CN36" s="5">
        <f t="shared" si="22"/>
        <v>0</v>
      </c>
      <c r="DE36" s="130" t="e">
        <f t="shared" si="23"/>
        <v>#NUM!</v>
      </c>
      <c r="DF36" s="130" t="e">
        <f t="shared" si="24"/>
        <v>#NUM!</v>
      </c>
      <c r="DG36" s="130" t="e">
        <f t="shared" si="51"/>
        <v>#NUM!</v>
      </c>
      <c r="DH36" s="130" t="e">
        <f t="shared" si="25"/>
        <v>#NUM!</v>
      </c>
      <c r="DJ36" s="130" t="e">
        <f t="shared" si="26"/>
        <v>#NUM!</v>
      </c>
      <c r="DK36" s="130" t="e">
        <f t="shared" si="27"/>
        <v>#NUM!</v>
      </c>
      <c r="DL36" s="130" t="e">
        <f t="shared" si="52"/>
        <v>#NUM!</v>
      </c>
      <c r="DM36" s="130" t="e">
        <f t="shared" si="62"/>
        <v>#NUM!</v>
      </c>
      <c r="DO36" s="130" t="e">
        <f t="shared" si="28"/>
        <v>#NUM!</v>
      </c>
      <c r="DP36" s="130" t="e">
        <f t="shared" si="29"/>
        <v>#NUM!</v>
      </c>
      <c r="DQ36" s="130" t="e">
        <f t="shared" si="53"/>
        <v>#NUM!</v>
      </c>
    </row>
    <row r="37" spans="2:121" hidden="1">
      <c r="B37" s="231">
        <v>31</v>
      </c>
      <c r="C37" s="280"/>
      <c r="D37" s="475"/>
      <c r="E37" s="318">
        <f t="shared" si="30"/>
        <v>41288</v>
      </c>
      <c r="F37" s="542">
        <f t="shared" si="66"/>
        <v>0</v>
      </c>
      <c r="G37" s="239"/>
      <c r="H37" s="685">
        <f t="shared" si="31"/>
        <v>0</v>
      </c>
      <c r="I37" s="240"/>
      <c r="J37" s="597">
        <f t="shared" si="32"/>
        <v>0</v>
      </c>
      <c r="K37" s="478">
        <f t="shared" si="33"/>
        <v>0</v>
      </c>
      <c r="L37" s="240"/>
      <c r="M37" s="235">
        <f t="shared" si="34"/>
        <v>0</v>
      </c>
      <c r="N37" s="479">
        <f t="shared" si="35"/>
        <v>0</v>
      </c>
      <c r="O37" s="234"/>
      <c r="P37" s="235">
        <f t="shared" si="36"/>
        <v>0</v>
      </c>
      <c r="Q37" s="651">
        <f t="shared" si="37"/>
        <v>0</v>
      </c>
      <c r="R37" s="479">
        <f>IF(J37&gt;0,IF(OR(ManualMode=FALSE,ISBLANK(S37)),'Pricing - Advanced'!$F$16*J37+'Pricing - Advanced'!$F$17,"N/A"),0)</f>
        <v>0</v>
      </c>
      <c r="S37" s="234"/>
      <c r="T37" s="235">
        <f t="shared" si="38"/>
        <v>0</v>
      </c>
      <c r="U37" s="599">
        <f>IF(OR(ManualMode=FALSE,ISBLANK(V37)),SUM(K37:L37)*'Pricing - Advanced'!$F$19+SUM(N37,O37)*'Pricing - Advanced'!$F$18,"N/A")</f>
        <v>0</v>
      </c>
      <c r="V37" s="234"/>
      <c r="W37" s="236">
        <f t="shared" si="39"/>
        <v>0</v>
      </c>
      <c r="X37" s="237">
        <f>'Pricing - Advanced'!$F$20*SUM(H37:I37)+IF(J37&gt;1,'Pricing - Advanced'!$F$21,0)</f>
        <v>0</v>
      </c>
      <c r="Y37" s="688">
        <f>IF(AND(FullTerm&gt;=B37,AB36&gt;0),AB36*'Pricing - Advanced'!$I$128,0)</f>
        <v>0</v>
      </c>
      <c r="Z37" s="233">
        <f t="shared" si="40"/>
        <v>0</v>
      </c>
      <c r="AA37" s="234"/>
      <c r="AB37" s="597">
        <f t="shared" si="61"/>
        <v>0</v>
      </c>
      <c r="AC37" s="236">
        <f t="shared" si="0"/>
        <v>0</v>
      </c>
      <c r="AF37" s="762" t="e">
        <f t="shared" si="41"/>
        <v>#N/A</v>
      </c>
      <c r="AG37" s="759" t="e">
        <f t="shared" si="1"/>
        <v>#N/A</v>
      </c>
      <c r="AH37" s="759">
        <f>IF(J37=0,0,J37-SUM($N$6:N37)-AB36)</f>
        <v>0</v>
      </c>
      <c r="AI37" s="759">
        <f t="shared" si="2"/>
        <v>0</v>
      </c>
      <c r="AJ37" s="760">
        <f t="shared" si="55"/>
        <v>3.0000000000000001E-3</v>
      </c>
      <c r="AK37" s="760">
        <f t="shared" si="56"/>
        <v>3.0000000000000001E-3</v>
      </c>
      <c r="AN37" s="1" t="b">
        <f t="shared" si="57"/>
        <v>1</v>
      </c>
      <c r="AQ37" s="15">
        <f>IF(J36&gt;1,IF(int_method=2,$AG$229*J36,$AG$229*'Pricing - Advanced'!$E$4),0)</f>
        <v>0</v>
      </c>
      <c r="AR37" s="5">
        <f t="shared" si="42"/>
        <v>0</v>
      </c>
      <c r="AS37" s="204">
        <f t="shared" si="58"/>
        <v>41288</v>
      </c>
      <c r="AT37" s="1">
        <f>IF($AT$4=FALSE,B37*'Pricing - Advanced'!$K$5,AT36+E37-E36)</f>
        <v>945</v>
      </c>
      <c r="AW37" s="603">
        <f t="shared" si="43"/>
        <v>0</v>
      </c>
      <c r="AX37" s="603">
        <f t="shared" si="3"/>
        <v>0</v>
      </c>
      <c r="AY37" s="603">
        <f t="shared" si="4"/>
        <v>0</v>
      </c>
      <c r="AZ37" s="603">
        <f t="shared" si="5"/>
        <v>0</v>
      </c>
      <c r="BA37" s="603">
        <f t="shared" si="44"/>
        <v>0</v>
      </c>
      <c r="BB37" s="603">
        <f t="shared" si="45"/>
        <v>0</v>
      </c>
      <c r="BC37" s="603">
        <f t="shared" si="6"/>
        <v>0</v>
      </c>
      <c r="BE37" s="157">
        <f t="shared" si="7"/>
        <v>31</v>
      </c>
      <c r="BF37" s="489">
        <f t="shared" si="46"/>
        <v>945</v>
      </c>
      <c r="BG37" s="146">
        <f t="shared" si="8"/>
        <v>0</v>
      </c>
      <c r="BH37" s="147">
        <f t="shared" si="9"/>
        <v>0</v>
      </c>
      <c r="BI37" s="154" t="e">
        <f t="shared" si="10"/>
        <v>#NUM!</v>
      </c>
      <c r="BJ37" s="277" t="e">
        <f t="shared" si="63"/>
        <v>#NUM!</v>
      </c>
      <c r="BK37" s="147" t="e">
        <f t="shared" si="64"/>
        <v>#NUM!</v>
      </c>
      <c r="BL37" s="132" t="e">
        <f t="shared" si="65"/>
        <v>#NUM!</v>
      </c>
      <c r="BN37" s="497">
        <f t="shared" si="11"/>
        <v>31</v>
      </c>
      <c r="BO37" s="497">
        <f t="shared" si="12"/>
        <v>945</v>
      </c>
      <c r="BP37" s="5">
        <f t="shared" si="13"/>
        <v>0</v>
      </c>
      <c r="BQ37" s="5">
        <f t="shared" si="14"/>
        <v>0</v>
      </c>
      <c r="BR37" s="499" t="e">
        <f t="shared" si="48"/>
        <v>#NUM!</v>
      </c>
      <c r="BS37" s="277" t="e">
        <f t="shared" si="60"/>
        <v>#NUM!</v>
      </c>
      <c r="BT37" s="5" t="e">
        <f t="shared" si="15"/>
        <v>#NUM!</v>
      </c>
      <c r="BU37" s="5" t="e">
        <f t="shared" si="16"/>
        <v>#NUM!</v>
      </c>
      <c r="BW37" s="5"/>
      <c r="BX37" s="5"/>
      <c r="BY37" s="5"/>
      <c r="BZ37" s="5"/>
      <c r="CA37" s="130"/>
      <c r="CB37" s="5"/>
      <c r="CC37" s="5" t="e">
        <f t="shared" si="17"/>
        <v>#DIV/0!</v>
      </c>
      <c r="CD37" s="5" t="e">
        <f t="shared" si="18"/>
        <v>#DIV/0!</v>
      </c>
      <c r="CE37" s="5"/>
      <c r="CI37" s="130">
        <f t="shared" si="19"/>
        <v>1.4559757164493938</v>
      </c>
      <c r="CJ37" s="130">
        <f t="shared" si="20"/>
        <v>1.4568092620516242</v>
      </c>
      <c r="CK37" s="296">
        <f t="shared" si="49"/>
        <v>1.4944397602994715</v>
      </c>
      <c r="CL37" s="130">
        <f t="shared" si="21"/>
        <v>1.4944397602994715</v>
      </c>
      <c r="CM37" s="5">
        <f t="shared" si="50"/>
        <v>0</v>
      </c>
      <c r="CN37" s="5">
        <f t="shared" si="22"/>
        <v>0</v>
      </c>
      <c r="DE37" s="130" t="e">
        <f t="shared" si="23"/>
        <v>#NUM!</v>
      </c>
      <c r="DF37" s="130" t="e">
        <f t="shared" si="24"/>
        <v>#NUM!</v>
      </c>
      <c r="DG37" s="130" t="e">
        <f t="shared" si="51"/>
        <v>#NUM!</v>
      </c>
      <c r="DH37" s="130" t="e">
        <f t="shared" si="25"/>
        <v>#NUM!</v>
      </c>
      <c r="DJ37" s="130" t="e">
        <f t="shared" si="26"/>
        <v>#NUM!</v>
      </c>
      <c r="DK37" s="130" t="e">
        <f t="shared" si="27"/>
        <v>#NUM!</v>
      </c>
      <c r="DL37" s="130" t="e">
        <f t="shared" si="52"/>
        <v>#NUM!</v>
      </c>
      <c r="DM37" s="130" t="e">
        <f t="shared" si="62"/>
        <v>#NUM!</v>
      </c>
      <c r="DO37" s="130" t="e">
        <f t="shared" si="28"/>
        <v>#NUM!</v>
      </c>
      <c r="DP37" s="130" t="e">
        <f t="shared" si="29"/>
        <v>#NUM!</v>
      </c>
      <c r="DQ37" s="130" t="e">
        <f t="shared" si="53"/>
        <v>#NUM!</v>
      </c>
    </row>
    <row r="38" spans="2:121" hidden="1">
      <c r="B38" s="231">
        <v>32</v>
      </c>
      <c r="C38" s="280"/>
      <c r="D38" s="475"/>
      <c r="E38" s="318">
        <f t="shared" si="30"/>
        <v>41319</v>
      </c>
      <c r="F38" s="542">
        <f t="shared" si="66"/>
        <v>0</v>
      </c>
      <c r="G38" s="239"/>
      <c r="H38" s="685">
        <f t="shared" si="31"/>
        <v>0</v>
      </c>
      <c r="I38" s="240"/>
      <c r="J38" s="597">
        <f t="shared" si="32"/>
        <v>0</v>
      </c>
      <c r="K38" s="478">
        <f t="shared" si="33"/>
        <v>0</v>
      </c>
      <c r="L38" s="240"/>
      <c r="M38" s="235">
        <f t="shared" si="34"/>
        <v>0</v>
      </c>
      <c r="N38" s="479">
        <f t="shared" si="35"/>
        <v>0</v>
      </c>
      <c r="O38" s="234"/>
      <c r="P38" s="235">
        <f t="shared" si="36"/>
        <v>0</v>
      </c>
      <c r="Q38" s="651">
        <f t="shared" si="37"/>
        <v>0</v>
      </c>
      <c r="R38" s="479">
        <f>IF(J38&gt;0,IF(OR(ManualMode=FALSE,ISBLANK(S38)),'Pricing - Advanced'!$F$16*J38+'Pricing - Advanced'!$F$17,"N/A"),0)</f>
        <v>0</v>
      </c>
      <c r="S38" s="234"/>
      <c r="T38" s="235">
        <f t="shared" si="38"/>
        <v>0</v>
      </c>
      <c r="U38" s="599">
        <f>IF(OR(ManualMode=FALSE,ISBLANK(V38)),SUM(K38:L38)*'Pricing - Advanced'!$F$19+SUM(N38,O38)*'Pricing - Advanced'!$F$18,"N/A")</f>
        <v>0</v>
      </c>
      <c r="V38" s="234"/>
      <c r="W38" s="236">
        <f t="shared" si="39"/>
        <v>0</v>
      </c>
      <c r="X38" s="237">
        <f>'Pricing - Advanced'!$F$20*SUM(H38:I38)+IF(J38&gt;1,'Pricing - Advanced'!$F$21,0)</f>
        <v>0</v>
      </c>
      <c r="Y38" s="688">
        <f>IF(AND(FullTerm&gt;=B38,AB37&gt;0),AB37*'Pricing - Advanced'!$I$128,0)</f>
        <v>0</v>
      </c>
      <c r="Z38" s="233">
        <f t="shared" si="40"/>
        <v>0</v>
      </c>
      <c r="AA38" s="234"/>
      <c r="AB38" s="597">
        <f t="shared" si="61"/>
        <v>0</v>
      </c>
      <c r="AC38" s="236">
        <f t="shared" ref="AC38:AC69" si="67">IF(AND(ManualMode=TRUE,NOT(ISBLANK(AA38)),AN38="x"),W38-AA38,W38-X38+Z38)</f>
        <v>0</v>
      </c>
      <c r="AF38" s="762" t="e">
        <f t="shared" si="41"/>
        <v>#N/A</v>
      </c>
      <c r="AG38" s="759" t="e">
        <f t="shared" ref="AG38:AG69" si="68">IF(AB38&gt;0,AB38,NA())</f>
        <v>#N/A</v>
      </c>
      <c r="AH38" s="759">
        <f>IF(J38=0,0,J38-SUM($N$6:N38)-AB37)</f>
        <v>0</v>
      </c>
      <c r="AI38" s="759">
        <f t="shared" ref="AI38:AI69" si="69">IF(AND(AH38&lt;0,B38&lt;=term),1,0)</f>
        <v>0</v>
      </c>
      <c r="AJ38" s="760">
        <f t="shared" si="55"/>
        <v>3.0000000000000001E-3</v>
      </c>
      <c r="AK38" s="760">
        <f t="shared" si="56"/>
        <v>3.0000000000000001E-3</v>
      </c>
      <c r="AN38" s="1" t="b">
        <f t="shared" si="57"/>
        <v>1</v>
      </c>
      <c r="AQ38" s="15">
        <f>IF(J37&gt;1,IF(int_method=2,$AG$229*J37,$AG$229*'Pricing - Advanced'!$E$4),0)</f>
        <v>0</v>
      </c>
      <c r="AR38" s="5">
        <f t="shared" si="42"/>
        <v>0</v>
      </c>
      <c r="AS38" s="204">
        <f t="shared" si="58"/>
        <v>41319</v>
      </c>
      <c r="AT38" s="1">
        <f>IF($AT$4=FALSE,B38*'Pricing - Advanced'!$K$5,AT37+E38-E37)</f>
        <v>976</v>
      </c>
      <c r="AW38" s="603">
        <f t="shared" si="43"/>
        <v>0</v>
      </c>
      <c r="AX38" s="603">
        <f t="shared" ref="AX38:AX69" si="70">G38+Z38</f>
        <v>0</v>
      </c>
      <c r="AY38" s="603">
        <f t="shared" ref="AY38:AY69" si="71">IF(ManualMode=FALSE,H38+K38,SUM(H38,I38,K38,L38))</f>
        <v>0</v>
      </c>
      <c r="AZ38" s="603">
        <f t="shared" ref="AZ38:AZ69" si="72">AY38+IF(ISNUMBER(N38),N38,O38)</f>
        <v>0</v>
      </c>
      <c r="BA38" s="603">
        <f t="shared" si="44"/>
        <v>0</v>
      </c>
      <c r="BB38" s="603">
        <f t="shared" si="45"/>
        <v>0</v>
      </c>
      <c r="BC38" s="603">
        <f t="shared" ref="BC38:BC69" si="73">BB38+X38</f>
        <v>0</v>
      </c>
      <c r="BE38" s="157">
        <f t="shared" ref="BE38:BE69" si="74">B38</f>
        <v>32</v>
      </c>
      <c r="BF38" s="489">
        <f t="shared" si="46"/>
        <v>976</v>
      </c>
      <c r="BG38" s="146">
        <f t="shared" ref="BG38:BG69" si="75">AW38</f>
        <v>0</v>
      </c>
      <c r="BH38" s="147">
        <f t="shared" ref="BH38:BH69" si="76">AY38</f>
        <v>0</v>
      </c>
      <c r="BI38" s="154" t="e">
        <f t="shared" ref="BI38:BI69" si="77">DH38</f>
        <v>#NUM!</v>
      </c>
      <c r="BJ38" s="277" t="e">
        <f t="shared" si="63"/>
        <v>#NUM!</v>
      </c>
      <c r="BK38" s="147" t="e">
        <f t="shared" si="64"/>
        <v>#NUM!</v>
      </c>
      <c r="BL38" s="132" t="e">
        <f t="shared" si="65"/>
        <v>#NUM!</v>
      </c>
      <c r="BN38" s="497">
        <f t="shared" ref="BN38:BN69" si="78">BE38</f>
        <v>32</v>
      </c>
      <c r="BO38" s="497">
        <f t="shared" ref="BO38:BO69" si="79">BF38</f>
        <v>976</v>
      </c>
      <c r="BP38" s="5">
        <f t="shared" ref="BP38:BP69" si="80">AW38</f>
        <v>0</v>
      </c>
      <c r="BQ38" s="5">
        <f t="shared" ref="BQ38:BQ69" si="81">AZ38</f>
        <v>0</v>
      </c>
      <c r="BR38" s="499" t="e">
        <f t="shared" si="48"/>
        <v>#NUM!</v>
      </c>
      <c r="BS38" s="277" t="e">
        <f t="shared" si="60"/>
        <v>#NUM!</v>
      </c>
      <c r="BT38" s="5" t="e">
        <f t="shared" ref="BT38:BT69" si="82">$AW38/BR38</f>
        <v>#NUM!</v>
      </c>
      <c r="BU38" s="5" t="e">
        <f t="shared" ref="BU38:BU69" si="83">$AZ38/BR38</f>
        <v>#NUM!</v>
      </c>
      <c r="BW38" s="5"/>
      <c r="BX38" s="5"/>
      <c r="BY38" s="5"/>
      <c r="BZ38" s="5"/>
      <c r="CA38" s="130"/>
      <c r="CB38" s="5"/>
      <c r="CC38" s="5" t="e">
        <f t="shared" ref="CC38:CC69" si="84">$AW38/CA38</f>
        <v>#DIV/0!</v>
      </c>
      <c r="CD38" s="5" t="e">
        <f t="shared" ref="CD38:CD69" si="85">$BB38/CA38</f>
        <v>#DIV/0!</v>
      </c>
      <c r="CE38" s="5"/>
      <c r="CI38" s="130">
        <f t="shared" ref="CI38:CI69" si="86">(1+CJ$2)^($B38/$CR$4)</f>
        <v>1.4737274339687889</v>
      </c>
      <c r="CJ38" s="130">
        <f t="shared" ref="CJ38:CJ69" si="87">(1+CJ$2)^($AT38/DaysYr)</f>
        <v>1.474901420678989</v>
      </c>
      <c r="CK38" s="296">
        <f t="shared" si="49"/>
        <v>1.5139333275079976</v>
      </c>
      <c r="CL38" s="130">
        <f t="shared" ref="CL38:CL69" si="88">IF($CR$1=1,CI38,IF($CR$1=2,CK38,CJ38))</f>
        <v>1.5139333275079976</v>
      </c>
      <c r="CM38" s="5">
        <f t="shared" si="50"/>
        <v>0</v>
      </c>
      <c r="CN38" s="5">
        <f t="shared" ref="CN38:CN69" si="89">BC38/CL38</f>
        <v>0</v>
      </c>
      <c r="DE38" s="130" t="e">
        <f t="shared" ref="DE38:DE69" si="90">(1+DF$3)^($B38/$CR$4)</f>
        <v>#NUM!</v>
      </c>
      <c r="DF38" s="130" t="e">
        <f t="shared" ref="DF38:DF69" si="91">(1+DF$3)^($BF38/DaysYr)</f>
        <v>#NUM!</v>
      </c>
      <c r="DG38" s="130" t="e">
        <f t="shared" si="51"/>
        <v>#NUM!</v>
      </c>
      <c r="DH38" s="130" t="e">
        <f t="shared" ref="DH38:DH69" si="92">IF($CR$1=1,DE38,IF($CR$1=2,DG38,DF38))</f>
        <v>#NUM!</v>
      </c>
      <c r="DJ38" s="130" t="e">
        <f t="shared" ref="DJ38:DJ69" si="93">(1+DK$3)^($B38/$CR$4)</f>
        <v>#NUM!</v>
      </c>
      <c r="DK38" s="130" t="e">
        <f t="shared" ref="DK38:DK69" si="94">(1+DK$3)^($AT38/DaysYr)</f>
        <v>#NUM!</v>
      </c>
      <c r="DL38" s="130" t="e">
        <f t="shared" si="52"/>
        <v>#NUM!</v>
      </c>
      <c r="DM38" s="130" t="e">
        <f t="shared" si="62"/>
        <v>#NUM!</v>
      </c>
      <c r="DO38" s="130" t="e">
        <f t="shared" ref="DO38:DO69" si="95">(1+DP$3)^($B38/$CR$4)</f>
        <v>#NUM!</v>
      </c>
      <c r="DP38" s="130" t="e">
        <f t="shared" ref="DP38:DP69" si="96">(1+DP$3)^($AT38/DaysYr)</f>
        <v>#NUM!</v>
      </c>
      <c r="DQ38" s="130" t="e">
        <f t="shared" si="53"/>
        <v>#NUM!</v>
      </c>
    </row>
    <row r="39" spans="2:121" hidden="1">
      <c r="B39" s="231">
        <v>33</v>
      </c>
      <c r="C39" s="280"/>
      <c r="D39" s="475"/>
      <c r="E39" s="318">
        <f t="shared" ref="E39:E70" si="97">IF(ManualDates="x",IF(NOT(ISBLANK(D39)),D39,IF(C39=0,AS39,E38+C39)),AS39)</f>
        <v>41347</v>
      </c>
      <c r="F39" s="542">
        <f t="shared" si="66"/>
        <v>0</v>
      </c>
      <c r="G39" s="239"/>
      <c r="H39" s="685">
        <f t="shared" ref="H39:H70" si="98">IF(AND(ManualMode=TRUE,NOT(ISBLANK(I39))),"N/A",IF(B39=PrepayPeriod,J38,IF(AND(B39&gt;=FirstPmt,B39&lt;=PrepayPeriod),IF(AND(B39&lt;$AG$228,amortized=1),LoanAmt/$AG$226,-PPMT($AG$229,$B39-FirstPmt+1,$AG$226,LoanAmt)),0)))</f>
        <v>0</v>
      </c>
      <c r="I39" s="240"/>
      <c r="J39" s="597">
        <f t="shared" ref="J39:J70" si="99">IF(AN39&lt;&gt;"x",0,IF(AND(ManualMode=TRUE,NOT(ISBLANK(I39))),J38-I39,IF(J38+G39-H39&gt;1,(J38+G39-H39),0)))</f>
        <v>0</v>
      </c>
      <c r="K39" s="478">
        <f t="shared" ref="K39:K70" si="100">IF(AND(ManualMode=TRUE,NOT(ISBLANK(L39))),"N/A",IF(OR($AH$227&gt;B39,J38&lt;1),0,AR39))</f>
        <v>0</v>
      </c>
      <c r="L39" s="240"/>
      <c r="M39" s="235">
        <f t="shared" ref="M39:M70" si="101">IF(AN39="x",IF(ManualMode=FALSE,-H39-K39,IF(ISBLANK(I39),-H39,-I39)+IF(ISBLANK(L39),-K39,-L39)),0)</f>
        <v>0</v>
      </c>
      <c r="N39" s="479">
        <f t="shared" ref="N39:N70" si="102">IF(OR(ManualMode=FALSE,ISBLANK(O39)),IF(FeeOngoPerc&lt;1,FeeOngoPerc*SUM(H39:I39),IF(J38&gt;1,FeeOngoPerc,0))+IF(FeeOngoFix&lt;1,FeeOngoFix*SUM(H39:I39),IF(J38&gt;1,FeeOngoFix,0)),"N/A")</f>
        <v>0</v>
      </c>
      <c r="O39" s="234"/>
      <c r="P39" s="235">
        <f t="shared" ref="P39:P70" si="103">IF(AND(ManualMode=TRUE,NOT(ISBLANK(O39)),AN39="x"),M39-O39,M39-N39)</f>
        <v>0</v>
      </c>
      <c r="Q39" s="651">
        <f t="shared" ref="Q39:Q70" si="104">IF(J38&gt;0.01,IF(ManualMode=FALSE,SUM(K39,N39),SUM(K39,L39,N39,O39))/J38*(365.25/(AT39-AT38)),0)</f>
        <v>0</v>
      </c>
      <c r="R39" s="479">
        <f>IF(J39&gt;0,IF(OR(ManualMode=FALSE,ISBLANK(S39)),'Pricing - Advanced'!$F$16*J39+'Pricing - Advanced'!$F$17,"N/A"),0)</f>
        <v>0</v>
      </c>
      <c r="S39" s="234"/>
      <c r="T39" s="235">
        <f t="shared" ref="T39:T70" si="105">IF(AND(ManualMode=TRUE,NOT(ISBLANK(S39)),AN39="x"),P39-S39,P39-R39)</f>
        <v>0</v>
      </c>
      <c r="U39" s="599">
        <f>IF(OR(ManualMode=FALSE,ISBLANK(V39)),SUM(K39:L39)*'Pricing - Advanced'!$F$19+SUM(N39,O39)*'Pricing - Advanced'!$F$18,"N/A")</f>
        <v>0</v>
      </c>
      <c r="V39" s="234"/>
      <c r="W39" s="236">
        <f t="shared" ref="W39:W70" si="106">IF(AND(ManualMode=TRUE,NOT(ISBLANK(V39)),AN39="x"),T39-V39,T39-U39)</f>
        <v>0</v>
      </c>
      <c r="X39" s="237">
        <f>'Pricing - Advanced'!$F$20*SUM(H39:I39)+IF(J39&gt;1,'Pricing - Advanced'!$F$21,0)</f>
        <v>0</v>
      </c>
      <c r="Y39" s="688">
        <f>IF(AND(FullTerm&gt;=B39,AB38&gt;0),AB38*'Pricing - Advanced'!$I$128,0)</f>
        <v>0</v>
      </c>
      <c r="Z39" s="233">
        <f t="shared" ref="Z39:Z70" si="107">IF(FullTerm=B39,AB38+X39+Y39,0)</f>
        <v>0</v>
      </c>
      <c r="AA39" s="234"/>
      <c r="AB39" s="597">
        <f t="shared" ref="AB39:AB70" si="108">IF(AND(ManualMode=TRUE,NOT(ISBLANK(AA39)),AN39="x"),AB38+AA39,AB38+X39+Y39-Z39)</f>
        <v>0</v>
      </c>
      <c r="AC39" s="236">
        <f t="shared" si="67"/>
        <v>0</v>
      </c>
      <c r="AF39" s="762" t="e">
        <f t="shared" ref="AF39:AF70" si="109">IF(int_method=1,AF38,IF(J39&gt;0,J39,NA()))</f>
        <v>#N/A</v>
      </c>
      <c r="AG39" s="759" t="e">
        <f t="shared" si="68"/>
        <v>#N/A</v>
      </c>
      <c r="AH39" s="759">
        <f>IF(J39=0,0,J39-SUM($N$6:N39)-AB38)</f>
        <v>0</v>
      </c>
      <c r="AI39" s="759">
        <f t="shared" si="69"/>
        <v>0</v>
      </c>
      <c r="AJ39" s="760">
        <f t="shared" si="55"/>
        <v>3.0000000000000001E-3</v>
      </c>
      <c r="AK39" s="760">
        <f t="shared" si="56"/>
        <v>3.0000000000000001E-3</v>
      </c>
      <c r="AN39" s="1" t="b">
        <f t="shared" si="57"/>
        <v>1</v>
      </c>
      <c r="AQ39" s="15">
        <f>IF(J38&gt;1,IF(int_method=2,$AG$229*J38,$AG$229*'Pricing - Advanced'!$E$4),0)</f>
        <v>0</v>
      </c>
      <c r="AR39" s="5">
        <f t="shared" ref="AR39:AR70" si="110">IF(B39&gt;$AI$233,AQ39,0)+AR38-IF(ManualMode=TRUE,SUM(K38:L38),K38)</f>
        <v>0</v>
      </c>
      <c r="AS39" s="204">
        <f t="shared" si="58"/>
        <v>41347</v>
      </c>
      <c r="AT39" s="1">
        <f>IF($AT$4=FALSE,B39*'Pricing - Advanced'!$K$5,AT38+E39-E38)</f>
        <v>1004</v>
      </c>
      <c r="AW39" s="603">
        <f t="shared" si="43"/>
        <v>0</v>
      </c>
      <c r="AX39" s="603">
        <f t="shared" si="70"/>
        <v>0</v>
      </c>
      <c r="AY39" s="603">
        <f t="shared" si="71"/>
        <v>0</v>
      </c>
      <c r="AZ39" s="603">
        <f t="shared" si="72"/>
        <v>0</v>
      </c>
      <c r="BA39" s="603">
        <f t="shared" si="44"/>
        <v>0</v>
      </c>
      <c r="BB39" s="603">
        <f t="shared" si="45"/>
        <v>0</v>
      </c>
      <c r="BC39" s="603">
        <f t="shared" si="73"/>
        <v>0</v>
      </c>
      <c r="BE39" s="157">
        <f t="shared" si="74"/>
        <v>33</v>
      </c>
      <c r="BF39" s="489">
        <f t="shared" ref="BF39:BF70" si="111">E39-$E$6</f>
        <v>1004</v>
      </c>
      <c r="BG39" s="146">
        <f t="shared" si="75"/>
        <v>0</v>
      </c>
      <c r="BH39" s="147">
        <f t="shared" si="76"/>
        <v>0</v>
      </c>
      <c r="BI39" s="154" t="e">
        <f t="shared" si="77"/>
        <v>#NUM!</v>
      </c>
      <c r="BJ39" s="277" t="e">
        <f t="shared" si="63"/>
        <v>#NUM!</v>
      </c>
      <c r="BK39" s="147" t="e">
        <f t="shared" si="64"/>
        <v>#NUM!</v>
      </c>
      <c r="BL39" s="132" t="e">
        <f t="shared" si="65"/>
        <v>#NUM!</v>
      </c>
      <c r="BN39" s="497">
        <f t="shared" si="78"/>
        <v>33</v>
      </c>
      <c r="BO39" s="497">
        <f t="shared" si="79"/>
        <v>1004</v>
      </c>
      <c r="BP39" s="5">
        <f t="shared" si="80"/>
        <v>0</v>
      </c>
      <c r="BQ39" s="5">
        <f t="shared" si="81"/>
        <v>0</v>
      </c>
      <c r="BR39" s="499" t="e">
        <f t="shared" si="48"/>
        <v>#NUM!</v>
      </c>
      <c r="BS39" s="277" t="e">
        <f t="shared" si="60"/>
        <v>#NUM!</v>
      </c>
      <c r="BT39" s="5" t="e">
        <f t="shared" si="82"/>
        <v>#NUM!</v>
      </c>
      <c r="BU39" s="5" t="e">
        <f t="shared" si="83"/>
        <v>#NUM!</v>
      </c>
      <c r="BW39" s="5"/>
      <c r="BX39" s="5"/>
      <c r="BY39" s="5"/>
      <c r="BZ39" s="5"/>
      <c r="CA39" s="130"/>
      <c r="CB39" s="5"/>
      <c r="CC39" s="5" t="e">
        <f t="shared" si="84"/>
        <v>#DIV/0!</v>
      </c>
      <c r="CD39" s="5" t="e">
        <f t="shared" si="85"/>
        <v>#DIV/0!</v>
      </c>
      <c r="CE39" s="5"/>
      <c r="CI39" s="130">
        <f t="shared" si="86"/>
        <v>1.4916955860559646</v>
      </c>
      <c r="CJ39" s="130">
        <f t="shared" si="87"/>
        <v>1.4914357714690258</v>
      </c>
      <c r="CK39" s="296">
        <f t="shared" ref="CK39:CK70" si="112">CK38*(1+CJ$2/PeriodsYr)</f>
        <v>1.533681170046054</v>
      </c>
      <c r="CL39" s="130">
        <f t="shared" si="88"/>
        <v>1.533681170046054</v>
      </c>
      <c r="CM39" s="5">
        <f t="shared" si="50"/>
        <v>0</v>
      </c>
      <c r="CN39" s="5">
        <f t="shared" si="89"/>
        <v>0</v>
      </c>
      <c r="DE39" s="130" t="e">
        <f t="shared" si="90"/>
        <v>#NUM!</v>
      </c>
      <c r="DF39" s="130" t="e">
        <f t="shared" si="91"/>
        <v>#NUM!</v>
      </c>
      <c r="DG39" s="130" t="e">
        <f t="shared" ref="DG39:DG70" si="113">DG38*(1+DF$3/PeriodsYr)</f>
        <v>#NUM!</v>
      </c>
      <c r="DH39" s="130" t="e">
        <f t="shared" si="92"/>
        <v>#NUM!</v>
      </c>
      <c r="DJ39" s="130" t="e">
        <f t="shared" si="93"/>
        <v>#NUM!</v>
      </c>
      <c r="DK39" s="130" t="e">
        <f t="shared" si="94"/>
        <v>#NUM!</v>
      </c>
      <c r="DL39" s="130" t="e">
        <f t="shared" ref="DL39:DL70" si="114">DL38*(1+DK$3/PeriodsYr)</f>
        <v>#NUM!</v>
      </c>
      <c r="DM39" s="130" t="e">
        <f t="shared" si="62"/>
        <v>#NUM!</v>
      </c>
      <c r="DO39" s="130" t="e">
        <f t="shared" si="95"/>
        <v>#NUM!</v>
      </c>
      <c r="DP39" s="130" t="e">
        <f t="shared" si="96"/>
        <v>#NUM!</v>
      </c>
      <c r="DQ39" s="130" t="e">
        <f t="shared" ref="DQ39:DQ70" si="115">DQ38*(1+DP$3/PeriodsYr)</f>
        <v>#NUM!</v>
      </c>
    </row>
    <row r="40" spans="2:121" hidden="1">
      <c r="B40" s="231">
        <v>34</v>
      </c>
      <c r="C40" s="280"/>
      <c r="D40" s="475"/>
      <c r="E40" s="318">
        <f t="shared" si="97"/>
        <v>41378</v>
      </c>
      <c r="F40" s="542">
        <f t="shared" si="66"/>
        <v>0</v>
      </c>
      <c r="G40" s="239"/>
      <c r="H40" s="685">
        <f t="shared" si="98"/>
        <v>0</v>
      </c>
      <c r="I40" s="240"/>
      <c r="J40" s="597">
        <f t="shared" si="99"/>
        <v>0</v>
      </c>
      <c r="K40" s="478">
        <f t="shared" si="100"/>
        <v>0</v>
      </c>
      <c r="L40" s="240"/>
      <c r="M40" s="235">
        <f t="shared" si="101"/>
        <v>0</v>
      </c>
      <c r="N40" s="479">
        <f t="shared" si="102"/>
        <v>0</v>
      </c>
      <c r="O40" s="234"/>
      <c r="P40" s="235">
        <f t="shared" si="103"/>
        <v>0</v>
      </c>
      <c r="Q40" s="651">
        <f t="shared" si="104"/>
        <v>0</v>
      </c>
      <c r="R40" s="479">
        <f>IF(J40&gt;0,IF(OR(ManualMode=FALSE,ISBLANK(S40)),'Pricing - Advanced'!$F$16*J40+'Pricing - Advanced'!$F$17,"N/A"),0)</f>
        <v>0</v>
      </c>
      <c r="S40" s="234"/>
      <c r="T40" s="235">
        <f t="shared" si="105"/>
        <v>0</v>
      </c>
      <c r="U40" s="599">
        <f>IF(OR(ManualMode=FALSE,ISBLANK(V40)),SUM(K40:L40)*'Pricing - Advanced'!$F$19+SUM(N40,O40)*'Pricing - Advanced'!$F$18,"N/A")</f>
        <v>0</v>
      </c>
      <c r="V40" s="234"/>
      <c r="W40" s="236">
        <f t="shared" si="106"/>
        <v>0</v>
      </c>
      <c r="X40" s="237">
        <f>'Pricing - Advanced'!$F$20*SUM(H40:I40)+IF(J40&gt;1,'Pricing - Advanced'!$F$21,0)</f>
        <v>0</v>
      </c>
      <c r="Y40" s="688">
        <f>IF(AND(FullTerm&gt;=B40,AB39&gt;0),AB39*'Pricing - Advanced'!$I$128,0)</f>
        <v>0</v>
      </c>
      <c r="Z40" s="233">
        <f t="shared" si="107"/>
        <v>0</v>
      </c>
      <c r="AA40" s="234"/>
      <c r="AB40" s="597">
        <f t="shared" si="108"/>
        <v>0</v>
      </c>
      <c r="AC40" s="236">
        <f t="shared" si="67"/>
        <v>0</v>
      </c>
      <c r="AF40" s="762" t="e">
        <f t="shared" si="109"/>
        <v>#N/A</v>
      </c>
      <c r="AG40" s="759" t="e">
        <f t="shared" si="68"/>
        <v>#N/A</v>
      </c>
      <c r="AH40" s="759">
        <f>IF(J40=0,0,J40-SUM($N$6:N40)-AB39)</f>
        <v>0</v>
      </c>
      <c r="AI40" s="759">
        <f t="shared" si="69"/>
        <v>0</v>
      </c>
      <c r="AJ40" s="760">
        <f t="shared" si="55"/>
        <v>3.0000000000000001E-3</v>
      </c>
      <c r="AK40" s="760">
        <f t="shared" si="56"/>
        <v>3.0000000000000001E-3</v>
      </c>
      <c r="AN40" s="1" t="b">
        <f t="shared" ref="AN40:AN71" si="116">IF(B40&lt;=term,"x",TRUE)</f>
        <v>1</v>
      </c>
      <c r="AQ40" s="15">
        <f>IF(J39&gt;1,IF(int_method=2,$AG$229*J39,$AG$229*'Pricing - Advanced'!$E$4),0)</f>
        <v>0</v>
      </c>
      <c r="AR40" s="5">
        <f t="shared" si="110"/>
        <v>0</v>
      </c>
      <c r="AS40" s="204">
        <f t="shared" ref="AS40:AS71" si="117">IF(SameDay,EDATE(E39,$CR$3),E39+DaysPeriod)</f>
        <v>41378</v>
      </c>
      <c r="AT40" s="1">
        <f>IF($AT$4=FALSE,B40*'Pricing - Advanced'!$K$5,AT39+E40-E39)</f>
        <v>1035</v>
      </c>
      <c r="AW40" s="603">
        <f t="shared" si="43"/>
        <v>0</v>
      </c>
      <c r="AX40" s="603">
        <f t="shared" si="70"/>
        <v>0</v>
      </c>
      <c r="AY40" s="603">
        <f t="shared" si="71"/>
        <v>0</v>
      </c>
      <c r="AZ40" s="603">
        <f t="shared" si="72"/>
        <v>0</v>
      </c>
      <c r="BA40" s="603">
        <f t="shared" si="44"/>
        <v>0</v>
      </c>
      <c r="BB40" s="603">
        <f t="shared" si="45"/>
        <v>0</v>
      </c>
      <c r="BC40" s="603">
        <f t="shared" si="73"/>
        <v>0</v>
      </c>
      <c r="BE40" s="157">
        <f t="shared" si="74"/>
        <v>34</v>
      </c>
      <c r="BF40" s="489">
        <f t="shared" si="111"/>
        <v>1035</v>
      </c>
      <c r="BG40" s="146">
        <f t="shared" si="75"/>
        <v>0</v>
      </c>
      <c r="BH40" s="147">
        <f t="shared" si="76"/>
        <v>0</v>
      </c>
      <c r="BI40" s="154" t="e">
        <f t="shared" si="77"/>
        <v>#NUM!</v>
      </c>
      <c r="BJ40" s="277" t="e">
        <f t="shared" si="63"/>
        <v>#NUM!</v>
      </c>
      <c r="BK40" s="147" t="e">
        <f t="shared" si="64"/>
        <v>#NUM!</v>
      </c>
      <c r="BL40" s="132" t="e">
        <f t="shared" si="65"/>
        <v>#NUM!</v>
      </c>
      <c r="BN40" s="497">
        <f t="shared" si="78"/>
        <v>34</v>
      </c>
      <c r="BO40" s="497">
        <f t="shared" si="79"/>
        <v>1035</v>
      </c>
      <c r="BP40" s="5">
        <f t="shared" si="80"/>
        <v>0</v>
      </c>
      <c r="BQ40" s="5">
        <f t="shared" si="81"/>
        <v>0</v>
      </c>
      <c r="BR40" s="499" t="e">
        <f t="shared" si="48"/>
        <v>#NUM!</v>
      </c>
      <c r="BS40" s="277" t="e">
        <f t="shared" si="60"/>
        <v>#NUM!</v>
      </c>
      <c r="BT40" s="5" t="e">
        <f t="shared" si="82"/>
        <v>#NUM!</v>
      </c>
      <c r="BU40" s="5" t="e">
        <f t="shared" si="83"/>
        <v>#NUM!</v>
      </c>
      <c r="BW40" s="5"/>
      <c r="BX40" s="5"/>
      <c r="BY40" s="5"/>
      <c r="BZ40" s="5"/>
      <c r="CA40" s="130"/>
      <c r="CB40" s="5"/>
      <c r="CC40" s="5" t="e">
        <f t="shared" si="84"/>
        <v>#DIV/0!</v>
      </c>
      <c r="CD40" s="5" t="e">
        <f t="shared" si="85"/>
        <v>#DIV/0!</v>
      </c>
      <c r="CE40" s="5"/>
      <c r="CI40" s="130">
        <f t="shared" si="86"/>
        <v>1.5098828115497867</v>
      </c>
      <c r="CJ40" s="130">
        <f t="shared" si="87"/>
        <v>1.5099579577722231</v>
      </c>
      <c r="CK40" s="296">
        <f t="shared" si="112"/>
        <v>1.5536866046971989</v>
      </c>
      <c r="CL40" s="130">
        <f t="shared" si="88"/>
        <v>1.5536866046971989</v>
      </c>
      <c r="CM40" s="5">
        <f t="shared" si="50"/>
        <v>0</v>
      </c>
      <c r="CN40" s="5">
        <f t="shared" si="89"/>
        <v>0</v>
      </c>
      <c r="DE40" s="130" t="e">
        <f t="shared" si="90"/>
        <v>#NUM!</v>
      </c>
      <c r="DF40" s="130" t="e">
        <f t="shared" si="91"/>
        <v>#NUM!</v>
      </c>
      <c r="DG40" s="130" t="e">
        <f t="shared" si="113"/>
        <v>#NUM!</v>
      </c>
      <c r="DH40" s="130" t="e">
        <f t="shared" si="92"/>
        <v>#NUM!</v>
      </c>
      <c r="DJ40" s="130" t="e">
        <f t="shared" si="93"/>
        <v>#NUM!</v>
      </c>
      <c r="DK40" s="130" t="e">
        <f t="shared" si="94"/>
        <v>#NUM!</v>
      </c>
      <c r="DL40" s="130" t="e">
        <f t="shared" si="114"/>
        <v>#NUM!</v>
      </c>
      <c r="DM40" s="130" t="e">
        <f t="shared" si="62"/>
        <v>#NUM!</v>
      </c>
      <c r="DO40" s="130" t="e">
        <f t="shared" si="95"/>
        <v>#NUM!</v>
      </c>
      <c r="DP40" s="130" t="e">
        <f t="shared" si="96"/>
        <v>#NUM!</v>
      </c>
      <c r="DQ40" s="130" t="e">
        <f t="shared" si="115"/>
        <v>#NUM!</v>
      </c>
    </row>
    <row r="41" spans="2:121" hidden="1">
      <c r="B41" s="231">
        <v>35</v>
      </c>
      <c r="C41" s="280"/>
      <c r="D41" s="475"/>
      <c r="E41" s="318">
        <f t="shared" si="97"/>
        <v>41408</v>
      </c>
      <c r="F41" s="542">
        <f t="shared" si="66"/>
        <v>0</v>
      </c>
      <c r="G41" s="239"/>
      <c r="H41" s="685">
        <f t="shared" si="98"/>
        <v>0</v>
      </c>
      <c r="I41" s="240"/>
      <c r="J41" s="597">
        <f t="shared" si="99"/>
        <v>0</v>
      </c>
      <c r="K41" s="478">
        <f t="shared" si="100"/>
        <v>0</v>
      </c>
      <c r="L41" s="240"/>
      <c r="M41" s="235">
        <f t="shared" si="101"/>
        <v>0</v>
      </c>
      <c r="N41" s="479">
        <f t="shared" si="102"/>
        <v>0</v>
      </c>
      <c r="O41" s="234"/>
      <c r="P41" s="235">
        <f t="shared" si="103"/>
        <v>0</v>
      </c>
      <c r="Q41" s="651">
        <f t="shared" si="104"/>
        <v>0</v>
      </c>
      <c r="R41" s="479">
        <f>IF(J41&gt;0,IF(OR(ManualMode=FALSE,ISBLANK(S41)),'Pricing - Advanced'!$F$16*J41+'Pricing - Advanced'!$F$17,"N/A"),0)</f>
        <v>0</v>
      </c>
      <c r="S41" s="234"/>
      <c r="T41" s="235">
        <f t="shared" si="105"/>
        <v>0</v>
      </c>
      <c r="U41" s="599">
        <f>IF(OR(ManualMode=FALSE,ISBLANK(V41)),SUM(K41:L41)*'Pricing - Advanced'!$F$19+SUM(N41,O41)*'Pricing - Advanced'!$F$18,"N/A")</f>
        <v>0</v>
      </c>
      <c r="V41" s="234"/>
      <c r="W41" s="236">
        <f t="shared" si="106"/>
        <v>0</v>
      </c>
      <c r="X41" s="237">
        <f>'Pricing - Advanced'!$F$20*SUM(H41:I41)+IF(J41&gt;1,'Pricing - Advanced'!$F$21,0)</f>
        <v>0</v>
      </c>
      <c r="Y41" s="688">
        <f>IF(AND(FullTerm&gt;=B41,AB40&gt;0),AB40*'Pricing - Advanced'!$I$128,0)</f>
        <v>0</v>
      </c>
      <c r="Z41" s="233">
        <f t="shared" si="107"/>
        <v>0</v>
      </c>
      <c r="AA41" s="234"/>
      <c r="AB41" s="597">
        <f t="shared" si="108"/>
        <v>0</v>
      </c>
      <c r="AC41" s="236">
        <f t="shared" si="67"/>
        <v>0</v>
      </c>
      <c r="AF41" s="762" t="e">
        <f t="shared" si="109"/>
        <v>#N/A</v>
      </c>
      <c r="AG41" s="759" t="e">
        <f t="shared" si="68"/>
        <v>#N/A</v>
      </c>
      <c r="AH41" s="759">
        <f>IF(J41=0,0,J41-SUM($N$6:N41)-AB40)</f>
        <v>0</v>
      </c>
      <c r="AI41" s="759">
        <f t="shared" si="69"/>
        <v>0</v>
      </c>
      <c r="AJ41" s="760">
        <f t="shared" si="55"/>
        <v>3.0000000000000001E-3</v>
      </c>
      <c r="AK41" s="760">
        <f t="shared" si="56"/>
        <v>3.0000000000000001E-3</v>
      </c>
      <c r="AN41" s="1" t="b">
        <f t="shared" si="116"/>
        <v>1</v>
      </c>
      <c r="AQ41" s="15">
        <f>IF(J40&gt;1,IF(int_method=2,$AG$229*J40,$AG$229*'Pricing - Advanced'!$E$4),0)</f>
        <v>0</v>
      </c>
      <c r="AR41" s="5">
        <f t="shared" si="110"/>
        <v>0</v>
      </c>
      <c r="AS41" s="204">
        <f t="shared" si="117"/>
        <v>41408</v>
      </c>
      <c r="AT41" s="1">
        <f>IF($AT$4=FALSE,B41*'Pricing - Advanced'!$K$5,AT40+E41-E40)</f>
        <v>1065</v>
      </c>
      <c r="AW41" s="603">
        <f t="shared" si="43"/>
        <v>0</v>
      </c>
      <c r="AX41" s="603">
        <f t="shared" si="70"/>
        <v>0</v>
      </c>
      <c r="AY41" s="603">
        <f t="shared" si="71"/>
        <v>0</v>
      </c>
      <c r="AZ41" s="603">
        <f t="shared" si="72"/>
        <v>0</v>
      </c>
      <c r="BA41" s="603">
        <f t="shared" si="44"/>
        <v>0</v>
      </c>
      <c r="BB41" s="603">
        <f t="shared" si="45"/>
        <v>0</v>
      </c>
      <c r="BC41" s="603">
        <f t="shared" si="73"/>
        <v>0</v>
      </c>
      <c r="BE41" s="157">
        <f t="shared" si="74"/>
        <v>35</v>
      </c>
      <c r="BF41" s="489">
        <f t="shared" si="111"/>
        <v>1065</v>
      </c>
      <c r="BG41" s="146">
        <f t="shared" si="75"/>
        <v>0</v>
      </c>
      <c r="BH41" s="147">
        <f t="shared" si="76"/>
        <v>0</v>
      </c>
      <c r="BI41" s="154" t="e">
        <f t="shared" si="77"/>
        <v>#NUM!</v>
      </c>
      <c r="BJ41" s="277" t="e">
        <f t="shared" si="63"/>
        <v>#NUM!</v>
      </c>
      <c r="BK41" s="147" t="e">
        <f t="shared" si="64"/>
        <v>#NUM!</v>
      </c>
      <c r="BL41" s="132" t="e">
        <f t="shared" si="65"/>
        <v>#NUM!</v>
      </c>
      <c r="BN41" s="497">
        <f t="shared" si="78"/>
        <v>35</v>
      </c>
      <c r="BO41" s="497">
        <f t="shared" si="79"/>
        <v>1065</v>
      </c>
      <c r="BP41" s="5">
        <f t="shared" si="80"/>
        <v>0</v>
      </c>
      <c r="BQ41" s="5">
        <f t="shared" si="81"/>
        <v>0</v>
      </c>
      <c r="BR41" s="499" t="e">
        <f t="shared" si="48"/>
        <v>#NUM!</v>
      </c>
      <c r="BS41" s="277" t="e">
        <f t="shared" si="60"/>
        <v>#NUM!</v>
      </c>
      <c r="BT41" s="5" t="e">
        <f t="shared" si="82"/>
        <v>#NUM!</v>
      </c>
      <c r="BU41" s="5" t="e">
        <f t="shared" si="83"/>
        <v>#NUM!</v>
      </c>
      <c r="BW41" s="5"/>
      <c r="BX41" s="5"/>
      <c r="BY41" s="5"/>
      <c r="BZ41" s="5"/>
      <c r="CA41" s="130"/>
      <c r="CB41" s="5"/>
      <c r="CC41" s="5" t="e">
        <f t="shared" si="84"/>
        <v>#DIV/0!</v>
      </c>
      <c r="CD41" s="5" t="e">
        <f t="shared" si="85"/>
        <v>#DIV/0!</v>
      </c>
      <c r="CE41" s="5"/>
      <c r="CI41" s="130">
        <f t="shared" si="86"/>
        <v>1.5282917814626813</v>
      </c>
      <c r="CJ41" s="130">
        <f t="shared" si="87"/>
        <v>1.5281016419509117</v>
      </c>
      <c r="CK41" s="296">
        <f t="shared" si="112"/>
        <v>1.573952991509326</v>
      </c>
      <c r="CL41" s="130">
        <f t="shared" si="88"/>
        <v>1.573952991509326</v>
      </c>
      <c r="CM41" s="5">
        <f t="shared" si="50"/>
        <v>0</v>
      </c>
      <c r="CN41" s="5">
        <f t="shared" si="89"/>
        <v>0</v>
      </c>
      <c r="DE41" s="130" t="e">
        <f t="shared" si="90"/>
        <v>#NUM!</v>
      </c>
      <c r="DF41" s="130" t="e">
        <f t="shared" si="91"/>
        <v>#NUM!</v>
      </c>
      <c r="DG41" s="130" t="e">
        <f t="shared" si="113"/>
        <v>#NUM!</v>
      </c>
      <c r="DH41" s="130" t="e">
        <f t="shared" si="92"/>
        <v>#NUM!</v>
      </c>
      <c r="DJ41" s="130" t="e">
        <f t="shared" si="93"/>
        <v>#NUM!</v>
      </c>
      <c r="DK41" s="130" t="e">
        <f t="shared" si="94"/>
        <v>#NUM!</v>
      </c>
      <c r="DL41" s="130" t="e">
        <f t="shared" si="114"/>
        <v>#NUM!</v>
      </c>
      <c r="DM41" s="130" t="e">
        <f t="shared" si="62"/>
        <v>#NUM!</v>
      </c>
      <c r="DO41" s="130" t="e">
        <f t="shared" si="95"/>
        <v>#NUM!</v>
      </c>
      <c r="DP41" s="130" t="e">
        <f t="shared" si="96"/>
        <v>#NUM!</v>
      </c>
      <c r="DQ41" s="130" t="e">
        <f t="shared" si="115"/>
        <v>#NUM!</v>
      </c>
    </row>
    <row r="42" spans="2:121" hidden="1">
      <c r="B42" s="231">
        <v>36</v>
      </c>
      <c r="C42" s="280"/>
      <c r="D42" s="475"/>
      <c r="E42" s="318">
        <f t="shared" si="97"/>
        <v>41439</v>
      </c>
      <c r="F42" s="542">
        <f t="shared" si="66"/>
        <v>0</v>
      </c>
      <c r="G42" s="239"/>
      <c r="H42" s="685">
        <f t="shared" si="98"/>
        <v>0</v>
      </c>
      <c r="I42" s="240"/>
      <c r="J42" s="597">
        <f t="shared" si="99"/>
        <v>0</v>
      </c>
      <c r="K42" s="478">
        <f t="shared" si="100"/>
        <v>0</v>
      </c>
      <c r="L42" s="240"/>
      <c r="M42" s="235">
        <f t="shared" si="101"/>
        <v>0</v>
      </c>
      <c r="N42" s="479">
        <f t="shared" si="102"/>
        <v>0</v>
      </c>
      <c r="O42" s="234"/>
      <c r="P42" s="235">
        <f t="shared" si="103"/>
        <v>0</v>
      </c>
      <c r="Q42" s="651">
        <f t="shared" si="104"/>
        <v>0</v>
      </c>
      <c r="R42" s="479">
        <f>IF(J42&gt;0,IF(OR(ManualMode=FALSE,ISBLANK(S42)),'Pricing - Advanced'!$F$16*J42+'Pricing - Advanced'!$F$17,"N/A"),0)</f>
        <v>0</v>
      </c>
      <c r="S42" s="234"/>
      <c r="T42" s="235">
        <f t="shared" si="105"/>
        <v>0</v>
      </c>
      <c r="U42" s="599">
        <f>IF(OR(ManualMode=FALSE,ISBLANK(V42)),SUM(K42:L42)*'Pricing - Advanced'!$F$19+SUM(N42,O42)*'Pricing - Advanced'!$F$18,"N/A")</f>
        <v>0</v>
      </c>
      <c r="V42" s="234"/>
      <c r="W42" s="236">
        <f t="shared" si="106"/>
        <v>0</v>
      </c>
      <c r="X42" s="237">
        <f>'Pricing - Advanced'!$F$20*SUM(H42:I42)+IF(J42&gt;1,'Pricing - Advanced'!$F$21,0)</f>
        <v>0</v>
      </c>
      <c r="Y42" s="688">
        <f>IF(AND(FullTerm&gt;=B42,AB41&gt;0),AB41*'Pricing - Advanced'!$I$128,0)</f>
        <v>0</v>
      </c>
      <c r="Z42" s="233">
        <f t="shared" si="107"/>
        <v>0</v>
      </c>
      <c r="AA42" s="234"/>
      <c r="AB42" s="597">
        <f t="shared" si="108"/>
        <v>0</v>
      </c>
      <c r="AC42" s="236">
        <f t="shared" si="67"/>
        <v>0</v>
      </c>
      <c r="AF42" s="762" t="e">
        <f t="shared" si="109"/>
        <v>#N/A</v>
      </c>
      <c r="AG42" s="759" t="e">
        <f t="shared" si="68"/>
        <v>#N/A</v>
      </c>
      <c r="AH42" s="759">
        <f>IF(J42=0,0,J42-SUM($N$6:N42)-AB41)</f>
        <v>0</v>
      </c>
      <c r="AI42" s="759">
        <f t="shared" si="69"/>
        <v>0</v>
      </c>
      <c r="AJ42" s="760">
        <f t="shared" si="55"/>
        <v>3.0000000000000001E-3</v>
      </c>
      <c r="AK42" s="760">
        <f t="shared" si="56"/>
        <v>3.0000000000000001E-3</v>
      </c>
      <c r="AN42" s="1" t="b">
        <f t="shared" si="116"/>
        <v>1</v>
      </c>
      <c r="AQ42" s="15">
        <f>IF(J41&gt;1,IF(int_method=2,$AG$229*J41,$AG$229*'Pricing - Advanced'!$E$4),0)</f>
        <v>0</v>
      </c>
      <c r="AR42" s="5">
        <f t="shared" si="110"/>
        <v>0</v>
      </c>
      <c r="AS42" s="204">
        <f t="shared" si="117"/>
        <v>41439</v>
      </c>
      <c r="AT42" s="1">
        <f>IF($AT$4=FALSE,B42*'Pricing - Advanced'!$K$5,AT41+E42-E41)</f>
        <v>1096</v>
      </c>
      <c r="AW42" s="603">
        <f t="shared" si="43"/>
        <v>0</v>
      </c>
      <c r="AX42" s="603">
        <f t="shared" si="70"/>
        <v>0</v>
      </c>
      <c r="AY42" s="603">
        <f t="shared" si="71"/>
        <v>0</v>
      </c>
      <c r="AZ42" s="603">
        <f t="shared" si="72"/>
        <v>0</v>
      </c>
      <c r="BA42" s="603">
        <f t="shared" si="44"/>
        <v>0</v>
      </c>
      <c r="BB42" s="603">
        <f t="shared" si="45"/>
        <v>0</v>
      </c>
      <c r="BC42" s="603">
        <f t="shared" si="73"/>
        <v>0</v>
      </c>
      <c r="BE42" s="157">
        <f t="shared" si="74"/>
        <v>36</v>
      </c>
      <c r="BF42" s="489">
        <f t="shared" si="111"/>
        <v>1096</v>
      </c>
      <c r="BG42" s="146">
        <f t="shared" si="75"/>
        <v>0</v>
      </c>
      <c r="BH42" s="147">
        <f t="shared" si="76"/>
        <v>0</v>
      </c>
      <c r="BI42" s="154" t="e">
        <f t="shared" si="77"/>
        <v>#NUM!</v>
      </c>
      <c r="BJ42" s="277" t="e">
        <f t="shared" si="63"/>
        <v>#NUM!</v>
      </c>
      <c r="BK42" s="147" t="e">
        <f t="shared" si="64"/>
        <v>#NUM!</v>
      </c>
      <c r="BL42" s="132" t="e">
        <f t="shared" si="65"/>
        <v>#NUM!</v>
      </c>
      <c r="BN42" s="497">
        <f t="shared" si="78"/>
        <v>36</v>
      </c>
      <c r="BO42" s="497">
        <f t="shared" si="79"/>
        <v>1096</v>
      </c>
      <c r="BP42" s="5">
        <f t="shared" si="80"/>
        <v>0</v>
      </c>
      <c r="BQ42" s="5">
        <f t="shared" si="81"/>
        <v>0</v>
      </c>
      <c r="BR42" s="499" t="e">
        <f t="shared" si="48"/>
        <v>#NUM!</v>
      </c>
      <c r="BS42" s="277" t="e">
        <f t="shared" si="60"/>
        <v>#NUM!</v>
      </c>
      <c r="BT42" s="5" t="e">
        <f t="shared" si="82"/>
        <v>#NUM!</v>
      </c>
      <c r="BU42" s="5" t="e">
        <f t="shared" si="83"/>
        <v>#NUM!</v>
      </c>
      <c r="BW42" s="5"/>
      <c r="BX42" s="5"/>
      <c r="BY42" s="5"/>
      <c r="BZ42" s="5"/>
      <c r="CA42" s="130"/>
      <c r="CB42" s="5"/>
      <c r="CC42" s="5" t="e">
        <f t="shared" si="84"/>
        <v>#DIV/0!</v>
      </c>
      <c r="CD42" s="5" t="e">
        <f t="shared" si="85"/>
        <v>#DIV/0!</v>
      </c>
      <c r="CE42" s="5"/>
      <c r="CI42" s="130">
        <f t="shared" si="86"/>
        <v>1.5469251993729047</v>
      </c>
      <c r="CJ42" s="130">
        <f t="shared" si="87"/>
        <v>1.5470791828171591</v>
      </c>
      <c r="CK42" s="296">
        <f t="shared" si="112"/>
        <v>1.5944837343590073</v>
      </c>
      <c r="CL42" s="130">
        <f t="shared" si="88"/>
        <v>1.5944837343590073</v>
      </c>
      <c r="CM42" s="5">
        <f t="shared" si="50"/>
        <v>0</v>
      </c>
      <c r="CN42" s="5">
        <f t="shared" si="89"/>
        <v>0</v>
      </c>
      <c r="DE42" s="130" t="e">
        <f t="shared" si="90"/>
        <v>#NUM!</v>
      </c>
      <c r="DF42" s="130" t="e">
        <f t="shared" si="91"/>
        <v>#NUM!</v>
      </c>
      <c r="DG42" s="130" t="e">
        <f t="shared" si="113"/>
        <v>#NUM!</v>
      </c>
      <c r="DH42" s="130" t="e">
        <f t="shared" si="92"/>
        <v>#NUM!</v>
      </c>
      <c r="DJ42" s="130" t="e">
        <f t="shared" si="93"/>
        <v>#NUM!</v>
      </c>
      <c r="DK42" s="130" t="e">
        <f t="shared" si="94"/>
        <v>#NUM!</v>
      </c>
      <c r="DL42" s="130" t="e">
        <f t="shared" si="114"/>
        <v>#NUM!</v>
      </c>
      <c r="DM42" s="130" t="e">
        <f t="shared" si="62"/>
        <v>#NUM!</v>
      </c>
      <c r="DO42" s="130" t="e">
        <f t="shared" si="95"/>
        <v>#NUM!</v>
      </c>
      <c r="DP42" s="130" t="e">
        <f t="shared" si="96"/>
        <v>#NUM!</v>
      </c>
      <c r="DQ42" s="130" t="e">
        <f t="shared" si="115"/>
        <v>#NUM!</v>
      </c>
    </row>
    <row r="43" spans="2:121" hidden="1">
      <c r="B43" s="231">
        <v>37</v>
      </c>
      <c r="C43" s="280"/>
      <c r="D43" s="475"/>
      <c r="E43" s="318">
        <f t="shared" si="97"/>
        <v>41469</v>
      </c>
      <c r="F43" s="542">
        <f t="shared" si="66"/>
        <v>0</v>
      </c>
      <c r="G43" s="239"/>
      <c r="H43" s="685">
        <f t="shared" si="98"/>
        <v>0</v>
      </c>
      <c r="I43" s="240"/>
      <c r="J43" s="597">
        <f t="shared" si="99"/>
        <v>0</v>
      </c>
      <c r="K43" s="478">
        <f t="shared" si="100"/>
        <v>0</v>
      </c>
      <c r="L43" s="240"/>
      <c r="M43" s="235">
        <f t="shared" si="101"/>
        <v>0</v>
      </c>
      <c r="N43" s="479">
        <f t="shared" si="102"/>
        <v>0</v>
      </c>
      <c r="O43" s="234"/>
      <c r="P43" s="235">
        <f t="shared" si="103"/>
        <v>0</v>
      </c>
      <c r="Q43" s="651">
        <f t="shared" si="104"/>
        <v>0</v>
      </c>
      <c r="R43" s="479">
        <f>IF(J43&gt;0,IF(OR(ManualMode=FALSE,ISBLANK(S43)),'Pricing - Advanced'!$F$16*J43+'Pricing - Advanced'!$F$17,"N/A"),0)</f>
        <v>0</v>
      </c>
      <c r="S43" s="234"/>
      <c r="T43" s="235">
        <f t="shared" si="105"/>
        <v>0</v>
      </c>
      <c r="U43" s="599">
        <f>IF(OR(ManualMode=FALSE,ISBLANK(V43)),SUM(K43:L43)*'Pricing - Advanced'!$F$19+SUM(N43,O43)*'Pricing - Advanced'!$F$18,"N/A")</f>
        <v>0</v>
      </c>
      <c r="V43" s="234"/>
      <c r="W43" s="236">
        <f t="shared" si="106"/>
        <v>0</v>
      </c>
      <c r="X43" s="237">
        <f>'Pricing - Advanced'!$F$20*SUM(H43:I43)+IF(J43&gt;1,'Pricing - Advanced'!$F$21,0)</f>
        <v>0</v>
      </c>
      <c r="Y43" s="688">
        <f>IF(AND(FullTerm&gt;=B43,AB42&gt;0),AB42*'Pricing - Advanced'!$I$128,0)</f>
        <v>0</v>
      </c>
      <c r="Z43" s="233">
        <f t="shared" si="107"/>
        <v>0</v>
      </c>
      <c r="AA43" s="234"/>
      <c r="AB43" s="597">
        <f t="shared" si="108"/>
        <v>0</v>
      </c>
      <c r="AC43" s="236">
        <f t="shared" si="67"/>
        <v>0</v>
      </c>
      <c r="AF43" s="762" t="e">
        <f t="shared" si="109"/>
        <v>#N/A</v>
      </c>
      <c r="AG43" s="759" t="e">
        <f t="shared" si="68"/>
        <v>#N/A</v>
      </c>
      <c r="AH43" s="759">
        <f>IF(J43=0,0,J43-SUM($N$6:N43)-AB42)</f>
        <v>0</v>
      </c>
      <c r="AI43" s="759">
        <f t="shared" si="69"/>
        <v>0</v>
      </c>
      <c r="AJ43" s="760">
        <f t="shared" si="55"/>
        <v>3.0000000000000001E-3</v>
      </c>
      <c r="AK43" s="760">
        <f t="shared" si="56"/>
        <v>3.0000000000000001E-3</v>
      </c>
      <c r="AN43" s="1" t="b">
        <f t="shared" si="116"/>
        <v>1</v>
      </c>
      <c r="AQ43" s="15">
        <f>IF(J42&gt;1,IF(int_method=2,$AG$229*J42,$AG$229*'Pricing - Advanced'!$E$4),0)</f>
        <v>0</v>
      </c>
      <c r="AR43" s="5">
        <f t="shared" si="110"/>
        <v>0</v>
      </c>
      <c r="AS43" s="204">
        <f t="shared" si="117"/>
        <v>41469</v>
      </c>
      <c r="AT43" s="1">
        <f>IF($AT$4=FALSE,B43*'Pricing - Advanced'!$K$5,AT42+E43-E42)</f>
        <v>1126</v>
      </c>
      <c r="AW43" s="603">
        <f t="shared" si="43"/>
        <v>0</v>
      </c>
      <c r="AX43" s="603">
        <f t="shared" si="70"/>
        <v>0</v>
      </c>
      <c r="AY43" s="603">
        <f t="shared" si="71"/>
        <v>0</v>
      </c>
      <c r="AZ43" s="603">
        <f t="shared" si="72"/>
        <v>0</v>
      </c>
      <c r="BA43" s="603">
        <f t="shared" si="44"/>
        <v>0</v>
      </c>
      <c r="BB43" s="603">
        <f t="shared" si="45"/>
        <v>0</v>
      </c>
      <c r="BC43" s="603">
        <f t="shared" si="73"/>
        <v>0</v>
      </c>
      <c r="BE43" s="157">
        <f t="shared" si="74"/>
        <v>37</v>
      </c>
      <c r="BF43" s="489">
        <f t="shared" si="111"/>
        <v>1126</v>
      </c>
      <c r="BG43" s="146">
        <f t="shared" si="75"/>
        <v>0</v>
      </c>
      <c r="BH43" s="147">
        <f t="shared" si="76"/>
        <v>0</v>
      </c>
      <c r="BI43" s="154" t="e">
        <f t="shared" si="77"/>
        <v>#NUM!</v>
      </c>
      <c r="BJ43" s="277" t="e">
        <f t="shared" si="63"/>
        <v>#NUM!</v>
      </c>
      <c r="BK43" s="147" t="e">
        <f t="shared" si="64"/>
        <v>#NUM!</v>
      </c>
      <c r="BL43" s="132" t="e">
        <f t="shared" si="65"/>
        <v>#NUM!</v>
      </c>
      <c r="BN43" s="497">
        <f t="shared" si="78"/>
        <v>37</v>
      </c>
      <c r="BO43" s="497">
        <f t="shared" si="79"/>
        <v>1126</v>
      </c>
      <c r="BP43" s="5">
        <f t="shared" si="80"/>
        <v>0</v>
      </c>
      <c r="BQ43" s="5">
        <f t="shared" si="81"/>
        <v>0</v>
      </c>
      <c r="BR43" s="499" t="e">
        <f t="shared" si="48"/>
        <v>#NUM!</v>
      </c>
      <c r="BS43" s="277" t="e">
        <f t="shared" si="60"/>
        <v>#NUM!</v>
      </c>
      <c r="BT43" s="5" t="e">
        <f t="shared" si="82"/>
        <v>#NUM!</v>
      </c>
      <c r="BU43" s="5" t="e">
        <f t="shared" si="83"/>
        <v>#NUM!</v>
      </c>
      <c r="BW43" s="5"/>
      <c r="BX43" s="5"/>
      <c r="BY43" s="5"/>
      <c r="BZ43" s="5"/>
      <c r="CA43" s="130"/>
      <c r="CB43" s="5"/>
      <c r="CC43" s="5" t="e">
        <f t="shared" si="84"/>
        <v>#DIV/0!</v>
      </c>
      <c r="CD43" s="5" t="e">
        <f t="shared" si="85"/>
        <v>#DIV/0!</v>
      </c>
      <c r="CE43" s="5"/>
      <c r="CI43" s="130">
        <f t="shared" si="86"/>
        <v>1.5657858018215973</v>
      </c>
      <c r="CJ43" s="130">
        <f t="shared" si="87"/>
        <v>1.5656689163577351</v>
      </c>
      <c r="CK43" s="296">
        <f t="shared" si="112"/>
        <v>1.6152822815231969</v>
      </c>
      <c r="CL43" s="130">
        <f t="shared" si="88"/>
        <v>1.6152822815231969</v>
      </c>
      <c r="CM43" s="5">
        <f t="shared" si="50"/>
        <v>0</v>
      </c>
      <c r="CN43" s="5">
        <f t="shared" si="89"/>
        <v>0</v>
      </c>
      <c r="DE43" s="130" t="e">
        <f t="shared" si="90"/>
        <v>#NUM!</v>
      </c>
      <c r="DF43" s="130" t="e">
        <f t="shared" si="91"/>
        <v>#NUM!</v>
      </c>
      <c r="DG43" s="130" t="e">
        <f t="shared" si="113"/>
        <v>#NUM!</v>
      </c>
      <c r="DH43" s="130" t="e">
        <f t="shared" si="92"/>
        <v>#NUM!</v>
      </c>
      <c r="DJ43" s="130" t="e">
        <f t="shared" si="93"/>
        <v>#NUM!</v>
      </c>
      <c r="DK43" s="130" t="e">
        <f t="shared" si="94"/>
        <v>#NUM!</v>
      </c>
      <c r="DL43" s="130" t="e">
        <f t="shared" si="114"/>
        <v>#NUM!</v>
      </c>
      <c r="DM43" s="130" t="e">
        <f t="shared" si="62"/>
        <v>#NUM!</v>
      </c>
      <c r="DO43" s="130" t="e">
        <f t="shared" si="95"/>
        <v>#NUM!</v>
      </c>
      <c r="DP43" s="130" t="e">
        <f t="shared" si="96"/>
        <v>#NUM!</v>
      </c>
      <c r="DQ43" s="130" t="e">
        <f t="shared" si="115"/>
        <v>#NUM!</v>
      </c>
    </row>
    <row r="44" spans="2:121" hidden="1">
      <c r="B44" s="231">
        <v>38</v>
      </c>
      <c r="C44" s="280"/>
      <c r="D44" s="475"/>
      <c r="E44" s="318">
        <f t="shared" si="97"/>
        <v>41500</v>
      </c>
      <c r="F44" s="542">
        <f t="shared" si="66"/>
        <v>0</v>
      </c>
      <c r="G44" s="239"/>
      <c r="H44" s="685">
        <f t="shared" si="98"/>
        <v>0</v>
      </c>
      <c r="I44" s="240"/>
      <c r="J44" s="597">
        <f t="shared" si="99"/>
        <v>0</v>
      </c>
      <c r="K44" s="478">
        <f t="shared" si="100"/>
        <v>0</v>
      </c>
      <c r="L44" s="240"/>
      <c r="M44" s="235">
        <f t="shared" si="101"/>
        <v>0</v>
      </c>
      <c r="N44" s="479">
        <f t="shared" si="102"/>
        <v>0</v>
      </c>
      <c r="O44" s="234"/>
      <c r="P44" s="235">
        <f t="shared" si="103"/>
        <v>0</v>
      </c>
      <c r="Q44" s="651">
        <f t="shared" si="104"/>
        <v>0</v>
      </c>
      <c r="R44" s="479">
        <f>IF(J44&gt;0,IF(OR(ManualMode=FALSE,ISBLANK(S44)),'Pricing - Advanced'!$F$16*J44+'Pricing - Advanced'!$F$17,"N/A"),0)</f>
        <v>0</v>
      </c>
      <c r="S44" s="234"/>
      <c r="T44" s="235">
        <f t="shared" si="105"/>
        <v>0</v>
      </c>
      <c r="U44" s="599">
        <f>IF(OR(ManualMode=FALSE,ISBLANK(V44)),SUM(K44:L44)*'Pricing - Advanced'!$F$19+SUM(N44,O44)*'Pricing - Advanced'!$F$18,"N/A")</f>
        <v>0</v>
      </c>
      <c r="V44" s="234"/>
      <c r="W44" s="236">
        <f t="shared" si="106"/>
        <v>0</v>
      </c>
      <c r="X44" s="237">
        <f>'Pricing - Advanced'!$F$20*SUM(H44:I44)+IF(J44&gt;1,'Pricing - Advanced'!$F$21,0)</f>
        <v>0</v>
      </c>
      <c r="Y44" s="688">
        <f>IF(AND(FullTerm&gt;=B44,AB43&gt;0),AB43*'Pricing - Advanced'!$I$128,0)</f>
        <v>0</v>
      </c>
      <c r="Z44" s="233">
        <f t="shared" si="107"/>
        <v>0</v>
      </c>
      <c r="AA44" s="234"/>
      <c r="AB44" s="597">
        <f t="shared" si="108"/>
        <v>0</v>
      </c>
      <c r="AC44" s="236">
        <f t="shared" si="67"/>
        <v>0</v>
      </c>
      <c r="AF44" s="762" t="e">
        <f t="shared" si="109"/>
        <v>#N/A</v>
      </c>
      <c r="AG44" s="759" t="e">
        <f t="shared" si="68"/>
        <v>#N/A</v>
      </c>
      <c r="AH44" s="759">
        <f>IF(J44=0,0,J44-SUM($N$6:N44)-AB43)</f>
        <v>0</v>
      </c>
      <c r="AI44" s="759">
        <f t="shared" si="69"/>
        <v>0</v>
      </c>
      <c r="AJ44" s="760">
        <f t="shared" si="55"/>
        <v>3.0000000000000001E-3</v>
      </c>
      <c r="AK44" s="760">
        <f t="shared" si="56"/>
        <v>3.0000000000000001E-3</v>
      </c>
      <c r="AN44" s="1" t="b">
        <f t="shared" si="116"/>
        <v>1</v>
      </c>
      <c r="AQ44" s="15">
        <f>IF(J43&gt;1,IF(int_method=2,$AG$229*J43,$AG$229*'Pricing - Advanced'!$E$4),0)</f>
        <v>0</v>
      </c>
      <c r="AR44" s="5">
        <f t="shared" si="110"/>
        <v>0</v>
      </c>
      <c r="AS44" s="204">
        <f t="shared" si="117"/>
        <v>41500</v>
      </c>
      <c r="AT44" s="1">
        <f>IF($AT$4=FALSE,B44*'Pricing - Advanced'!$K$5,AT43+E44-E43)</f>
        <v>1157</v>
      </c>
      <c r="AW44" s="603">
        <f t="shared" si="43"/>
        <v>0</v>
      </c>
      <c r="AX44" s="603">
        <f t="shared" si="70"/>
        <v>0</v>
      </c>
      <c r="AY44" s="603">
        <f t="shared" si="71"/>
        <v>0</v>
      </c>
      <c r="AZ44" s="603">
        <f t="shared" si="72"/>
        <v>0</v>
      </c>
      <c r="BA44" s="603">
        <f t="shared" si="44"/>
        <v>0</v>
      </c>
      <c r="BB44" s="603">
        <f t="shared" si="45"/>
        <v>0</v>
      </c>
      <c r="BC44" s="603">
        <f t="shared" si="73"/>
        <v>0</v>
      </c>
      <c r="BE44" s="157">
        <f t="shared" si="74"/>
        <v>38</v>
      </c>
      <c r="BF44" s="489">
        <f t="shared" si="111"/>
        <v>1157</v>
      </c>
      <c r="BG44" s="146">
        <f t="shared" si="75"/>
        <v>0</v>
      </c>
      <c r="BH44" s="147">
        <f t="shared" si="76"/>
        <v>0</v>
      </c>
      <c r="BI44" s="154" t="e">
        <f t="shared" si="77"/>
        <v>#NUM!</v>
      </c>
      <c r="BJ44" s="277" t="e">
        <f t="shared" si="63"/>
        <v>#NUM!</v>
      </c>
      <c r="BK44" s="147" t="e">
        <f t="shared" si="64"/>
        <v>#NUM!</v>
      </c>
      <c r="BL44" s="132" t="e">
        <f t="shared" si="65"/>
        <v>#NUM!</v>
      </c>
      <c r="BN44" s="497">
        <f t="shared" si="78"/>
        <v>38</v>
      </c>
      <c r="BO44" s="497">
        <f t="shared" si="79"/>
        <v>1157</v>
      </c>
      <c r="BP44" s="5">
        <f t="shared" si="80"/>
        <v>0</v>
      </c>
      <c r="BQ44" s="5">
        <f t="shared" si="81"/>
        <v>0</v>
      </c>
      <c r="BR44" s="499" t="e">
        <f t="shared" si="48"/>
        <v>#NUM!</v>
      </c>
      <c r="BS44" s="277" t="e">
        <f t="shared" si="60"/>
        <v>#NUM!</v>
      </c>
      <c r="BT44" s="5" t="e">
        <f t="shared" si="82"/>
        <v>#NUM!</v>
      </c>
      <c r="BU44" s="5" t="e">
        <f t="shared" si="83"/>
        <v>#NUM!</v>
      </c>
      <c r="BW44" s="5"/>
      <c r="BX44" s="5"/>
      <c r="BY44" s="5"/>
      <c r="BZ44" s="5"/>
      <c r="CA44" s="130"/>
      <c r="CB44" s="5"/>
      <c r="CC44" s="5" t="e">
        <f t="shared" si="84"/>
        <v>#DIV/0!</v>
      </c>
      <c r="CD44" s="5" t="e">
        <f t="shared" si="85"/>
        <v>#DIV/0!</v>
      </c>
      <c r="CE44" s="5"/>
      <c r="CI44" s="130">
        <f t="shared" si="86"/>
        <v>1.584876358714675</v>
      </c>
      <c r="CJ44" s="130">
        <f t="shared" si="87"/>
        <v>1.58511300634985</v>
      </c>
      <c r="CK44" s="296">
        <f t="shared" si="112"/>
        <v>1.6363521262583931</v>
      </c>
      <c r="CL44" s="130">
        <f t="shared" si="88"/>
        <v>1.6363521262583931</v>
      </c>
      <c r="CM44" s="5">
        <f t="shared" si="50"/>
        <v>0</v>
      </c>
      <c r="CN44" s="5">
        <f t="shared" si="89"/>
        <v>0</v>
      </c>
      <c r="DE44" s="130" t="e">
        <f t="shared" si="90"/>
        <v>#NUM!</v>
      </c>
      <c r="DF44" s="130" t="e">
        <f t="shared" si="91"/>
        <v>#NUM!</v>
      </c>
      <c r="DG44" s="130" t="e">
        <f t="shared" si="113"/>
        <v>#NUM!</v>
      </c>
      <c r="DH44" s="130" t="e">
        <f t="shared" si="92"/>
        <v>#NUM!</v>
      </c>
      <c r="DJ44" s="130" t="e">
        <f t="shared" si="93"/>
        <v>#NUM!</v>
      </c>
      <c r="DK44" s="130" t="e">
        <f t="shared" si="94"/>
        <v>#NUM!</v>
      </c>
      <c r="DL44" s="130" t="e">
        <f t="shared" si="114"/>
        <v>#NUM!</v>
      </c>
      <c r="DM44" s="130" t="e">
        <f t="shared" si="62"/>
        <v>#NUM!</v>
      </c>
      <c r="DO44" s="130" t="e">
        <f t="shared" si="95"/>
        <v>#NUM!</v>
      </c>
      <c r="DP44" s="130" t="e">
        <f t="shared" si="96"/>
        <v>#NUM!</v>
      </c>
      <c r="DQ44" s="130" t="e">
        <f t="shared" si="115"/>
        <v>#NUM!</v>
      </c>
    </row>
    <row r="45" spans="2:121" hidden="1">
      <c r="B45" s="231">
        <v>39</v>
      </c>
      <c r="C45" s="280"/>
      <c r="D45" s="475"/>
      <c r="E45" s="318">
        <f t="shared" si="97"/>
        <v>41531</v>
      </c>
      <c r="F45" s="542">
        <f t="shared" si="66"/>
        <v>0</v>
      </c>
      <c r="G45" s="239"/>
      <c r="H45" s="685">
        <f t="shared" si="98"/>
        <v>0</v>
      </c>
      <c r="I45" s="240"/>
      <c r="J45" s="597">
        <f t="shared" si="99"/>
        <v>0</v>
      </c>
      <c r="K45" s="478">
        <f t="shared" si="100"/>
        <v>0</v>
      </c>
      <c r="L45" s="240"/>
      <c r="M45" s="235">
        <f t="shared" si="101"/>
        <v>0</v>
      </c>
      <c r="N45" s="479">
        <f t="shared" si="102"/>
        <v>0</v>
      </c>
      <c r="O45" s="234"/>
      <c r="P45" s="235">
        <f t="shared" si="103"/>
        <v>0</v>
      </c>
      <c r="Q45" s="651">
        <f t="shared" si="104"/>
        <v>0</v>
      </c>
      <c r="R45" s="479">
        <f>IF(J45&gt;0,IF(OR(ManualMode=FALSE,ISBLANK(S45)),'Pricing - Advanced'!$F$16*J45+'Pricing - Advanced'!$F$17,"N/A"),0)</f>
        <v>0</v>
      </c>
      <c r="S45" s="234"/>
      <c r="T45" s="235">
        <f t="shared" si="105"/>
        <v>0</v>
      </c>
      <c r="U45" s="599">
        <f>IF(OR(ManualMode=FALSE,ISBLANK(V45)),SUM(K45:L45)*'Pricing - Advanced'!$F$19+SUM(N45,O45)*'Pricing - Advanced'!$F$18,"N/A")</f>
        <v>0</v>
      </c>
      <c r="V45" s="234"/>
      <c r="W45" s="236">
        <f t="shared" si="106"/>
        <v>0</v>
      </c>
      <c r="X45" s="237">
        <f>'Pricing - Advanced'!$F$20*SUM(H45:I45)+IF(J45&gt;1,'Pricing - Advanced'!$F$21,0)</f>
        <v>0</v>
      </c>
      <c r="Y45" s="688">
        <f>IF(AND(FullTerm&gt;=B45,AB44&gt;0),AB44*'Pricing - Advanced'!$I$128,0)</f>
        <v>0</v>
      </c>
      <c r="Z45" s="233">
        <f t="shared" si="107"/>
        <v>0</v>
      </c>
      <c r="AA45" s="234"/>
      <c r="AB45" s="597">
        <f t="shared" si="108"/>
        <v>0</v>
      </c>
      <c r="AC45" s="236">
        <f t="shared" si="67"/>
        <v>0</v>
      </c>
      <c r="AF45" s="762" t="e">
        <f t="shared" si="109"/>
        <v>#N/A</v>
      </c>
      <c r="AG45" s="759" t="e">
        <f t="shared" si="68"/>
        <v>#N/A</v>
      </c>
      <c r="AH45" s="759">
        <f>IF(J45=0,0,J45-SUM($N$6:N45)-AB44)</f>
        <v>0</v>
      </c>
      <c r="AI45" s="759">
        <f t="shared" si="69"/>
        <v>0</v>
      </c>
      <c r="AJ45" s="760">
        <f t="shared" si="55"/>
        <v>3.0000000000000001E-3</v>
      </c>
      <c r="AK45" s="760">
        <f t="shared" si="56"/>
        <v>3.0000000000000001E-3</v>
      </c>
      <c r="AN45" s="1" t="b">
        <f t="shared" si="116"/>
        <v>1</v>
      </c>
      <c r="AQ45" s="15">
        <f>IF(J44&gt;1,IF(int_method=2,$AG$229*J44,$AG$229*'Pricing - Advanced'!$E$4),0)</f>
        <v>0</v>
      </c>
      <c r="AR45" s="5">
        <f t="shared" si="110"/>
        <v>0</v>
      </c>
      <c r="AS45" s="204">
        <f t="shared" si="117"/>
        <v>41531</v>
      </c>
      <c r="AT45" s="1">
        <f>IF($AT$4=FALSE,B45*'Pricing - Advanced'!$K$5,AT44+E45-E44)</f>
        <v>1188</v>
      </c>
      <c r="AW45" s="603">
        <f t="shared" si="43"/>
        <v>0</v>
      </c>
      <c r="AX45" s="603">
        <f t="shared" si="70"/>
        <v>0</v>
      </c>
      <c r="AY45" s="603">
        <f t="shared" si="71"/>
        <v>0</v>
      </c>
      <c r="AZ45" s="603">
        <f t="shared" si="72"/>
        <v>0</v>
      </c>
      <c r="BA45" s="603">
        <f t="shared" si="44"/>
        <v>0</v>
      </c>
      <c r="BB45" s="603">
        <f t="shared" si="45"/>
        <v>0</v>
      </c>
      <c r="BC45" s="603">
        <f t="shared" si="73"/>
        <v>0</v>
      </c>
      <c r="BE45" s="157">
        <f t="shared" si="74"/>
        <v>39</v>
      </c>
      <c r="BF45" s="489">
        <f t="shared" si="111"/>
        <v>1188</v>
      </c>
      <c r="BG45" s="146">
        <f t="shared" si="75"/>
        <v>0</v>
      </c>
      <c r="BH45" s="147">
        <f t="shared" si="76"/>
        <v>0</v>
      </c>
      <c r="BI45" s="154" t="e">
        <f t="shared" si="77"/>
        <v>#NUM!</v>
      </c>
      <c r="BJ45" s="277" t="e">
        <f t="shared" si="63"/>
        <v>#NUM!</v>
      </c>
      <c r="BK45" s="147" t="e">
        <f t="shared" si="64"/>
        <v>#NUM!</v>
      </c>
      <c r="BL45" s="132" t="e">
        <f t="shared" si="65"/>
        <v>#NUM!</v>
      </c>
      <c r="BN45" s="497">
        <f t="shared" si="78"/>
        <v>39</v>
      </c>
      <c r="BO45" s="497">
        <f t="shared" si="79"/>
        <v>1188</v>
      </c>
      <c r="BP45" s="5">
        <f t="shared" si="80"/>
        <v>0</v>
      </c>
      <c r="BQ45" s="5">
        <f t="shared" si="81"/>
        <v>0</v>
      </c>
      <c r="BR45" s="499" t="e">
        <f t="shared" si="48"/>
        <v>#NUM!</v>
      </c>
      <c r="BS45" s="277" t="e">
        <f t="shared" si="60"/>
        <v>#NUM!</v>
      </c>
      <c r="BT45" s="5" t="e">
        <f t="shared" si="82"/>
        <v>#NUM!</v>
      </c>
      <c r="BU45" s="5" t="e">
        <f t="shared" si="83"/>
        <v>#NUM!</v>
      </c>
      <c r="BW45" s="5"/>
      <c r="BX45" s="5"/>
      <c r="BY45" s="5"/>
      <c r="BZ45" s="5"/>
      <c r="CA45" s="130"/>
      <c r="CB45" s="5"/>
      <c r="CC45" s="5" t="e">
        <f t="shared" si="84"/>
        <v>#DIV/0!</v>
      </c>
      <c r="CD45" s="5" t="e">
        <f t="shared" si="85"/>
        <v>#DIV/0!</v>
      </c>
      <c r="CE45" s="5"/>
      <c r="CI45" s="130">
        <f t="shared" si="86"/>
        <v>1.604199673729626</v>
      </c>
      <c r="CJ45" s="130">
        <f t="shared" si="87"/>
        <v>1.6047985730882117</v>
      </c>
      <c r="CK45" s="296">
        <f t="shared" si="112"/>
        <v>1.6576968073873537</v>
      </c>
      <c r="CL45" s="130">
        <f t="shared" si="88"/>
        <v>1.6576968073873537</v>
      </c>
      <c r="CM45" s="5">
        <f t="shared" si="50"/>
        <v>0</v>
      </c>
      <c r="CN45" s="5">
        <f t="shared" si="89"/>
        <v>0</v>
      </c>
      <c r="DE45" s="130" t="e">
        <f t="shared" si="90"/>
        <v>#NUM!</v>
      </c>
      <c r="DF45" s="130" t="e">
        <f t="shared" si="91"/>
        <v>#NUM!</v>
      </c>
      <c r="DG45" s="130" t="e">
        <f t="shared" si="113"/>
        <v>#NUM!</v>
      </c>
      <c r="DH45" s="130" t="e">
        <f t="shared" si="92"/>
        <v>#NUM!</v>
      </c>
      <c r="DJ45" s="130" t="e">
        <f t="shared" si="93"/>
        <v>#NUM!</v>
      </c>
      <c r="DK45" s="130" t="e">
        <f t="shared" si="94"/>
        <v>#NUM!</v>
      </c>
      <c r="DL45" s="130" t="e">
        <f t="shared" si="114"/>
        <v>#NUM!</v>
      </c>
      <c r="DM45" s="130" t="e">
        <f t="shared" si="62"/>
        <v>#NUM!</v>
      </c>
      <c r="DO45" s="130" t="e">
        <f t="shared" si="95"/>
        <v>#NUM!</v>
      </c>
      <c r="DP45" s="130" t="e">
        <f t="shared" si="96"/>
        <v>#NUM!</v>
      </c>
      <c r="DQ45" s="130" t="e">
        <f t="shared" si="115"/>
        <v>#NUM!</v>
      </c>
    </row>
    <row r="46" spans="2:121" hidden="1">
      <c r="B46" s="231">
        <v>40</v>
      </c>
      <c r="C46" s="280"/>
      <c r="D46" s="475"/>
      <c r="E46" s="318">
        <f t="shared" si="97"/>
        <v>41561</v>
      </c>
      <c r="F46" s="542">
        <f t="shared" si="66"/>
        <v>0</v>
      </c>
      <c r="G46" s="239"/>
      <c r="H46" s="685">
        <f t="shared" si="98"/>
        <v>0</v>
      </c>
      <c r="I46" s="240"/>
      <c r="J46" s="597">
        <f t="shared" si="99"/>
        <v>0</v>
      </c>
      <c r="K46" s="478">
        <f t="shared" si="100"/>
        <v>0</v>
      </c>
      <c r="L46" s="240"/>
      <c r="M46" s="235">
        <f t="shared" si="101"/>
        <v>0</v>
      </c>
      <c r="N46" s="479">
        <f t="shared" si="102"/>
        <v>0</v>
      </c>
      <c r="O46" s="234"/>
      <c r="P46" s="235">
        <f t="shared" si="103"/>
        <v>0</v>
      </c>
      <c r="Q46" s="651">
        <f t="shared" si="104"/>
        <v>0</v>
      </c>
      <c r="R46" s="479">
        <f>IF(J46&gt;0,IF(OR(ManualMode=FALSE,ISBLANK(S46)),'Pricing - Advanced'!$F$16*J46+'Pricing - Advanced'!$F$17,"N/A"),0)</f>
        <v>0</v>
      </c>
      <c r="S46" s="234"/>
      <c r="T46" s="235">
        <f t="shared" si="105"/>
        <v>0</v>
      </c>
      <c r="U46" s="599">
        <f>IF(OR(ManualMode=FALSE,ISBLANK(V46)),SUM(K46:L46)*'Pricing - Advanced'!$F$19+SUM(N46,O46)*'Pricing - Advanced'!$F$18,"N/A")</f>
        <v>0</v>
      </c>
      <c r="V46" s="234"/>
      <c r="W46" s="236">
        <f t="shared" si="106"/>
        <v>0</v>
      </c>
      <c r="X46" s="237">
        <f>'Pricing - Advanced'!$F$20*SUM(H46:I46)+IF(J46&gt;1,'Pricing - Advanced'!$F$21,0)</f>
        <v>0</v>
      </c>
      <c r="Y46" s="688">
        <f>IF(AND(FullTerm&gt;=B46,AB45&gt;0),AB45*'Pricing - Advanced'!$I$128,0)</f>
        <v>0</v>
      </c>
      <c r="Z46" s="233">
        <f t="shared" si="107"/>
        <v>0</v>
      </c>
      <c r="AA46" s="234"/>
      <c r="AB46" s="597">
        <f t="shared" si="108"/>
        <v>0</v>
      </c>
      <c r="AC46" s="236">
        <f t="shared" si="67"/>
        <v>0</v>
      </c>
      <c r="AF46" s="762" t="e">
        <f t="shared" si="109"/>
        <v>#N/A</v>
      </c>
      <c r="AG46" s="759" t="e">
        <f t="shared" si="68"/>
        <v>#N/A</v>
      </c>
      <c r="AH46" s="759">
        <f>IF(J46=0,0,J46-SUM($N$6:N46)-AB45)</f>
        <v>0</v>
      </c>
      <c r="AI46" s="759">
        <f t="shared" si="69"/>
        <v>0</v>
      </c>
      <c r="AJ46" s="760">
        <f t="shared" si="55"/>
        <v>3.0000000000000001E-3</v>
      </c>
      <c r="AK46" s="760">
        <f t="shared" si="56"/>
        <v>3.0000000000000001E-3</v>
      </c>
      <c r="AN46" s="1" t="b">
        <f t="shared" si="116"/>
        <v>1</v>
      </c>
      <c r="AQ46" s="15">
        <f>IF(J45&gt;1,IF(int_method=2,$AG$229*J45,$AG$229*'Pricing - Advanced'!$E$4),0)</f>
        <v>0</v>
      </c>
      <c r="AR46" s="5">
        <f t="shared" si="110"/>
        <v>0</v>
      </c>
      <c r="AS46" s="204">
        <f t="shared" si="117"/>
        <v>41561</v>
      </c>
      <c r="AT46" s="1">
        <f>IF($AT$4=FALSE,B46*'Pricing - Advanced'!$K$5,AT45+E46-E45)</f>
        <v>1218</v>
      </c>
      <c r="AW46" s="603">
        <f t="shared" si="43"/>
        <v>0</v>
      </c>
      <c r="AX46" s="603">
        <f t="shared" si="70"/>
        <v>0</v>
      </c>
      <c r="AY46" s="603">
        <f t="shared" si="71"/>
        <v>0</v>
      </c>
      <c r="AZ46" s="603">
        <f t="shared" si="72"/>
        <v>0</v>
      </c>
      <c r="BA46" s="603">
        <f t="shared" si="44"/>
        <v>0</v>
      </c>
      <c r="BB46" s="603">
        <f t="shared" si="45"/>
        <v>0</v>
      </c>
      <c r="BC46" s="603">
        <f t="shared" si="73"/>
        <v>0</v>
      </c>
      <c r="BE46" s="157">
        <f t="shared" si="74"/>
        <v>40</v>
      </c>
      <c r="BF46" s="489">
        <f t="shared" si="111"/>
        <v>1218</v>
      </c>
      <c r="BG46" s="146">
        <f t="shared" si="75"/>
        <v>0</v>
      </c>
      <c r="BH46" s="147">
        <f t="shared" si="76"/>
        <v>0</v>
      </c>
      <c r="BI46" s="154" t="e">
        <f t="shared" si="77"/>
        <v>#NUM!</v>
      </c>
      <c r="BJ46" s="277" t="e">
        <f t="shared" si="63"/>
        <v>#NUM!</v>
      </c>
      <c r="BK46" s="147" t="e">
        <f t="shared" si="64"/>
        <v>#NUM!</v>
      </c>
      <c r="BL46" s="132" t="e">
        <f t="shared" si="65"/>
        <v>#NUM!</v>
      </c>
      <c r="BN46" s="497">
        <f t="shared" si="78"/>
        <v>40</v>
      </c>
      <c r="BO46" s="497">
        <f t="shared" si="79"/>
        <v>1218</v>
      </c>
      <c r="BP46" s="5">
        <f t="shared" si="80"/>
        <v>0</v>
      </c>
      <c r="BQ46" s="5">
        <f t="shared" si="81"/>
        <v>0</v>
      </c>
      <c r="BR46" s="499" t="e">
        <f t="shared" si="48"/>
        <v>#NUM!</v>
      </c>
      <c r="BS46" s="277" t="e">
        <f t="shared" si="60"/>
        <v>#NUM!</v>
      </c>
      <c r="BT46" s="5" t="e">
        <f t="shared" si="82"/>
        <v>#NUM!</v>
      </c>
      <c r="BU46" s="5" t="e">
        <f t="shared" si="83"/>
        <v>#NUM!</v>
      </c>
      <c r="BW46" s="5"/>
      <c r="BX46" s="5"/>
      <c r="BY46" s="5"/>
      <c r="BZ46" s="5"/>
      <c r="CA46" s="130"/>
      <c r="CB46" s="5"/>
      <c r="CC46" s="5" t="e">
        <f t="shared" si="84"/>
        <v>#DIV/0!</v>
      </c>
      <c r="CD46" s="5" t="e">
        <f t="shared" si="85"/>
        <v>#DIV/0!</v>
      </c>
      <c r="CE46" s="5"/>
      <c r="CI46" s="130">
        <f t="shared" si="86"/>
        <v>1.6237585847272631</v>
      </c>
      <c r="CJ46" s="130">
        <f t="shared" si="87"/>
        <v>1.6240818639445223</v>
      </c>
      <c r="CK46" s="296">
        <f t="shared" si="112"/>
        <v>1.6793199098934655</v>
      </c>
      <c r="CL46" s="130">
        <f t="shared" si="88"/>
        <v>1.6793199098934655</v>
      </c>
      <c r="CM46" s="5">
        <f t="shared" si="50"/>
        <v>0</v>
      </c>
      <c r="CN46" s="5">
        <f t="shared" si="89"/>
        <v>0</v>
      </c>
      <c r="DE46" s="130" t="e">
        <f t="shared" si="90"/>
        <v>#NUM!</v>
      </c>
      <c r="DF46" s="130" t="e">
        <f t="shared" si="91"/>
        <v>#NUM!</v>
      </c>
      <c r="DG46" s="130" t="e">
        <f t="shared" si="113"/>
        <v>#NUM!</v>
      </c>
      <c r="DH46" s="130" t="e">
        <f t="shared" si="92"/>
        <v>#NUM!</v>
      </c>
      <c r="DJ46" s="130" t="e">
        <f t="shared" si="93"/>
        <v>#NUM!</v>
      </c>
      <c r="DK46" s="130" t="e">
        <f t="shared" si="94"/>
        <v>#NUM!</v>
      </c>
      <c r="DL46" s="130" t="e">
        <f t="shared" si="114"/>
        <v>#NUM!</v>
      </c>
      <c r="DM46" s="130" t="e">
        <f t="shared" si="62"/>
        <v>#NUM!</v>
      </c>
      <c r="DO46" s="130" t="e">
        <f t="shared" si="95"/>
        <v>#NUM!</v>
      </c>
      <c r="DP46" s="130" t="e">
        <f t="shared" si="96"/>
        <v>#NUM!</v>
      </c>
      <c r="DQ46" s="130" t="e">
        <f t="shared" si="115"/>
        <v>#NUM!</v>
      </c>
    </row>
    <row r="47" spans="2:121" hidden="1">
      <c r="B47" s="231">
        <v>41</v>
      </c>
      <c r="C47" s="280"/>
      <c r="D47" s="475"/>
      <c r="E47" s="318">
        <f t="shared" si="97"/>
        <v>41592</v>
      </c>
      <c r="F47" s="542">
        <f t="shared" si="66"/>
        <v>0</v>
      </c>
      <c r="G47" s="239"/>
      <c r="H47" s="685">
        <f t="shared" si="98"/>
        <v>0</v>
      </c>
      <c r="I47" s="240"/>
      <c r="J47" s="597">
        <f t="shared" si="99"/>
        <v>0</v>
      </c>
      <c r="K47" s="478">
        <f t="shared" si="100"/>
        <v>0</v>
      </c>
      <c r="L47" s="240"/>
      <c r="M47" s="235">
        <f t="shared" si="101"/>
        <v>0</v>
      </c>
      <c r="N47" s="479">
        <f t="shared" si="102"/>
        <v>0</v>
      </c>
      <c r="O47" s="234"/>
      <c r="P47" s="235">
        <f t="shared" si="103"/>
        <v>0</v>
      </c>
      <c r="Q47" s="651">
        <f t="shared" si="104"/>
        <v>0</v>
      </c>
      <c r="R47" s="479">
        <f>IF(J47&gt;0,IF(OR(ManualMode=FALSE,ISBLANK(S47)),'Pricing - Advanced'!$F$16*J47+'Pricing - Advanced'!$F$17,"N/A"),0)</f>
        <v>0</v>
      </c>
      <c r="S47" s="234"/>
      <c r="T47" s="235">
        <f t="shared" si="105"/>
        <v>0</v>
      </c>
      <c r="U47" s="599">
        <f>IF(OR(ManualMode=FALSE,ISBLANK(V47)),SUM(K47:L47)*'Pricing - Advanced'!$F$19+SUM(N47,O47)*'Pricing - Advanced'!$F$18,"N/A")</f>
        <v>0</v>
      </c>
      <c r="V47" s="234"/>
      <c r="W47" s="236">
        <f t="shared" si="106"/>
        <v>0</v>
      </c>
      <c r="X47" s="237">
        <f>'Pricing - Advanced'!$F$20*SUM(H47:I47)+IF(J47&gt;1,'Pricing - Advanced'!$F$21,0)</f>
        <v>0</v>
      </c>
      <c r="Y47" s="688">
        <f>IF(AND(FullTerm&gt;=B47,AB46&gt;0),AB46*'Pricing - Advanced'!$I$128,0)</f>
        <v>0</v>
      </c>
      <c r="Z47" s="233">
        <f t="shared" si="107"/>
        <v>0</v>
      </c>
      <c r="AA47" s="234"/>
      <c r="AB47" s="597">
        <f t="shared" si="108"/>
        <v>0</v>
      </c>
      <c r="AC47" s="236">
        <f t="shared" si="67"/>
        <v>0</v>
      </c>
      <c r="AF47" s="762" t="e">
        <f t="shared" si="109"/>
        <v>#N/A</v>
      </c>
      <c r="AG47" s="759" t="e">
        <f t="shared" si="68"/>
        <v>#N/A</v>
      </c>
      <c r="AH47" s="759">
        <f>IF(J47=0,0,J47-SUM($N$6:N47)-AB46)</f>
        <v>0</v>
      </c>
      <c r="AI47" s="759">
        <f t="shared" si="69"/>
        <v>0</v>
      </c>
      <c r="AJ47" s="760">
        <f t="shared" si="55"/>
        <v>3.0000000000000001E-3</v>
      </c>
      <c r="AK47" s="760">
        <f t="shared" si="56"/>
        <v>3.0000000000000001E-3</v>
      </c>
      <c r="AN47" s="1" t="b">
        <f t="shared" si="116"/>
        <v>1</v>
      </c>
      <c r="AQ47" s="15">
        <f>IF(J46&gt;1,IF(int_method=2,$AG$229*J46,$AG$229*'Pricing - Advanced'!$E$4),0)</f>
        <v>0</v>
      </c>
      <c r="AR47" s="5">
        <f t="shared" si="110"/>
        <v>0</v>
      </c>
      <c r="AS47" s="204">
        <f t="shared" si="117"/>
        <v>41592</v>
      </c>
      <c r="AT47" s="1">
        <f>IF($AT$4=FALSE,B47*'Pricing - Advanced'!$K$5,AT46+E47-E46)</f>
        <v>1249</v>
      </c>
      <c r="AW47" s="603">
        <f t="shared" si="43"/>
        <v>0</v>
      </c>
      <c r="AX47" s="603">
        <f t="shared" si="70"/>
        <v>0</v>
      </c>
      <c r="AY47" s="603">
        <f t="shared" si="71"/>
        <v>0</v>
      </c>
      <c r="AZ47" s="603">
        <f t="shared" si="72"/>
        <v>0</v>
      </c>
      <c r="BA47" s="603">
        <f t="shared" si="44"/>
        <v>0</v>
      </c>
      <c r="BB47" s="603">
        <f t="shared" si="45"/>
        <v>0</v>
      </c>
      <c r="BC47" s="603">
        <f t="shared" si="73"/>
        <v>0</v>
      </c>
      <c r="BE47" s="157">
        <f t="shared" si="74"/>
        <v>41</v>
      </c>
      <c r="BF47" s="489">
        <f t="shared" si="111"/>
        <v>1249</v>
      </c>
      <c r="BG47" s="146">
        <f t="shared" si="75"/>
        <v>0</v>
      </c>
      <c r="BH47" s="147">
        <f t="shared" si="76"/>
        <v>0</v>
      </c>
      <c r="BI47" s="154" t="e">
        <f t="shared" si="77"/>
        <v>#NUM!</v>
      </c>
      <c r="BJ47" s="277" t="e">
        <f t="shared" si="63"/>
        <v>#NUM!</v>
      </c>
      <c r="BK47" s="147" t="e">
        <f t="shared" si="64"/>
        <v>#NUM!</v>
      </c>
      <c r="BL47" s="132" t="e">
        <f t="shared" si="65"/>
        <v>#NUM!</v>
      </c>
      <c r="BN47" s="497">
        <f t="shared" si="78"/>
        <v>41</v>
      </c>
      <c r="BO47" s="497">
        <f t="shared" si="79"/>
        <v>1249</v>
      </c>
      <c r="BP47" s="5">
        <f t="shared" si="80"/>
        <v>0</v>
      </c>
      <c r="BQ47" s="5">
        <f t="shared" si="81"/>
        <v>0</v>
      </c>
      <c r="BR47" s="499" t="e">
        <f t="shared" si="48"/>
        <v>#NUM!</v>
      </c>
      <c r="BS47" s="277" t="e">
        <f t="shared" si="60"/>
        <v>#NUM!</v>
      </c>
      <c r="BT47" s="5" t="e">
        <f t="shared" si="82"/>
        <v>#NUM!</v>
      </c>
      <c r="BU47" s="5" t="e">
        <f t="shared" si="83"/>
        <v>#NUM!</v>
      </c>
      <c r="BW47" s="5"/>
      <c r="BX47" s="5"/>
      <c r="BY47" s="5"/>
      <c r="BZ47" s="5"/>
      <c r="CA47" s="130"/>
      <c r="CB47" s="5"/>
      <c r="CC47" s="5" t="e">
        <f t="shared" si="84"/>
        <v>#DIV/0!</v>
      </c>
      <c r="CD47" s="5" t="e">
        <f t="shared" si="85"/>
        <v>#DIV/0!</v>
      </c>
      <c r="CE47" s="5"/>
      <c r="CI47" s="130">
        <f t="shared" si="86"/>
        <v>1.6435559641684971</v>
      </c>
      <c r="CJ47" s="130">
        <f t="shared" si="87"/>
        <v>1.6442513861130801</v>
      </c>
      <c r="CK47" s="296">
        <f t="shared" si="112"/>
        <v>1.7012250655228662</v>
      </c>
      <c r="CL47" s="130">
        <f t="shared" si="88"/>
        <v>1.7012250655228662</v>
      </c>
      <c r="CM47" s="5">
        <f t="shared" si="50"/>
        <v>0</v>
      </c>
      <c r="CN47" s="5">
        <f t="shared" si="89"/>
        <v>0</v>
      </c>
      <c r="DE47" s="130" t="e">
        <f t="shared" si="90"/>
        <v>#NUM!</v>
      </c>
      <c r="DF47" s="130" t="e">
        <f t="shared" si="91"/>
        <v>#NUM!</v>
      </c>
      <c r="DG47" s="130" t="e">
        <f t="shared" si="113"/>
        <v>#NUM!</v>
      </c>
      <c r="DH47" s="130" t="e">
        <f t="shared" si="92"/>
        <v>#NUM!</v>
      </c>
      <c r="DJ47" s="130" t="e">
        <f t="shared" si="93"/>
        <v>#NUM!</v>
      </c>
      <c r="DK47" s="130" t="e">
        <f t="shared" si="94"/>
        <v>#NUM!</v>
      </c>
      <c r="DL47" s="130" t="e">
        <f t="shared" si="114"/>
        <v>#NUM!</v>
      </c>
      <c r="DM47" s="130" t="e">
        <f t="shared" si="62"/>
        <v>#NUM!</v>
      </c>
      <c r="DO47" s="130" t="e">
        <f t="shared" si="95"/>
        <v>#NUM!</v>
      </c>
      <c r="DP47" s="130" t="e">
        <f t="shared" si="96"/>
        <v>#NUM!</v>
      </c>
      <c r="DQ47" s="130" t="e">
        <f t="shared" si="115"/>
        <v>#NUM!</v>
      </c>
    </row>
    <row r="48" spans="2:121" hidden="1">
      <c r="B48" s="231">
        <v>42</v>
      </c>
      <c r="C48" s="280"/>
      <c r="D48" s="475"/>
      <c r="E48" s="318">
        <f t="shared" si="97"/>
        <v>41622</v>
      </c>
      <c r="F48" s="542">
        <f t="shared" si="66"/>
        <v>0</v>
      </c>
      <c r="G48" s="239"/>
      <c r="H48" s="685">
        <f t="shared" si="98"/>
        <v>0</v>
      </c>
      <c r="I48" s="240"/>
      <c r="J48" s="597">
        <f t="shared" si="99"/>
        <v>0</v>
      </c>
      <c r="K48" s="478">
        <f t="shared" si="100"/>
        <v>0</v>
      </c>
      <c r="L48" s="240"/>
      <c r="M48" s="235">
        <f t="shared" si="101"/>
        <v>0</v>
      </c>
      <c r="N48" s="479">
        <f t="shared" si="102"/>
        <v>0</v>
      </c>
      <c r="O48" s="234"/>
      <c r="P48" s="235">
        <f t="shared" si="103"/>
        <v>0</v>
      </c>
      <c r="Q48" s="651">
        <f t="shared" si="104"/>
        <v>0</v>
      </c>
      <c r="R48" s="479">
        <f>IF(J48&gt;0,IF(OR(ManualMode=FALSE,ISBLANK(S48)),'Pricing - Advanced'!$F$16*J48+'Pricing - Advanced'!$F$17,"N/A"),0)</f>
        <v>0</v>
      </c>
      <c r="S48" s="234"/>
      <c r="T48" s="235">
        <f t="shared" si="105"/>
        <v>0</v>
      </c>
      <c r="U48" s="599">
        <f>IF(OR(ManualMode=FALSE,ISBLANK(V48)),SUM(K48:L48)*'Pricing - Advanced'!$F$19+SUM(N48,O48)*'Pricing - Advanced'!$F$18,"N/A")</f>
        <v>0</v>
      </c>
      <c r="V48" s="234"/>
      <c r="W48" s="236">
        <f t="shared" si="106"/>
        <v>0</v>
      </c>
      <c r="X48" s="237">
        <f>'Pricing - Advanced'!$F$20*SUM(H48:I48)+IF(J48&gt;1,'Pricing - Advanced'!$F$21,0)</f>
        <v>0</v>
      </c>
      <c r="Y48" s="688">
        <f>IF(AND(FullTerm&gt;=B48,AB47&gt;0),AB47*'Pricing - Advanced'!$I$128,0)</f>
        <v>0</v>
      </c>
      <c r="Z48" s="233">
        <f t="shared" si="107"/>
        <v>0</v>
      </c>
      <c r="AA48" s="234"/>
      <c r="AB48" s="597">
        <f t="shared" si="108"/>
        <v>0</v>
      </c>
      <c r="AC48" s="236">
        <f t="shared" si="67"/>
        <v>0</v>
      </c>
      <c r="AF48" s="762" t="e">
        <f t="shared" si="109"/>
        <v>#N/A</v>
      </c>
      <c r="AG48" s="759" t="e">
        <f t="shared" si="68"/>
        <v>#N/A</v>
      </c>
      <c r="AH48" s="759">
        <f>IF(J48=0,0,J48-SUM($N$6:N48)-AB47)</f>
        <v>0</v>
      </c>
      <c r="AI48" s="759">
        <f t="shared" si="69"/>
        <v>0</v>
      </c>
      <c r="AJ48" s="760">
        <f t="shared" si="55"/>
        <v>3.0000000000000001E-3</v>
      </c>
      <c r="AK48" s="760">
        <f t="shared" si="56"/>
        <v>3.0000000000000001E-3</v>
      </c>
      <c r="AN48" s="1" t="b">
        <f t="shared" si="116"/>
        <v>1</v>
      </c>
      <c r="AQ48" s="15">
        <f>IF(J47&gt;1,IF(int_method=2,$AG$229*J47,$AG$229*'Pricing - Advanced'!$E$4),0)</f>
        <v>0</v>
      </c>
      <c r="AR48" s="5">
        <f t="shared" si="110"/>
        <v>0</v>
      </c>
      <c r="AS48" s="204">
        <f t="shared" si="117"/>
        <v>41622</v>
      </c>
      <c r="AT48" s="1">
        <f>IF($AT$4=FALSE,B48*'Pricing - Advanced'!$K$5,AT47+E48-E47)</f>
        <v>1279</v>
      </c>
      <c r="AW48" s="603">
        <f t="shared" si="43"/>
        <v>0</v>
      </c>
      <c r="AX48" s="603">
        <f t="shared" si="70"/>
        <v>0</v>
      </c>
      <c r="AY48" s="603">
        <f t="shared" si="71"/>
        <v>0</v>
      </c>
      <c r="AZ48" s="603">
        <f t="shared" si="72"/>
        <v>0</v>
      </c>
      <c r="BA48" s="603">
        <f t="shared" si="44"/>
        <v>0</v>
      </c>
      <c r="BB48" s="603">
        <f t="shared" si="45"/>
        <v>0</v>
      </c>
      <c r="BC48" s="603">
        <f t="shared" si="73"/>
        <v>0</v>
      </c>
      <c r="BE48" s="157">
        <f t="shared" si="74"/>
        <v>42</v>
      </c>
      <c r="BF48" s="489">
        <f t="shared" si="111"/>
        <v>1279</v>
      </c>
      <c r="BG48" s="146">
        <f t="shared" si="75"/>
        <v>0</v>
      </c>
      <c r="BH48" s="147">
        <f t="shared" si="76"/>
        <v>0</v>
      </c>
      <c r="BI48" s="154" t="e">
        <f t="shared" si="77"/>
        <v>#NUM!</v>
      </c>
      <c r="BJ48" s="277" t="e">
        <f t="shared" si="63"/>
        <v>#NUM!</v>
      </c>
      <c r="BK48" s="147" t="e">
        <f t="shared" si="64"/>
        <v>#NUM!</v>
      </c>
      <c r="BL48" s="132" t="e">
        <f t="shared" si="65"/>
        <v>#NUM!</v>
      </c>
      <c r="BN48" s="497">
        <f t="shared" si="78"/>
        <v>42</v>
      </c>
      <c r="BO48" s="497">
        <f t="shared" si="79"/>
        <v>1279</v>
      </c>
      <c r="BP48" s="5">
        <f t="shared" si="80"/>
        <v>0</v>
      </c>
      <c r="BQ48" s="5">
        <f t="shared" si="81"/>
        <v>0</v>
      </c>
      <c r="BR48" s="499" t="e">
        <f t="shared" si="48"/>
        <v>#NUM!</v>
      </c>
      <c r="BS48" s="277" t="e">
        <f t="shared" si="60"/>
        <v>#NUM!</v>
      </c>
      <c r="BT48" s="5" t="e">
        <f t="shared" si="82"/>
        <v>#NUM!</v>
      </c>
      <c r="BU48" s="5" t="e">
        <f t="shared" si="83"/>
        <v>#NUM!</v>
      </c>
      <c r="BW48" s="5"/>
      <c r="BX48" s="5"/>
      <c r="BY48" s="5"/>
      <c r="BZ48" s="5"/>
      <c r="CA48" s="130"/>
      <c r="CB48" s="5"/>
      <c r="CC48" s="5" t="e">
        <f t="shared" si="84"/>
        <v>#DIV/0!</v>
      </c>
      <c r="CD48" s="5" t="e">
        <f t="shared" si="85"/>
        <v>#DIV/0!</v>
      </c>
      <c r="CE48" s="5"/>
      <c r="CI48" s="130">
        <f t="shared" si="86"/>
        <v>1.663594719536194</v>
      </c>
      <c r="CJ48" s="130">
        <f t="shared" si="87"/>
        <v>1.6640087427377781</v>
      </c>
      <c r="CK48" s="296">
        <f t="shared" si="112"/>
        <v>1.7234159533944213</v>
      </c>
      <c r="CL48" s="130">
        <f t="shared" si="88"/>
        <v>1.7234159533944213</v>
      </c>
      <c r="CM48" s="5">
        <f t="shared" si="50"/>
        <v>0</v>
      </c>
      <c r="CN48" s="5">
        <f t="shared" si="89"/>
        <v>0</v>
      </c>
      <c r="DE48" s="130" t="e">
        <f t="shared" si="90"/>
        <v>#NUM!</v>
      </c>
      <c r="DF48" s="130" t="e">
        <f t="shared" si="91"/>
        <v>#NUM!</v>
      </c>
      <c r="DG48" s="130" t="e">
        <f t="shared" si="113"/>
        <v>#NUM!</v>
      </c>
      <c r="DH48" s="130" t="e">
        <f t="shared" si="92"/>
        <v>#NUM!</v>
      </c>
      <c r="DJ48" s="130" t="e">
        <f t="shared" si="93"/>
        <v>#NUM!</v>
      </c>
      <c r="DK48" s="130" t="e">
        <f t="shared" si="94"/>
        <v>#NUM!</v>
      </c>
      <c r="DL48" s="130" t="e">
        <f t="shared" si="114"/>
        <v>#NUM!</v>
      </c>
      <c r="DM48" s="130" t="e">
        <f t="shared" si="62"/>
        <v>#NUM!</v>
      </c>
      <c r="DO48" s="130" t="e">
        <f t="shared" si="95"/>
        <v>#NUM!</v>
      </c>
      <c r="DP48" s="130" t="e">
        <f t="shared" si="96"/>
        <v>#NUM!</v>
      </c>
      <c r="DQ48" s="130" t="e">
        <f t="shared" si="115"/>
        <v>#NUM!</v>
      </c>
    </row>
    <row r="49" spans="2:121" hidden="1">
      <c r="B49" s="231">
        <v>43</v>
      </c>
      <c r="C49" s="280"/>
      <c r="D49" s="475"/>
      <c r="E49" s="318">
        <f t="shared" si="97"/>
        <v>41653</v>
      </c>
      <c r="F49" s="542">
        <f t="shared" si="66"/>
        <v>0</v>
      </c>
      <c r="G49" s="239"/>
      <c r="H49" s="685">
        <f t="shared" si="98"/>
        <v>0</v>
      </c>
      <c r="I49" s="240"/>
      <c r="J49" s="597">
        <f t="shared" si="99"/>
        <v>0</v>
      </c>
      <c r="K49" s="478">
        <f t="shared" si="100"/>
        <v>0</v>
      </c>
      <c r="L49" s="240"/>
      <c r="M49" s="235">
        <f t="shared" si="101"/>
        <v>0</v>
      </c>
      <c r="N49" s="479">
        <f t="shared" si="102"/>
        <v>0</v>
      </c>
      <c r="O49" s="234"/>
      <c r="P49" s="235">
        <f t="shared" si="103"/>
        <v>0</v>
      </c>
      <c r="Q49" s="651">
        <f t="shared" si="104"/>
        <v>0</v>
      </c>
      <c r="R49" s="479">
        <f>IF(J49&gt;0,IF(OR(ManualMode=FALSE,ISBLANK(S49)),'Pricing - Advanced'!$F$16*J49+'Pricing - Advanced'!$F$17,"N/A"),0)</f>
        <v>0</v>
      </c>
      <c r="S49" s="234"/>
      <c r="T49" s="235">
        <f t="shared" si="105"/>
        <v>0</v>
      </c>
      <c r="U49" s="599">
        <f>IF(OR(ManualMode=FALSE,ISBLANK(V49)),SUM(K49:L49)*'Pricing - Advanced'!$F$19+SUM(N49,O49)*'Pricing - Advanced'!$F$18,"N/A")</f>
        <v>0</v>
      </c>
      <c r="V49" s="234"/>
      <c r="W49" s="236">
        <f t="shared" si="106"/>
        <v>0</v>
      </c>
      <c r="X49" s="237">
        <f>'Pricing - Advanced'!$F$20*SUM(H49:I49)+IF(J49&gt;1,'Pricing - Advanced'!$F$21,0)</f>
        <v>0</v>
      </c>
      <c r="Y49" s="688">
        <f>IF(AND(FullTerm&gt;=B49,AB48&gt;0),AB48*'Pricing - Advanced'!$I$128,0)</f>
        <v>0</v>
      </c>
      <c r="Z49" s="233">
        <f t="shared" si="107"/>
        <v>0</v>
      </c>
      <c r="AA49" s="234"/>
      <c r="AB49" s="597">
        <f t="shared" si="108"/>
        <v>0</v>
      </c>
      <c r="AC49" s="236">
        <f t="shared" si="67"/>
        <v>0</v>
      </c>
      <c r="AF49" s="762" t="e">
        <f t="shared" si="109"/>
        <v>#N/A</v>
      </c>
      <c r="AG49" s="759" t="e">
        <f t="shared" si="68"/>
        <v>#N/A</v>
      </c>
      <c r="AH49" s="759">
        <f>IF(J49=0,0,J49-SUM($N$6:N49)-AB48)</f>
        <v>0</v>
      </c>
      <c r="AI49" s="759">
        <f t="shared" si="69"/>
        <v>0</v>
      </c>
      <c r="AJ49" s="760">
        <f t="shared" si="55"/>
        <v>3.0000000000000001E-3</v>
      </c>
      <c r="AK49" s="760">
        <f t="shared" si="56"/>
        <v>3.0000000000000001E-3</v>
      </c>
      <c r="AN49" s="1" t="b">
        <f t="shared" si="116"/>
        <v>1</v>
      </c>
      <c r="AQ49" s="15">
        <f>IF(J48&gt;1,IF(int_method=2,$AG$229*J48,$AG$229*'Pricing - Advanced'!$E$4),0)</f>
        <v>0</v>
      </c>
      <c r="AR49" s="5">
        <f t="shared" si="110"/>
        <v>0</v>
      </c>
      <c r="AS49" s="204">
        <f t="shared" si="117"/>
        <v>41653</v>
      </c>
      <c r="AT49" s="1">
        <f>IF($AT$4=FALSE,B49*'Pricing - Advanced'!$K$5,AT48+E49-E48)</f>
        <v>1310</v>
      </c>
      <c r="AW49" s="603">
        <f t="shared" si="43"/>
        <v>0</v>
      </c>
      <c r="AX49" s="603">
        <f t="shared" si="70"/>
        <v>0</v>
      </c>
      <c r="AY49" s="603">
        <f t="shared" si="71"/>
        <v>0</v>
      </c>
      <c r="AZ49" s="603">
        <f t="shared" si="72"/>
        <v>0</v>
      </c>
      <c r="BA49" s="603">
        <f t="shared" si="44"/>
        <v>0</v>
      </c>
      <c r="BB49" s="603">
        <f t="shared" si="45"/>
        <v>0</v>
      </c>
      <c r="BC49" s="603">
        <f t="shared" si="73"/>
        <v>0</v>
      </c>
      <c r="BE49" s="157">
        <f t="shared" si="74"/>
        <v>43</v>
      </c>
      <c r="BF49" s="489">
        <f t="shared" si="111"/>
        <v>1310</v>
      </c>
      <c r="BG49" s="146">
        <f t="shared" si="75"/>
        <v>0</v>
      </c>
      <c r="BH49" s="147">
        <f t="shared" si="76"/>
        <v>0</v>
      </c>
      <c r="BI49" s="154" t="e">
        <f t="shared" si="77"/>
        <v>#NUM!</v>
      </c>
      <c r="BJ49" s="277" t="e">
        <f t="shared" si="63"/>
        <v>#NUM!</v>
      </c>
      <c r="BK49" s="147" t="e">
        <f t="shared" si="64"/>
        <v>#NUM!</v>
      </c>
      <c r="BL49" s="132" t="e">
        <f t="shared" si="65"/>
        <v>#NUM!</v>
      </c>
      <c r="BN49" s="497">
        <f t="shared" si="78"/>
        <v>43</v>
      </c>
      <c r="BO49" s="497">
        <f t="shared" si="79"/>
        <v>1310</v>
      </c>
      <c r="BP49" s="5">
        <f t="shared" si="80"/>
        <v>0</v>
      </c>
      <c r="BQ49" s="5">
        <f t="shared" si="81"/>
        <v>0</v>
      </c>
      <c r="BR49" s="499" t="e">
        <f t="shared" si="48"/>
        <v>#NUM!</v>
      </c>
      <c r="BS49" s="277" t="e">
        <f t="shared" si="60"/>
        <v>#NUM!</v>
      </c>
      <c r="BT49" s="5" t="e">
        <f t="shared" si="82"/>
        <v>#NUM!</v>
      </c>
      <c r="BU49" s="5" t="e">
        <f t="shared" si="83"/>
        <v>#NUM!</v>
      </c>
      <c r="BW49" s="5"/>
      <c r="BX49" s="5"/>
      <c r="BY49" s="5"/>
      <c r="BZ49" s="5"/>
      <c r="CA49" s="130"/>
      <c r="CB49" s="5"/>
      <c r="CC49" s="5" t="e">
        <f t="shared" si="84"/>
        <v>#DIV/0!</v>
      </c>
      <c r="CD49" s="5" t="e">
        <f t="shared" si="85"/>
        <v>#DIV/0!</v>
      </c>
      <c r="CE49" s="5"/>
      <c r="CI49" s="130">
        <f t="shared" si="86"/>
        <v>1.6838777937621716</v>
      </c>
      <c r="CJ49" s="130">
        <f t="shared" si="87"/>
        <v>1.6846741180309968</v>
      </c>
      <c r="CK49" s="296">
        <f t="shared" si="112"/>
        <v>1.7458963006176562</v>
      </c>
      <c r="CL49" s="130">
        <f t="shared" si="88"/>
        <v>1.7458963006176562</v>
      </c>
      <c r="CM49" s="5">
        <f t="shared" si="50"/>
        <v>0</v>
      </c>
      <c r="CN49" s="5">
        <f t="shared" si="89"/>
        <v>0</v>
      </c>
      <c r="DE49" s="130" t="e">
        <f t="shared" si="90"/>
        <v>#NUM!</v>
      </c>
      <c r="DF49" s="130" t="e">
        <f t="shared" si="91"/>
        <v>#NUM!</v>
      </c>
      <c r="DG49" s="130" t="e">
        <f t="shared" si="113"/>
        <v>#NUM!</v>
      </c>
      <c r="DH49" s="130" t="e">
        <f t="shared" si="92"/>
        <v>#NUM!</v>
      </c>
      <c r="DJ49" s="130" t="e">
        <f t="shared" si="93"/>
        <v>#NUM!</v>
      </c>
      <c r="DK49" s="130" t="e">
        <f t="shared" si="94"/>
        <v>#NUM!</v>
      </c>
      <c r="DL49" s="130" t="e">
        <f t="shared" si="114"/>
        <v>#NUM!</v>
      </c>
      <c r="DM49" s="130" t="e">
        <f t="shared" si="62"/>
        <v>#NUM!</v>
      </c>
      <c r="DO49" s="130" t="e">
        <f t="shared" si="95"/>
        <v>#NUM!</v>
      </c>
      <c r="DP49" s="130" t="e">
        <f t="shared" si="96"/>
        <v>#NUM!</v>
      </c>
      <c r="DQ49" s="130" t="e">
        <f t="shared" si="115"/>
        <v>#NUM!</v>
      </c>
    </row>
    <row r="50" spans="2:121" hidden="1">
      <c r="B50" s="231">
        <v>44</v>
      </c>
      <c r="C50" s="280"/>
      <c r="D50" s="475"/>
      <c r="E50" s="318">
        <f t="shared" si="97"/>
        <v>41684</v>
      </c>
      <c r="F50" s="542">
        <f t="shared" si="66"/>
        <v>0</v>
      </c>
      <c r="G50" s="239"/>
      <c r="H50" s="685">
        <f t="shared" si="98"/>
        <v>0</v>
      </c>
      <c r="I50" s="240"/>
      <c r="J50" s="597">
        <f t="shared" si="99"/>
        <v>0</v>
      </c>
      <c r="K50" s="478">
        <f t="shared" si="100"/>
        <v>0</v>
      </c>
      <c r="L50" s="240"/>
      <c r="M50" s="235">
        <f t="shared" si="101"/>
        <v>0</v>
      </c>
      <c r="N50" s="479">
        <f t="shared" si="102"/>
        <v>0</v>
      </c>
      <c r="O50" s="234"/>
      <c r="P50" s="235">
        <f t="shared" si="103"/>
        <v>0</v>
      </c>
      <c r="Q50" s="651">
        <f t="shared" si="104"/>
        <v>0</v>
      </c>
      <c r="R50" s="479">
        <f>IF(J50&gt;0,IF(OR(ManualMode=FALSE,ISBLANK(S50)),'Pricing - Advanced'!$F$16*J50+'Pricing - Advanced'!$F$17,"N/A"),0)</f>
        <v>0</v>
      </c>
      <c r="S50" s="234"/>
      <c r="T50" s="235">
        <f t="shared" si="105"/>
        <v>0</v>
      </c>
      <c r="U50" s="599">
        <f>IF(OR(ManualMode=FALSE,ISBLANK(V50)),SUM(K50:L50)*'Pricing - Advanced'!$F$19+SUM(N50,O50)*'Pricing - Advanced'!$F$18,"N/A")</f>
        <v>0</v>
      </c>
      <c r="V50" s="234"/>
      <c r="W50" s="236">
        <f t="shared" si="106"/>
        <v>0</v>
      </c>
      <c r="X50" s="237">
        <f>'Pricing - Advanced'!$F$20*SUM(H50:I50)+IF(J50&gt;1,'Pricing - Advanced'!$F$21,0)</f>
        <v>0</v>
      </c>
      <c r="Y50" s="688">
        <f>IF(AND(FullTerm&gt;=B50,AB49&gt;0),AB49*'Pricing - Advanced'!$I$128,0)</f>
        <v>0</v>
      </c>
      <c r="Z50" s="233">
        <f t="shared" si="107"/>
        <v>0</v>
      </c>
      <c r="AA50" s="234"/>
      <c r="AB50" s="597">
        <f t="shared" si="108"/>
        <v>0</v>
      </c>
      <c r="AC50" s="236">
        <f t="shared" si="67"/>
        <v>0</v>
      </c>
      <c r="AF50" s="762" t="e">
        <f t="shared" si="109"/>
        <v>#N/A</v>
      </c>
      <c r="AG50" s="759" t="e">
        <f t="shared" si="68"/>
        <v>#N/A</v>
      </c>
      <c r="AH50" s="759">
        <f>IF(J50=0,0,J50-SUM($N$6:N50)-AB49)</f>
        <v>0</v>
      </c>
      <c r="AI50" s="759">
        <f t="shared" si="69"/>
        <v>0</v>
      </c>
      <c r="AJ50" s="760">
        <f t="shared" si="55"/>
        <v>3.0000000000000001E-3</v>
      </c>
      <c r="AK50" s="760">
        <f t="shared" si="56"/>
        <v>3.0000000000000001E-3</v>
      </c>
      <c r="AN50" s="1" t="b">
        <f t="shared" si="116"/>
        <v>1</v>
      </c>
      <c r="AQ50" s="15">
        <f>IF(J49&gt;1,IF(int_method=2,$AG$229*J49,$AG$229*'Pricing - Advanced'!$E$4),0)</f>
        <v>0</v>
      </c>
      <c r="AR50" s="5">
        <f t="shared" si="110"/>
        <v>0</v>
      </c>
      <c r="AS50" s="204">
        <f t="shared" si="117"/>
        <v>41684</v>
      </c>
      <c r="AT50" s="1">
        <f>IF($AT$4=FALSE,B50*'Pricing - Advanced'!$K$5,AT49+E50-E49)</f>
        <v>1341</v>
      </c>
      <c r="AW50" s="603">
        <f t="shared" si="43"/>
        <v>0</v>
      </c>
      <c r="AX50" s="603">
        <f t="shared" si="70"/>
        <v>0</v>
      </c>
      <c r="AY50" s="603">
        <f t="shared" si="71"/>
        <v>0</v>
      </c>
      <c r="AZ50" s="603">
        <f t="shared" si="72"/>
        <v>0</v>
      </c>
      <c r="BA50" s="603">
        <f t="shared" si="44"/>
        <v>0</v>
      </c>
      <c r="BB50" s="603">
        <f t="shared" si="45"/>
        <v>0</v>
      </c>
      <c r="BC50" s="603">
        <f t="shared" si="73"/>
        <v>0</v>
      </c>
      <c r="BE50" s="157">
        <f t="shared" si="74"/>
        <v>44</v>
      </c>
      <c r="BF50" s="489">
        <f t="shared" si="111"/>
        <v>1341</v>
      </c>
      <c r="BG50" s="146">
        <f t="shared" si="75"/>
        <v>0</v>
      </c>
      <c r="BH50" s="147">
        <f t="shared" si="76"/>
        <v>0</v>
      </c>
      <c r="BI50" s="154" t="e">
        <f t="shared" si="77"/>
        <v>#NUM!</v>
      </c>
      <c r="BJ50" s="277" t="e">
        <f t="shared" si="63"/>
        <v>#NUM!</v>
      </c>
      <c r="BK50" s="147" t="e">
        <f t="shared" si="64"/>
        <v>#NUM!</v>
      </c>
      <c r="BL50" s="132" t="e">
        <f t="shared" si="65"/>
        <v>#NUM!</v>
      </c>
      <c r="BN50" s="497">
        <f t="shared" si="78"/>
        <v>44</v>
      </c>
      <c r="BO50" s="497">
        <f t="shared" si="79"/>
        <v>1341</v>
      </c>
      <c r="BP50" s="5">
        <f t="shared" si="80"/>
        <v>0</v>
      </c>
      <c r="BQ50" s="5">
        <f t="shared" si="81"/>
        <v>0</v>
      </c>
      <c r="BR50" s="499" t="e">
        <f t="shared" si="48"/>
        <v>#NUM!</v>
      </c>
      <c r="BS50" s="277" t="e">
        <f t="shared" si="60"/>
        <v>#NUM!</v>
      </c>
      <c r="BT50" s="5" t="e">
        <f t="shared" si="82"/>
        <v>#NUM!</v>
      </c>
      <c r="BU50" s="5" t="e">
        <f t="shared" si="83"/>
        <v>#NUM!</v>
      </c>
      <c r="BW50" s="5"/>
      <c r="BX50" s="5"/>
      <c r="BY50" s="5"/>
      <c r="BZ50" s="5"/>
      <c r="CA50" s="130"/>
      <c r="CB50" s="5"/>
      <c r="CC50" s="5" t="e">
        <f t="shared" si="84"/>
        <v>#DIV/0!</v>
      </c>
      <c r="CD50" s="5" t="e">
        <f t="shared" si="85"/>
        <v>#DIV/0!</v>
      </c>
      <c r="CE50" s="5"/>
      <c r="CI50" s="130">
        <f t="shared" si="86"/>
        <v>1.7044081656594061</v>
      </c>
      <c r="CJ50" s="130">
        <f t="shared" si="87"/>
        <v>1.7055961372498396</v>
      </c>
      <c r="CK50" s="296">
        <f t="shared" si="112"/>
        <v>1.7686698829187504</v>
      </c>
      <c r="CL50" s="130">
        <f t="shared" si="88"/>
        <v>1.7686698829187504</v>
      </c>
      <c r="CM50" s="5">
        <f t="shared" si="50"/>
        <v>0</v>
      </c>
      <c r="CN50" s="5">
        <f t="shared" si="89"/>
        <v>0</v>
      </c>
      <c r="DE50" s="130" t="e">
        <f t="shared" si="90"/>
        <v>#NUM!</v>
      </c>
      <c r="DF50" s="130" t="e">
        <f t="shared" si="91"/>
        <v>#NUM!</v>
      </c>
      <c r="DG50" s="130" t="e">
        <f t="shared" si="113"/>
        <v>#NUM!</v>
      </c>
      <c r="DH50" s="130" t="e">
        <f t="shared" si="92"/>
        <v>#NUM!</v>
      </c>
      <c r="DJ50" s="130" t="e">
        <f t="shared" si="93"/>
        <v>#NUM!</v>
      </c>
      <c r="DK50" s="130" t="e">
        <f t="shared" si="94"/>
        <v>#NUM!</v>
      </c>
      <c r="DL50" s="130" t="e">
        <f t="shared" si="114"/>
        <v>#NUM!</v>
      </c>
      <c r="DM50" s="130" t="e">
        <f t="shared" si="62"/>
        <v>#NUM!</v>
      </c>
      <c r="DO50" s="130" t="e">
        <f t="shared" si="95"/>
        <v>#NUM!</v>
      </c>
      <c r="DP50" s="130" t="e">
        <f t="shared" si="96"/>
        <v>#NUM!</v>
      </c>
      <c r="DQ50" s="130" t="e">
        <f t="shared" si="115"/>
        <v>#NUM!</v>
      </c>
    </row>
    <row r="51" spans="2:121" hidden="1">
      <c r="B51" s="231">
        <v>45</v>
      </c>
      <c r="C51" s="280"/>
      <c r="D51" s="475"/>
      <c r="E51" s="318">
        <f t="shared" si="97"/>
        <v>41712</v>
      </c>
      <c r="F51" s="542">
        <f t="shared" ref="F51:F82" si="118">IF(AN51="x",E51-E50,0)</f>
        <v>0</v>
      </c>
      <c r="G51" s="239"/>
      <c r="H51" s="685">
        <f t="shared" si="98"/>
        <v>0</v>
      </c>
      <c r="I51" s="240"/>
      <c r="J51" s="597">
        <f t="shared" si="99"/>
        <v>0</v>
      </c>
      <c r="K51" s="478">
        <f t="shared" si="100"/>
        <v>0</v>
      </c>
      <c r="L51" s="240"/>
      <c r="M51" s="235">
        <f t="shared" si="101"/>
        <v>0</v>
      </c>
      <c r="N51" s="479">
        <f t="shared" si="102"/>
        <v>0</v>
      </c>
      <c r="O51" s="234"/>
      <c r="P51" s="235">
        <f t="shared" si="103"/>
        <v>0</v>
      </c>
      <c r="Q51" s="651">
        <f t="shared" si="104"/>
        <v>0</v>
      </c>
      <c r="R51" s="479">
        <f>IF(J51&gt;0,IF(OR(ManualMode=FALSE,ISBLANK(S51)),'Pricing - Advanced'!$F$16*J51+'Pricing - Advanced'!$F$17,"N/A"),0)</f>
        <v>0</v>
      </c>
      <c r="S51" s="234"/>
      <c r="T51" s="235">
        <f t="shared" si="105"/>
        <v>0</v>
      </c>
      <c r="U51" s="599">
        <f>IF(OR(ManualMode=FALSE,ISBLANK(V51)),SUM(K51:L51)*'Pricing - Advanced'!$F$19+SUM(N51,O51)*'Pricing - Advanced'!$F$18,"N/A")</f>
        <v>0</v>
      </c>
      <c r="V51" s="234"/>
      <c r="W51" s="236">
        <f t="shared" si="106"/>
        <v>0</v>
      </c>
      <c r="X51" s="237">
        <f>'Pricing - Advanced'!$F$20*SUM(H51:I51)+IF(J51&gt;1,'Pricing - Advanced'!$F$21,0)</f>
        <v>0</v>
      </c>
      <c r="Y51" s="688">
        <f>IF(AND(FullTerm&gt;=B51,AB50&gt;0),AB50*'Pricing - Advanced'!$I$128,0)</f>
        <v>0</v>
      </c>
      <c r="Z51" s="233">
        <f t="shared" si="107"/>
        <v>0</v>
      </c>
      <c r="AA51" s="234"/>
      <c r="AB51" s="597">
        <f t="shared" si="108"/>
        <v>0</v>
      </c>
      <c r="AC51" s="236">
        <f t="shared" si="67"/>
        <v>0</v>
      </c>
      <c r="AF51" s="762" t="e">
        <f t="shared" si="109"/>
        <v>#N/A</v>
      </c>
      <c r="AG51" s="759" t="e">
        <f t="shared" si="68"/>
        <v>#N/A</v>
      </c>
      <c r="AH51" s="759">
        <f>IF(J51=0,0,J51-SUM($N$6:N51)-AB50)</f>
        <v>0</v>
      </c>
      <c r="AI51" s="759">
        <f t="shared" si="69"/>
        <v>0</v>
      </c>
      <c r="AJ51" s="760">
        <f t="shared" si="55"/>
        <v>3.0000000000000001E-3</v>
      </c>
      <c r="AK51" s="760">
        <f t="shared" si="56"/>
        <v>3.0000000000000001E-3</v>
      </c>
      <c r="AN51" s="1" t="b">
        <f t="shared" si="116"/>
        <v>1</v>
      </c>
      <c r="AQ51" s="15">
        <f>IF(J50&gt;1,IF(int_method=2,$AG$229*J50,$AG$229*'Pricing - Advanced'!$E$4),0)</f>
        <v>0</v>
      </c>
      <c r="AR51" s="5">
        <f t="shared" si="110"/>
        <v>0</v>
      </c>
      <c r="AS51" s="204">
        <f t="shared" si="117"/>
        <v>41712</v>
      </c>
      <c r="AT51" s="1">
        <f>IF($AT$4=FALSE,B51*'Pricing - Advanced'!$K$5,AT50+E51-E50)</f>
        <v>1369</v>
      </c>
      <c r="AW51" s="603">
        <f t="shared" si="43"/>
        <v>0</v>
      </c>
      <c r="AX51" s="603">
        <f t="shared" si="70"/>
        <v>0</v>
      </c>
      <c r="AY51" s="603">
        <f t="shared" si="71"/>
        <v>0</v>
      </c>
      <c r="AZ51" s="603">
        <f t="shared" si="72"/>
        <v>0</v>
      </c>
      <c r="BA51" s="603">
        <f t="shared" si="44"/>
        <v>0</v>
      </c>
      <c r="BB51" s="603">
        <f t="shared" si="45"/>
        <v>0</v>
      </c>
      <c r="BC51" s="603">
        <f t="shared" si="73"/>
        <v>0</v>
      </c>
      <c r="BE51" s="157">
        <f t="shared" si="74"/>
        <v>45</v>
      </c>
      <c r="BF51" s="489">
        <f t="shared" si="111"/>
        <v>1369</v>
      </c>
      <c r="BG51" s="146">
        <f t="shared" si="75"/>
        <v>0</v>
      </c>
      <c r="BH51" s="147">
        <f t="shared" si="76"/>
        <v>0</v>
      </c>
      <c r="BI51" s="154" t="e">
        <f t="shared" si="77"/>
        <v>#NUM!</v>
      </c>
      <c r="BJ51" s="277" t="e">
        <f t="shared" si="63"/>
        <v>#NUM!</v>
      </c>
      <c r="BK51" s="147" t="e">
        <f t="shared" si="64"/>
        <v>#NUM!</v>
      </c>
      <c r="BL51" s="132" t="e">
        <f t="shared" si="65"/>
        <v>#NUM!</v>
      </c>
      <c r="BN51" s="497">
        <f t="shared" si="78"/>
        <v>45</v>
      </c>
      <c r="BO51" s="497">
        <f t="shared" si="79"/>
        <v>1369</v>
      </c>
      <c r="BP51" s="5">
        <f t="shared" si="80"/>
        <v>0</v>
      </c>
      <c r="BQ51" s="5">
        <f t="shared" si="81"/>
        <v>0</v>
      </c>
      <c r="BR51" s="499" t="e">
        <f t="shared" si="48"/>
        <v>#NUM!</v>
      </c>
      <c r="BS51" s="277" t="e">
        <f t="shared" si="60"/>
        <v>#NUM!</v>
      </c>
      <c r="BT51" s="5" t="e">
        <f t="shared" si="82"/>
        <v>#NUM!</v>
      </c>
      <c r="BU51" s="5" t="e">
        <f t="shared" si="83"/>
        <v>#NUM!</v>
      </c>
      <c r="BW51" s="5"/>
      <c r="BX51" s="5"/>
      <c r="BY51" s="5"/>
      <c r="BZ51" s="5"/>
      <c r="CA51" s="130"/>
      <c r="CB51" s="5"/>
      <c r="CC51" s="5" t="e">
        <f t="shared" si="84"/>
        <v>#DIV/0!</v>
      </c>
      <c r="CD51" s="5" t="e">
        <f t="shared" si="85"/>
        <v>#DIV/0!</v>
      </c>
      <c r="CE51" s="5"/>
      <c r="CI51" s="130">
        <f t="shared" si="86"/>
        <v>1.7251888503595056</v>
      </c>
      <c r="CJ51" s="130">
        <f t="shared" si="87"/>
        <v>1.7247166862194363</v>
      </c>
      <c r="CK51" s="296">
        <f t="shared" si="112"/>
        <v>1.791740525274695</v>
      </c>
      <c r="CL51" s="130">
        <f t="shared" si="88"/>
        <v>1.791740525274695</v>
      </c>
      <c r="CM51" s="5">
        <f t="shared" si="50"/>
        <v>0</v>
      </c>
      <c r="CN51" s="5">
        <f t="shared" si="89"/>
        <v>0</v>
      </c>
      <c r="DE51" s="130" t="e">
        <f t="shared" si="90"/>
        <v>#NUM!</v>
      </c>
      <c r="DF51" s="130" t="e">
        <f t="shared" si="91"/>
        <v>#NUM!</v>
      </c>
      <c r="DG51" s="130" t="e">
        <f t="shared" si="113"/>
        <v>#NUM!</v>
      </c>
      <c r="DH51" s="130" t="e">
        <f t="shared" si="92"/>
        <v>#NUM!</v>
      </c>
      <c r="DJ51" s="130" t="e">
        <f t="shared" si="93"/>
        <v>#NUM!</v>
      </c>
      <c r="DK51" s="130" t="e">
        <f t="shared" si="94"/>
        <v>#NUM!</v>
      </c>
      <c r="DL51" s="130" t="e">
        <f t="shared" si="114"/>
        <v>#NUM!</v>
      </c>
      <c r="DM51" s="130" t="e">
        <f t="shared" si="62"/>
        <v>#NUM!</v>
      </c>
      <c r="DO51" s="130" t="e">
        <f t="shared" si="95"/>
        <v>#NUM!</v>
      </c>
      <c r="DP51" s="130" t="e">
        <f t="shared" si="96"/>
        <v>#NUM!</v>
      </c>
      <c r="DQ51" s="130" t="e">
        <f t="shared" si="115"/>
        <v>#NUM!</v>
      </c>
    </row>
    <row r="52" spans="2:121" hidden="1">
      <c r="B52" s="231">
        <v>46</v>
      </c>
      <c r="C52" s="280"/>
      <c r="D52" s="475"/>
      <c r="E52" s="318">
        <f t="shared" si="97"/>
        <v>41743</v>
      </c>
      <c r="F52" s="542">
        <f t="shared" si="118"/>
        <v>0</v>
      </c>
      <c r="G52" s="239"/>
      <c r="H52" s="685">
        <f t="shared" si="98"/>
        <v>0</v>
      </c>
      <c r="I52" s="234"/>
      <c r="J52" s="597">
        <f t="shared" si="99"/>
        <v>0</v>
      </c>
      <c r="K52" s="478">
        <f t="shared" si="100"/>
        <v>0</v>
      </c>
      <c r="L52" s="234"/>
      <c r="M52" s="235">
        <f t="shared" si="101"/>
        <v>0</v>
      </c>
      <c r="N52" s="479">
        <f t="shared" si="102"/>
        <v>0</v>
      </c>
      <c r="O52" s="234"/>
      <c r="P52" s="235">
        <f t="shared" si="103"/>
        <v>0</v>
      </c>
      <c r="Q52" s="651">
        <f t="shared" si="104"/>
        <v>0</v>
      </c>
      <c r="R52" s="479">
        <f>IF(J52&gt;0,IF(OR(ManualMode=FALSE,ISBLANK(S52)),'Pricing - Advanced'!$F$16*J52+'Pricing - Advanced'!$F$17,"N/A"),0)</f>
        <v>0</v>
      </c>
      <c r="S52" s="234"/>
      <c r="T52" s="235">
        <f t="shared" si="105"/>
        <v>0</v>
      </c>
      <c r="U52" s="599">
        <f>IF(OR(ManualMode=FALSE,ISBLANK(V52)),SUM(K52:L52)*'Pricing - Advanced'!$F$19+SUM(N52,O52)*'Pricing - Advanced'!$F$18,"N/A")</f>
        <v>0</v>
      </c>
      <c r="V52" s="234"/>
      <c r="W52" s="236">
        <f t="shared" si="106"/>
        <v>0</v>
      </c>
      <c r="X52" s="237">
        <f>'Pricing - Advanced'!$F$20*SUM(H52:I52)+IF(J52&gt;1,'Pricing - Advanced'!$F$21,0)</f>
        <v>0</v>
      </c>
      <c r="Y52" s="688">
        <f>IF(AND(FullTerm&gt;=B52,AB51&gt;0),AB51*'Pricing - Advanced'!$I$128,0)</f>
        <v>0</v>
      </c>
      <c r="Z52" s="233">
        <f t="shared" si="107"/>
        <v>0</v>
      </c>
      <c r="AA52" s="234"/>
      <c r="AB52" s="597">
        <f t="shared" si="108"/>
        <v>0</v>
      </c>
      <c r="AC52" s="236">
        <f t="shared" si="67"/>
        <v>0</v>
      </c>
      <c r="AF52" s="762" t="e">
        <f t="shared" si="109"/>
        <v>#N/A</v>
      </c>
      <c r="AG52" s="759" t="e">
        <f t="shared" si="68"/>
        <v>#N/A</v>
      </c>
      <c r="AH52" s="759">
        <f>IF(J52=0,0,J52-SUM($N$6:N52)-AB51)</f>
        <v>0</v>
      </c>
      <c r="AI52" s="759">
        <f t="shared" si="69"/>
        <v>0</v>
      </c>
      <c r="AJ52" s="760">
        <f t="shared" si="55"/>
        <v>3.0000000000000001E-3</v>
      </c>
      <c r="AK52" s="760">
        <f t="shared" si="56"/>
        <v>3.0000000000000001E-3</v>
      </c>
      <c r="AN52" s="1" t="b">
        <f t="shared" si="116"/>
        <v>1</v>
      </c>
      <c r="AQ52" s="15">
        <f>IF(J51&gt;1,IF(int_method=2,$AG$229*J51,$AG$229*'Pricing - Advanced'!$E$4),0)</f>
        <v>0</v>
      </c>
      <c r="AR52" s="5">
        <f t="shared" si="110"/>
        <v>0</v>
      </c>
      <c r="AS52" s="204">
        <f t="shared" si="117"/>
        <v>41743</v>
      </c>
      <c r="AT52" s="1">
        <f>IF($AT$4=FALSE,B52*'Pricing - Advanced'!$K$5,AT51+E52-E51)</f>
        <v>1400</v>
      </c>
      <c r="AW52" s="603">
        <f t="shared" si="43"/>
        <v>0</v>
      </c>
      <c r="AX52" s="603">
        <f t="shared" si="70"/>
        <v>0</v>
      </c>
      <c r="AY52" s="603">
        <f t="shared" si="71"/>
        <v>0</v>
      </c>
      <c r="AZ52" s="603">
        <f t="shared" si="72"/>
        <v>0</v>
      </c>
      <c r="BA52" s="603">
        <f t="shared" si="44"/>
        <v>0</v>
      </c>
      <c r="BB52" s="603">
        <f t="shared" si="45"/>
        <v>0</v>
      </c>
      <c r="BC52" s="603">
        <f t="shared" si="73"/>
        <v>0</v>
      </c>
      <c r="BE52" s="157">
        <f t="shared" si="74"/>
        <v>46</v>
      </c>
      <c r="BF52" s="489">
        <f t="shared" si="111"/>
        <v>1400</v>
      </c>
      <c r="BG52" s="146">
        <f t="shared" si="75"/>
        <v>0</v>
      </c>
      <c r="BH52" s="147">
        <f t="shared" si="76"/>
        <v>0</v>
      </c>
      <c r="BI52" s="154" t="e">
        <f t="shared" si="77"/>
        <v>#NUM!</v>
      </c>
      <c r="BJ52" s="277" t="e">
        <f t="shared" si="63"/>
        <v>#NUM!</v>
      </c>
      <c r="BK52" s="147" t="e">
        <f t="shared" si="64"/>
        <v>#NUM!</v>
      </c>
      <c r="BL52" s="132" t="e">
        <f t="shared" si="65"/>
        <v>#NUM!</v>
      </c>
      <c r="BN52" s="497">
        <f t="shared" si="78"/>
        <v>46</v>
      </c>
      <c r="BO52" s="497">
        <f t="shared" si="79"/>
        <v>1400</v>
      </c>
      <c r="BP52" s="5">
        <f t="shared" si="80"/>
        <v>0</v>
      </c>
      <c r="BQ52" s="5">
        <f t="shared" si="81"/>
        <v>0</v>
      </c>
      <c r="BR52" s="499" t="e">
        <f t="shared" si="48"/>
        <v>#NUM!</v>
      </c>
      <c r="BS52" s="277" t="e">
        <f t="shared" si="60"/>
        <v>#NUM!</v>
      </c>
      <c r="BT52" s="5" t="e">
        <f t="shared" si="82"/>
        <v>#NUM!</v>
      </c>
      <c r="BU52" s="5" t="e">
        <f t="shared" si="83"/>
        <v>#NUM!</v>
      </c>
      <c r="BW52" s="5"/>
      <c r="BX52" s="5"/>
      <c r="BY52" s="5"/>
      <c r="BZ52" s="5"/>
      <c r="CA52" s="130"/>
      <c r="CB52" s="5"/>
      <c r="CC52" s="5" t="e">
        <f t="shared" si="84"/>
        <v>#DIV/0!</v>
      </c>
      <c r="CD52" s="5" t="e">
        <f t="shared" si="85"/>
        <v>#DIV/0!</v>
      </c>
      <c r="CE52" s="5"/>
      <c r="CI52" s="130">
        <f t="shared" si="86"/>
        <v>1.7462228997555189</v>
      </c>
      <c r="CJ52" s="130">
        <f t="shared" si="87"/>
        <v>1.7461359953130651</v>
      </c>
      <c r="CK52" s="296">
        <f t="shared" si="112"/>
        <v>1.8151121025557244</v>
      </c>
      <c r="CL52" s="130">
        <f t="shared" si="88"/>
        <v>1.8151121025557244</v>
      </c>
      <c r="CM52" s="5">
        <f t="shared" si="50"/>
        <v>0</v>
      </c>
      <c r="CN52" s="5">
        <f t="shared" si="89"/>
        <v>0</v>
      </c>
      <c r="DE52" s="130" t="e">
        <f t="shared" si="90"/>
        <v>#NUM!</v>
      </c>
      <c r="DF52" s="130" t="e">
        <f t="shared" si="91"/>
        <v>#NUM!</v>
      </c>
      <c r="DG52" s="130" t="e">
        <f t="shared" si="113"/>
        <v>#NUM!</v>
      </c>
      <c r="DH52" s="130" t="e">
        <f t="shared" si="92"/>
        <v>#NUM!</v>
      </c>
      <c r="DJ52" s="130" t="e">
        <f t="shared" si="93"/>
        <v>#NUM!</v>
      </c>
      <c r="DK52" s="130" t="e">
        <f t="shared" si="94"/>
        <v>#NUM!</v>
      </c>
      <c r="DL52" s="130" t="e">
        <f t="shared" si="114"/>
        <v>#NUM!</v>
      </c>
      <c r="DM52" s="130" t="e">
        <f t="shared" si="62"/>
        <v>#NUM!</v>
      </c>
      <c r="DO52" s="130" t="e">
        <f t="shared" si="95"/>
        <v>#NUM!</v>
      </c>
      <c r="DP52" s="130" t="e">
        <f t="shared" si="96"/>
        <v>#NUM!</v>
      </c>
      <c r="DQ52" s="130" t="e">
        <f t="shared" si="115"/>
        <v>#NUM!</v>
      </c>
    </row>
    <row r="53" spans="2:121" hidden="1">
      <c r="B53" s="231">
        <v>47</v>
      </c>
      <c r="C53" s="280"/>
      <c r="D53" s="475"/>
      <c r="E53" s="318">
        <f t="shared" si="97"/>
        <v>41773</v>
      </c>
      <c r="F53" s="542">
        <f t="shared" si="118"/>
        <v>0</v>
      </c>
      <c r="G53" s="239"/>
      <c r="H53" s="685">
        <f t="shared" si="98"/>
        <v>0</v>
      </c>
      <c r="I53" s="234"/>
      <c r="J53" s="597">
        <f t="shared" si="99"/>
        <v>0</v>
      </c>
      <c r="K53" s="478">
        <f t="shared" si="100"/>
        <v>0</v>
      </c>
      <c r="L53" s="234"/>
      <c r="M53" s="235">
        <f t="shared" si="101"/>
        <v>0</v>
      </c>
      <c r="N53" s="479">
        <f t="shared" si="102"/>
        <v>0</v>
      </c>
      <c r="O53" s="234"/>
      <c r="P53" s="235">
        <f t="shared" si="103"/>
        <v>0</v>
      </c>
      <c r="Q53" s="651">
        <f t="shared" si="104"/>
        <v>0</v>
      </c>
      <c r="R53" s="479">
        <f>IF(J53&gt;0,IF(OR(ManualMode=FALSE,ISBLANK(S53)),'Pricing - Advanced'!$F$16*J53+'Pricing - Advanced'!$F$17,"N/A"),0)</f>
        <v>0</v>
      </c>
      <c r="S53" s="234"/>
      <c r="T53" s="235">
        <f t="shared" si="105"/>
        <v>0</v>
      </c>
      <c r="U53" s="599">
        <f>IF(OR(ManualMode=FALSE,ISBLANK(V53)),SUM(K53:L53)*'Pricing - Advanced'!$F$19+SUM(N53,O53)*'Pricing - Advanced'!$F$18,"N/A")</f>
        <v>0</v>
      </c>
      <c r="V53" s="234"/>
      <c r="W53" s="236">
        <f t="shared" si="106"/>
        <v>0</v>
      </c>
      <c r="X53" s="237">
        <f>'Pricing - Advanced'!$F$20*SUM(H53:I53)+IF(J53&gt;1,'Pricing - Advanced'!$F$21,0)</f>
        <v>0</v>
      </c>
      <c r="Y53" s="688">
        <f>IF(AND(FullTerm&gt;=B53,AB52&gt;0),AB52*'Pricing - Advanced'!$I$128,0)</f>
        <v>0</v>
      </c>
      <c r="Z53" s="233">
        <f t="shared" si="107"/>
        <v>0</v>
      </c>
      <c r="AA53" s="234"/>
      <c r="AB53" s="597">
        <f t="shared" si="108"/>
        <v>0</v>
      </c>
      <c r="AC53" s="236">
        <f t="shared" si="67"/>
        <v>0</v>
      </c>
      <c r="AF53" s="762" t="e">
        <f t="shared" si="109"/>
        <v>#N/A</v>
      </c>
      <c r="AG53" s="759" t="e">
        <f t="shared" si="68"/>
        <v>#N/A</v>
      </c>
      <c r="AH53" s="759">
        <f>IF(J53=0,0,J53-SUM($N$6:N53)-AB52)</f>
        <v>0</v>
      </c>
      <c r="AI53" s="759">
        <f t="shared" si="69"/>
        <v>0</v>
      </c>
      <c r="AJ53" s="760">
        <f t="shared" si="55"/>
        <v>3.0000000000000001E-3</v>
      </c>
      <c r="AK53" s="760">
        <f t="shared" si="56"/>
        <v>3.0000000000000001E-3</v>
      </c>
      <c r="AN53" s="1" t="b">
        <f t="shared" si="116"/>
        <v>1</v>
      </c>
      <c r="AQ53" s="15">
        <f>IF(J52&gt;1,IF(int_method=2,$AG$229*J52,$AG$229*'Pricing - Advanced'!$E$4),0)</f>
        <v>0</v>
      </c>
      <c r="AR53" s="5">
        <f t="shared" si="110"/>
        <v>0</v>
      </c>
      <c r="AS53" s="204">
        <f t="shared" si="117"/>
        <v>41773</v>
      </c>
      <c r="AT53" s="1">
        <f>IF($AT$4=FALSE,B53*'Pricing - Advanced'!$K$5,AT52+E53-E52)</f>
        <v>1430</v>
      </c>
      <c r="AW53" s="603">
        <f t="shared" si="43"/>
        <v>0</v>
      </c>
      <c r="AX53" s="603">
        <f t="shared" si="70"/>
        <v>0</v>
      </c>
      <c r="AY53" s="603">
        <f t="shared" si="71"/>
        <v>0</v>
      </c>
      <c r="AZ53" s="603">
        <f t="shared" si="72"/>
        <v>0</v>
      </c>
      <c r="BA53" s="603">
        <f t="shared" si="44"/>
        <v>0</v>
      </c>
      <c r="BB53" s="603">
        <f t="shared" si="45"/>
        <v>0</v>
      </c>
      <c r="BC53" s="603">
        <f t="shared" si="73"/>
        <v>0</v>
      </c>
      <c r="BE53" s="157">
        <f t="shared" si="74"/>
        <v>47</v>
      </c>
      <c r="BF53" s="489">
        <f t="shared" si="111"/>
        <v>1430</v>
      </c>
      <c r="BG53" s="146">
        <f t="shared" si="75"/>
        <v>0</v>
      </c>
      <c r="BH53" s="147">
        <f t="shared" si="76"/>
        <v>0</v>
      </c>
      <c r="BI53" s="154" t="e">
        <f t="shared" si="77"/>
        <v>#NUM!</v>
      </c>
      <c r="BJ53" s="277" t="e">
        <f t="shared" si="63"/>
        <v>#NUM!</v>
      </c>
      <c r="BK53" s="147" t="e">
        <f t="shared" si="64"/>
        <v>#NUM!</v>
      </c>
      <c r="BL53" s="132" t="e">
        <f t="shared" si="65"/>
        <v>#NUM!</v>
      </c>
      <c r="BN53" s="497">
        <f t="shared" si="78"/>
        <v>47</v>
      </c>
      <c r="BO53" s="497">
        <f t="shared" si="79"/>
        <v>1430</v>
      </c>
      <c r="BP53" s="5">
        <f t="shared" si="80"/>
        <v>0</v>
      </c>
      <c r="BQ53" s="5">
        <f t="shared" si="81"/>
        <v>0</v>
      </c>
      <c r="BR53" s="499" t="e">
        <f t="shared" si="48"/>
        <v>#NUM!</v>
      </c>
      <c r="BS53" s="277" t="e">
        <f t="shared" si="60"/>
        <v>#NUM!</v>
      </c>
      <c r="BT53" s="5" t="e">
        <f t="shared" si="82"/>
        <v>#NUM!</v>
      </c>
      <c r="BU53" s="5" t="e">
        <f t="shared" si="83"/>
        <v>#NUM!</v>
      </c>
      <c r="BW53" s="5"/>
      <c r="BX53" s="5"/>
      <c r="BY53" s="5"/>
      <c r="BZ53" s="5"/>
      <c r="CA53" s="130"/>
      <c r="CB53" s="5"/>
      <c r="CC53" s="5" t="e">
        <f t="shared" si="84"/>
        <v>#DIV/0!</v>
      </c>
      <c r="CD53" s="5" t="e">
        <f t="shared" si="85"/>
        <v>#DIV/0!</v>
      </c>
      <c r="CE53" s="5"/>
      <c r="CI53" s="130">
        <f t="shared" si="86"/>
        <v>1.7675134029501418</v>
      </c>
      <c r="CJ53" s="130">
        <f t="shared" si="87"/>
        <v>1.7671175993828516</v>
      </c>
      <c r="CK53" s="296">
        <f t="shared" si="112"/>
        <v>1.8387885401761266</v>
      </c>
      <c r="CL53" s="130">
        <f t="shared" si="88"/>
        <v>1.8387885401761266</v>
      </c>
      <c r="CM53" s="5">
        <f t="shared" si="50"/>
        <v>0</v>
      </c>
      <c r="CN53" s="5">
        <f t="shared" si="89"/>
        <v>0</v>
      </c>
      <c r="DE53" s="130" t="e">
        <f t="shared" si="90"/>
        <v>#NUM!</v>
      </c>
      <c r="DF53" s="130" t="e">
        <f t="shared" si="91"/>
        <v>#NUM!</v>
      </c>
      <c r="DG53" s="130" t="e">
        <f t="shared" si="113"/>
        <v>#NUM!</v>
      </c>
      <c r="DH53" s="130" t="e">
        <f t="shared" si="92"/>
        <v>#NUM!</v>
      </c>
      <c r="DJ53" s="130" t="e">
        <f t="shared" si="93"/>
        <v>#NUM!</v>
      </c>
      <c r="DK53" s="130" t="e">
        <f t="shared" si="94"/>
        <v>#NUM!</v>
      </c>
      <c r="DL53" s="130" t="e">
        <f t="shared" si="114"/>
        <v>#NUM!</v>
      </c>
      <c r="DM53" s="130" t="e">
        <f t="shared" si="62"/>
        <v>#NUM!</v>
      </c>
      <c r="DO53" s="130" t="e">
        <f t="shared" si="95"/>
        <v>#NUM!</v>
      </c>
      <c r="DP53" s="130" t="e">
        <f t="shared" si="96"/>
        <v>#NUM!</v>
      </c>
      <c r="DQ53" s="130" t="e">
        <f t="shared" si="115"/>
        <v>#NUM!</v>
      </c>
    </row>
    <row r="54" spans="2:121" hidden="1">
      <c r="B54" s="231">
        <v>48</v>
      </c>
      <c r="C54" s="280"/>
      <c r="D54" s="475"/>
      <c r="E54" s="318">
        <f t="shared" si="97"/>
        <v>41804</v>
      </c>
      <c r="F54" s="542">
        <f t="shared" si="118"/>
        <v>0</v>
      </c>
      <c r="G54" s="239"/>
      <c r="H54" s="685">
        <f t="shared" si="98"/>
        <v>0</v>
      </c>
      <c r="I54" s="234"/>
      <c r="J54" s="597">
        <f t="shared" si="99"/>
        <v>0</v>
      </c>
      <c r="K54" s="478">
        <f t="shared" si="100"/>
        <v>0</v>
      </c>
      <c r="L54" s="234"/>
      <c r="M54" s="235">
        <f t="shared" si="101"/>
        <v>0</v>
      </c>
      <c r="N54" s="479">
        <f t="shared" si="102"/>
        <v>0</v>
      </c>
      <c r="O54" s="234"/>
      <c r="P54" s="235">
        <f t="shared" si="103"/>
        <v>0</v>
      </c>
      <c r="Q54" s="651">
        <f t="shared" si="104"/>
        <v>0</v>
      </c>
      <c r="R54" s="479">
        <f>IF(J54&gt;0,IF(OR(ManualMode=FALSE,ISBLANK(S54)),'Pricing - Advanced'!$F$16*J54+'Pricing - Advanced'!$F$17,"N/A"),0)</f>
        <v>0</v>
      </c>
      <c r="S54" s="234"/>
      <c r="T54" s="235">
        <f t="shared" si="105"/>
        <v>0</v>
      </c>
      <c r="U54" s="599">
        <f>IF(OR(ManualMode=FALSE,ISBLANK(V54)),SUM(K54:L54)*'Pricing - Advanced'!$F$19+SUM(N54,O54)*'Pricing - Advanced'!$F$18,"N/A")</f>
        <v>0</v>
      </c>
      <c r="V54" s="234"/>
      <c r="W54" s="236">
        <f t="shared" si="106"/>
        <v>0</v>
      </c>
      <c r="X54" s="237">
        <f>'Pricing - Advanced'!$F$20*SUM(H54:I54)+IF(J54&gt;1,'Pricing - Advanced'!$F$21,0)</f>
        <v>0</v>
      </c>
      <c r="Y54" s="688">
        <f>IF(AND(FullTerm&gt;=B54,AB53&gt;0),AB53*'Pricing - Advanced'!$I$128,0)</f>
        <v>0</v>
      </c>
      <c r="Z54" s="233">
        <f t="shared" si="107"/>
        <v>0</v>
      </c>
      <c r="AA54" s="234"/>
      <c r="AB54" s="597">
        <f t="shared" si="108"/>
        <v>0</v>
      </c>
      <c r="AC54" s="236">
        <f t="shared" si="67"/>
        <v>0</v>
      </c>
      <c r="AF54" s="762" t="e">
        <f t="shared" si="109"/>
        <v>#N/A</v>
      </c>
      <c r="AG54" s="759" t="e">
        <f t="shared" si="68"/>
        <v>#N/A</v>
      </c>
      <c r="AH54" s="759">
        <f>IF(J54=0,0,J54-SUM($N$6:N54)-AB53)</f>
        <v>0</v>
      </c>
      <c r="AI54" s="759">
        <f t="shared" si="69"/>
        <v>0</v>
      </c>
      <c r="AJ54" s="760">
        <f t="shared" si="55"/>
        <v>3.0000000000000001E-3</v>
      </c>
      <c r="AK54" s="760">
        <f t="shared" si="56"/>
        <v>3.0000000000000001E-3</v>
      </c>
      <c r="AN54" s="1" t="b">
        <f t="shared" si="116"/>
        <v>1</v>
      </c>
      <c r="AQ54" s="15">
        <f>IF(J53&gt;1,IF(int_method=2,$AG$229*J53,$AG$229*'Pricing - Advanced'!$E$4),0)</f>
        <v>0</v>
      </c>
      <c r="AR54" s="5">
        <f t="shared" si="110"/>
        <v>0</v>
      </c>
      <c r="AS54" s="204">
        <f t="shared" si="117"/>
        <v>41804</v>
      </c>
      <c r="AT54" s="1">
        <f>IF($AT$4=FALSE,B54*'Pricing - Advanced'!$K$5,AT53+E54-E53)</f>
        <v>1461</v>
      </c>
      <c r="AW54" s="603">
        <f t="shared" si="43"/>
        <v>0</v>
      </c>
      <c r="AX54" s="603">
        <f t="shared" si="70"/>
        <v>0</v>
      </c>
      <c r="AY54" s="603">
        <f t="shared" si="71"/>
        <v>0</v>
      </c>
      <c r="AZ54" s="603">
        <f t="shared" si="72"/>
        <v>0</v>
      </c>
      <c r="BA54" s="603">
        <f t="shared" si="44"/>
        <v>0</v>
      </c>
      <c r="BB54" s="603">
        <f t="shared" si="45"/>
        <v>0</v>
      </c>
      <c r="BC54" s="603">
        <f t="shared" si="73"/>
        <v>0</v>
      </c>
      <c r="BE54" s="157">
        <f t="shared" si="74"/>
        <v>48</v>
      </c>
      <c r="BF54" s="489">
        <f t="shared" si="111"/>
        <v>1461</v>
      </c>
      <c r="BG54" s="146">
        <f t="shared" si="75"/>
        <v>0</v>
      </c>
      <c r="BH54" s="147">
        <f t="shared" si="76"/>
        <v>0</v>
      </c>
      <c r="BI54" s="154" t="e">
        <f t="shared" si="77"/>
        <v>#NUM!</v>
      </c>
      <c r="BJ54" s="277" t="e">
        <f t="shared" si="63"/>
        <v>#NUM!</v>
      </c>
      <c r="BK54" s="147" t="e">
        <f t="shared" si="64"/>
        <v>#NUM!</v>
      </c>
      <c r="BL54" s="132" t="e">
        <f t="shared" si="65"/>
        <v>#NUM!</v>
      </c>
      <c r="BN54" s="497">
        <f t="shared" si="78"/>
        <v>48</v>
      </c>
      <c r="BO54" s="497">
        <f t="shared" si="79"/>
        <v>1461</v>
      </c>
      <c r="BP54" s="5">
        <f t="shared" si="80"/>
        <v>0</v>
      </c>
      <c r="BQ54" s="5">
        <f t="shared" si="81"/>
        <v>0</v>
      </c>
      <c r="BR54" s="499" t="e">
        <f t="shared" si="48"/>
        <v>#NUM!</v>
      </c>
      <c r="BS54" s="277" t="e">
        <f t="shared" si="60"/>
        <v>#NUM!</v>
      </c>
      <c r="BT54" s="5" t="e">
        <f t="shared" si="82"/>
        <v>#NUM!</v>
      </c>
      <c r="BU54" s="5" t="e">
        <f t="shared" si="83"/>
        <v>#NUM!</v>
      </c>
      <c r="BW54" s="5"/>
      <c r="BX54" s="5"/>
      <c r="BY54" s="5"/>
      <c r="BZ54" s="5"/>
      <c r="CA54" s="130"/>
      <c r="CB54" s="5"/>
      <c r="CC54" s="5" t="e">
        <f t="shared" si="84"/>
        <v>#DIV/0!</v>
      </c>
      <c r="CD54" s="5" t="e">
        <f t="shared" si="85"/>
        <v>#DIV/0!</v>
      </c>
      <c r="CE54" s="5"/>
      <c r="CI54" s="130">
        <f t="shared" si="86"/>
        <v>1.7890634867093897</v>
      </c>
      <c r="CJ54" s="130">
        <f t="shared" si="87"/>
        <v>1.7890634867093897</v>
      </c>
      <c r="CK54" s="296">
        <f t="shared" si="112"/>
        <v>1.8627738147535429</v>
      </c>
      <c r="CL54" s="130">
        <f t="shared" si="88"/>
        <v>1.8627738147535429</v>
      </c>
      <c r="CM54" s="5">
        <f t="shared" si="50"/>
        <v>0</v>
      </c>
      <c r="CN54" s="5">
        <f t="shared" si="89"/>
        <v>0</v>
      </c>
      <c r="DE54" s="130" t="e">
        <f t="shared" si="90"/>
        <v>#NUM!</v>
      </c>
      <c r="DF54" s="130" t="e">
        <f t="shared" si="91"/>
        <v>#NUM!</v>
      </c>
      <c r="DG54" s="130" t="e">
        <f t="shared" si="113"/>
        <v>#NUM!</v>
      </c>
      <c r="DH54" s="130" t="e">
        <f t="shared" si="92"/>
        <v>#NUM!</v>
      </c>
      <c r="DJ54" s="130" t="e">
        <f t="shared" si="93"/>
        <v>#NUM!</v>
      </c>
      <c r="DK54" s="130" t="e">
        <f t="shared" si="94"/>
        <v>#NUM!</v>
      </c>
      <c r="DL54" s="130" t="e">
        <f t="shared" si="114"/>
        <v>#NUM!</v>
      </c>
      <c r="DM54" s="130" t="e">
        <f t="shared" si="62"/>
        <v>#NUM!</v>
      </c>
      <c r="DO54" s="130" t="e">
        <f t="shared" si="95"/>
        <v>#NUM!</v>
      </c>
      <c r="DP54" s="130" t="e">
        <f t="shared" si="96"/>
        <v>#NUM!</v>
      </c>
      <c r="DQ54" s="130" t="e">
        <f t="shared" si="115"/>
        <v>#NUM!</v>
      </c>
    </row>
    <row r="55" spans="2:121" hidden="1">
      <c r="B55" s="231">
        <v>49</v>
      </c>
      <c r="C55" s="280"/>
      <c r="D55" s="475"/>
      <c r="E55" s="318">
        <f t="shared" si="97"/>
        <v>41834</v>
      </c>
      <c r="F55" s="542">
        <f t="shared" si="118"/>
        <v>0</v>
      </c>
      <c r="G55" s="239"/>
      <c r="H55" s="685">
        <f t="shared" si="98"/>
        <v>0</v>
      </c>
      <c r="I55" s="234"/>
      <c r="J55" s="597">
        <f t="shared" si="99"/>
        <v>0</v>
      </c>
      <c r="K55" s="478">
        <f t="shared" si="100"/>
        <v>0</v>
      </c>
      <c r="L55" s="234"/>
      <c r="M55" s="235">
        <f t="shared" si="101"/>
        <v>0</v>
      </c>
      <c r="N55" s="479">
        <f t="shared" si="102"/>
        <v>0</v>
      </c>
      <c r="O55" s="234"/>
      <c r="P55" s="235">
        <f t="shared" si="103"/>
        <v>0</v>
      </c>
      <c r="Q55" s="651">
        <f t="shared" si="104"/>
        <v>0</v>
      </c>
      <c r="R55" s="479">
        <f>IF(J55&gt;0,IF(OR(ManualMode=FALSE,ISBLANK(S55)),'Pricing - Advanced'!$F$16*J55+'Pricing - Advanced'!$F$17,"N/A"),0)</f>
        <v>0</v>
      </c>
      <c r="S55" s="234"/>
      <c r="T55" s="235">
        <f t="shared" si="105"/>
        <v>0</v>
      </c>
      <c r="U55" s="599">
        <f>IF(OR(ManualMode=FALSE,ISBLANK(V55)),SUM(K55:L55)*'Pricing - Advanced'!$F$19+SUM(N55,O55)*'Pricing - Advanced'!$F$18,"N/A")</f>
        <v>0</v>
      </c>
      <c r="V55" s="234"/>
      <c r="W55" s="236">
        <f t="shared" si="106"/>
        <v>0</v>
      </c>
      <c r="X55" s="237">
        <f>'Pricing - Advanced'!$F$20*SUM(H55:I55)+IF(J55&gt;1,'Pricing - Advanced'!$F$21,0)</f>
        <v>0</v>
      </c>
      <c r="Y55" s="688">
        <f>IF(AND(FullTerm&gt;=B55,AB54&gt;0),AB54*'Pricing - Advanced'!$I$128,0)</f>
        <v>0</v>
      </c>
      <c r="Z55" s="233">
        <f t="shared" si="107"/>
        <v>0</v>
      </c>
      <c r="AA55" s="234"/>
      <c r="AB55" s="597">
        <f t="shared" si="108"/>
        <v>0</v>
      </c>
      <c r="AC55" s="236">
        <f t="shared" si="67"/>
        <v>0</v>
      </c>
      <c r="AF55" s="762" t="e">
        <f t="shared" si="109"/>
        <v>#N/A</v>
      </c>
      <c r="AG55" s="759" t="e">
        <f t="shared" si="68"/>
        <v>#N/A</v>
      </c>
      <c r="AH55" s="759">
        <f>IF(J55=0,0,J55-SUM($N$6:N55)-AB54)</f>
        <v>0</v>
      </c>
      <c r="AI55" s="759">
        <f t="shared" si="69"/>
        <v>0</v>
      </c>
      <c r="AJ55" s="760">
        <f t="shared" si="55"/>
        <v>3.0000000000000001E-3</v>
      </c>
      <c r="AK55" s="760">
        <f t="shared" si="56"/>
        <v>3.0000000000000001E-3</v>
      </c>
      <c r="AN55" s="1" t="b">
        <f t="shared" si="116"/>
        <v>1</v>
      </c>
      <c r="AQ55" s="15">
        <f>IF(J54&gt;1,IF(int_method=2,$AG$229*J54,$AG$229*'Pricing - Advanced'!$E$4),0)</f>
        <v>0</v>
      </c>
      <c r="AR55" s="5">
        <f t="shared" si="110"/>
        <v>0</v>
      </c>
      <c r="AS55" s="204">
        <f t="shared" si="117"/>
        <v>41834</v>
      </c>
      <c r="AT55" s="1">
        <f>IF($AT$4=FALSE,B55*'Pricing - Advanced'!$K$5,AT54+E55-E54)</f>
        <v>1491</v>
      </c>
      <c r="AW55" s="603">
        <f t="shared" si="43"/>
        <v>0</v>
      </c>
      <c r="AX55" s="603">
        <f t="shared" si="70"/>
        <v>0</v>
      </c>
      <c r="AY55" s="603">
        <f t="shared" si="71"/>
        <v>0</v>
      </c>
      <c r="AZ55" s="603">
        <f t="shared" si="72"/>
        <v>0</v>
      </c>
      <c r="BA55" s="603">
        <f t="shared" si="44"/>
        <v>0</v>
      </c>
      <c r="BB55" s="603">
        <f t="shared" si="45"/>
        <v>0</v>
      </c>
      <c r="BC55" s="603">
        <f t="shared" si="73"/>
        <v>0</v>
      </c>
      <c r="BE55" s="157">
        <f t="shared" si="74"/>
        <v>49</v>
      </c>
      <c r="BF55" s="489">
        <f t="shared" si="111"/>
        <v>1491</v>
      </c>
      <c r="BG55" s="146">
        <f t="shared" si="75"/>
        <v>0</v>
      </c>
      <c r="BH55" s="147">
        <f t="shared" si="76"/>
        <v>0</v>
      </c>
      <c r="BI55" s="154" t="e">
        <f t="shared" si="77"/>
        <v>#NUM!</v>
      </c>
      <c r="BJ55" s="277" t="e">
        <f t="shared" si="63"/>
        <v>#NUM!</v>
      </c>
      <c r="BK55" s="147" t="e">
        <f t="shared" si="64"/>
        <v>#NUM!</v>
      </c>
      <c r="BL55" s="132" t="e">
        <f t="shared" si="65"/>
        <v>#NUM!</v>
      </c>
      <c r="BN55" s="497">
        <f t="shared" si="78"/>
        <v>49</v>
      </c>
      <c r="BO55" s="497">
        <f t="shared" si="79"/>
        <v>1491</v>
      </c>
      <c r="BP55" s="5">
        <f t="shared" si="80"/>
        <v>0</v>
      </c>
      <c r="BQ55" s="5">
        <f t="shared" si="81"/>
        <v>0</v>
      </c>
      <c r="BR55" s="499" t="e">
        <f t="shared" si="48"/>
        <v>#NUM!</v>
      </c>
      <c r="BS55" s="277" t="e">
        <f t="shared" si="60"/>
        <v>#NUM!</v>
      </c>
      <c r="BT55" s="5" t="e">
        <f t="shared" si="82"/>
        <v>#NUM!</v>
      </c>
      <c r="BU55" s="5" t="e">
        <f t="shared" si="83"/>
        <v>#NUM!</v>
      </c>
      <c r="BW55" s="5"/>
      <c r="BX55" s="5"/>
      <c r="BY55" s="5"/>
      <c r="BZ55" s="5"/>
      <c r="CA55" s="130"/>
      <c r="CB55" s="5"/>
      <c r="CC55" s="5" t="e">
        <f t="shared" si="84"/>
        <v>#DIV/0!</v>
      </c>
      <c r="CD55" s="5" t="e">
        <f t="shared" si="85"/>
        <v>#DIV/0!</v>
      </c>
      <c r="CE55" s="5"/>
      <c r="CI55" s="130">
        <f t="shared" si="86"/>
        <v>1.8108763159218018</v>
      </c>
      <c r="CJ55" s="130">
        <f t="shared" si="87"/>
        <v>1.8105609083504335</v>
      </c>
      <c r="CK55" s="296">
        <f t="shared" si="112"/>
        <v>1.8870719547768677</v>
      </c>
      <c r="CL55" s="130">
        <f t="shared" si="88"/>
        <v>1.8870719547768677</v>
      </c>
      <c r="CM55" s="5">
        <f t="shared" si="50"/>
        <v>0</v>
      </c>
      <c r="CN55" s="5">
        <f t="shared" si="89"/>
        <v>0</v>
      </c>
      <c r="DE55" s="130" t="e">
        <f t="shared" si="90"/>
        <v>#NUM!</v>
      </c>
      <c r="DF55" s="130" t="e">
        <f t="shared" si="91"/>
        <v>#NUM!</v>
      </c>
      <c r="DG55" s="130" t="e">
        <f t="shared" si="113"/>
        <v>#NUM!</v>
      </c>
      <c r="DH55" s="130" t="e">
        <f t="shared" si="92"/>
        <v>#NUM!</v>
      </c>
      <c r="DJ55" s="130" t="e">
        <f t="shared" si="93"/>
        <v>#NUM!</v>
      </c>
      <c r="DK55" s="130" t="e">
        <f t="shared" si="94"/>
        <v>#NUM!</v>
      </c>
      <c r="DL55" s="130" t="e">
        <f t="shared" si="114"/>
        <v>#NUM!</v>
      </c>
      <c r="DM55" s="130" t="e">
        <f t="shared" si="62"/>
        <v>#NUM!</v>
      </c>
      <c r="DO55" s="130" t="e">
        <f t="shared" si="95"/>
        <v>#NUM!</v>
      </c>
      <c r="DP55" s="130" t="e">
        <f t="shared" si="96"/>
        <v>#NUM!</v>
      </c>
      <c r="DQ55" s="130" t="e">
        <f t="shared" si="115"/>
        <v>#NUM!</v>
      </c>
    </row>
    <row r="56" spans="2:121" hidden="1">
      <c r="B56" s="231">
        <v>50</v>
      </c>
      <c r="C56" s="280"/>
      <c r="D56" s="475"/>
      <c r="E56" s="318">
        <f t="shared" si="97"/>
        <v>41865</v>
      </c>
      <c r="F56" s="542">
        <f t="shared" si="118"/>
        <v>0</v>
      </c>
      <c r="G56" s="239"/>
      <c r="H56" s="685">
        <f t="shared" si="98"/>
        <v>0</v>
      </c>
      <c r="I56" s="234"/>
      <c r="J56" s="597">
        <f t="shared" si="99"/>
        <v>0</v>
      </c>
      <c r="K56" s="478">
        <f t="shared" si="100"/>
        <v>0</v>
      </c>
      <c r="L56" s="234"/>
      <c r="M56" s="235">
        <f t="shared" si="101"/>
        <v>0</v>
      </c>
      <c r="N56" s="479">
        <f t="shared" si="102"/>
        <v>0</v>
      </c>
      <c r="O56" s="234"/>
      <c r="P56" s="235">
        <f t="shared" si="103"/>
        <v>0</v>
      </c>
      <c r="Q56" s="651">
        <f t="shared" si="104"/>
        <v>0</v>
      </c>
      <c r="R56" s="479">
        <f>IF(J56&gt;0,IF(OR(ManualMode=FALSE,ISBLANK(S56)),'Pricing - Advanced'!$F$16*J56+'Pricing - Advanced'!$F$17,"N/A"),0)</f>
        <v>0</v>
      </c>
      <c r="S56" s="234"/>
      <c r="T56" s="235">
        <f t="shared" si="105"/>
        <v>0</v>
      </c>
      <c r="U56" s="599">
        <f>IF(OR(ManualMode=FALSE,ISBLANK(V56)),SUM(K56:L56)*'Pricing - Advanced'!$F$19+SUM(N56,O56)*'Pricing - Advanced'!$F$18,"N/A")</f>
        <v>0</v>
      </c>
      <c r="V56" s="234"/>
      <c r="W56" s="236">
        <f t="shared" si="106"/>
        <v>0</v>
      </c>
      <c r="X56" s="237">
        <f>'Pricing - Advanced'!$F$20*SUM(H56:I56)+IF(J56&gt;1,'Pricing - Advanced'!$F$21,0)</f>
        <v>0</v>
      </c>
      <c r="Y56" s="688">
        <f>IF(AND(FullTerm&gt;=B56,AB55&gt;0),AB55*'Pricing - Advanced'!$I$128,0)</f>
        <v>0</v>
      </c>
      <c r="Z56" s="233">
        <f t="shared" si="107"/>
        <v>0</v>
      </c>
      <c r="AA56" s="234"/>
      <c r="AB56" s="597">
        <f t="shared" si="108"/>
        <v>0</v>
      </c>
      <c r="AC56" s="236">
        <f t="shared" si="67"/>
        <v>0</v>
      </c>
      <c r="AF56" s="762" t="e">
        <f t="shared" si="109"/>
        <v>#N/A</v>
      </c>
      <c r="AG56" s="759" t="e">
        <f t="shared" si="68"/>
        <v>#N/A</v>
      </c>
      <c r="AH56" s="759">
        <f>IF(J56=0,0,J56-SUM($N$6:N56)-AB55)</f>
        <v>0</v>
      </c>
      <c r="AI56" s="759">
        <f t="shared" si="69"/>
        <v>0</v>
      </c>
      <c r="AJ56" s="760">
        <f t="shared" si="55"/>
        <v>3.0000000000000001E-3</v>
      </c>
      <c r="AK56" s="760">
        <f t="shared" si="56"/>
        <v>3.0000000000000001E-3</v>
      </c>
      <c r="AN56" s="1" t="b">
        <f t="shared" si="116"/>
        <v>1</v>
      </c>
      <c r="AQ56" s="15">
        <f>IF(J55&gt;1,IF(int_method=2,$AG$229*J55,$AG$229*'Pricing - Advanced'!$E$4),0)</f>
        <v>0</v>
      </c>
      <c r="AR56" s="5">
        <f t="shared" si="110"/>
        <v>0</v>
      </c>
      <c r="AS56" s="204">
        <f t="shared" si="117"/>
        <v>41865</v>
      </c>
      <c r="AT56" s="1">
        <f>IF($AT$4=FALSE,B56*'Pricing - Advanced'!$K$5,AT55+E56-E55)</f>
        <v>1522</v>
      </c>
      <c r="AW56" s="603">
        <f t="shared" si="43"/>
        <v>0</v>
      </c>
      <c r="AX56" s="603">
        <f t="shared" si="70"/>
        <v>0</v>
      </c>
      <c r="AY56" s="603">
        <f t="shared" si="71"/>
        <v>0</v>
      </c>
      <c r="AZ56" s="603">
        <f t="shared" si="72"/>
        <v>0</v>
      </c>
      <c r="BA56" s="603">
        <f t="shared" si="44"/>
        <v>0</v>
      </c>
      <c r="BB56" s="603">
        <f t="shared" si="45"/>
        <v>0</v>
      </c>
      <c r="BC56" s="603">
        <f t="shared" si="73"/>
        <v>0</v>
      </c>
      <c r="BE56" s="157">
        <f t="shared" si="74"/>
        <v>50</v>
      </c>
      <c r="BF56" s="489">
        <f t="shared" si="111"/>
        <v>1522</v>
      </c>
      <c r="BG56" s="146">
        <f t="shared" si="75"/>
        <v>0</v>
      </c>
      <c r="BH56" s="147">
        <f t="shared" si="76"/>
        <v>0</v>
      </c>
      <c r="BI56" s="154" t="e">
        <f t="shared" si="77"/>
        <v>#NUM!</v>
      </c>
      <c r="BJ56" s="277" t="e">
        <f t="shared" si="63"/>
        <v>#NUM!</v>
      </c>
      <c r="BK56" s="147" t="e">
        <f t="shared" si="64"/>
        <v>#NUM!</v>
      </c>
      <c r="BL56" s="132" t="e">
        <f t="shared" si="65"/>
        <v>#NUM!</v>
      </c>
      <c r="BN56" s="497">
        <f t="shared" si="78"/>
        <v>50</v>
      </c>
      <c r="BO56" s="497">
        <f t="shared" si="79"/>
        <v>1522</v>
      </c>
      <c r="BP56" s="5">
        <f t="shared" si="80"/>
        <v>0</v>
      </c>
      <c r="BQ56" s="5">
        <f t="shared" si="81"/>
        <v>0</v>
      </c>
      <c r="BR56" s="499" t="e">
        <f t="shared" si="48"/>
        <v>#NUM!</v>
      </c>
      <c r="BS56" s="277" t="e">
        <f t="shared" si="60"/>
        <v>#NUM!</v>
      </c>
      <c r="BT56" s="5" t="e">
        <f t="shared" si="82"/>
        <v>#NUM!</v>
      </c>
      <c r="BU56" s="5" t="e">
        <f t="shared" si="83"/>
        <v>#NUM!</v>
      </c>
      <c r="BW56" s="5"/>
      <c r="BX56" s="5"/>
      <c r="BY56" s="5"/>
      <c r="BZ56" s="5"/>
      <c r="CA56" s="130"/>
      <c r="CB56" s="5"/>
      <c r="CC56" s="5" t="e">
        <f t="shared" si="84"/>
        <v>#DIV/0!</v>
      </c>
      <c r="CD56" s="5" t="e">
        <f t="shared" si="85"/>
        <v>#DIV/0!</v>
      </c>
      <c r="CE56" s="5"/>
      <c r="CI56" s="130">
        <f t="shared" si="86"/>
        <v>1.8329550940632395</v>
      </c>
      <c r="CJ56" s="130">
        <f t="shared" si="87"/>
        <v>1.8330463194551445</v>
      </c>
      <c r="CK56" s="296">
        <f t="shared" si="112"/>
        <v>1.911687041282861</v>
      </c>
      <c r="CL56" s="130">
        <f t="shared" si="88"/>
        <v>1.911687041282861</v>
      </c>
      <c r="CM56" s="5">
        <f t="shared" si="50"/>
        <v>0</v>
      </c>
      <c r="CN56" s="5">
        <f t="shared" si="89"/>
        <v>0</v>
      </c>
      <c r="DE56" s="130" t="e">
        <f t="shared" si="90"/>
        <v>#NUM!</v>
      </c>
      <c r="DF56" s="130" t="e">
        <f t="shared" si="91"/>
        <v>#NUM!</v>
      </c>
      <c r="DG56" s="130" t="e">
        <f t="shared" si="113"/>
        <v>#NUM!</v>
      </c>
      <c r="DH56" s="130" t="e">
        <f t="shared" si="92"/>
        <v>#NUM!</v>
      </c>
      <c r="DJ56" s="130" t="e">
        <f t="shared" si="93"/>
        <v>#NUM!</v>
      </c>
      <c r="DK56" s="130" t="e">
        <f t="shared" si="94"/>
        <v>#NUM!</v>
      </c>
      <c r="DL56" s="130" t="e">
        <f t="shared" si="114"/>
        <v>#NUM!</v>
      </c>
      <c r="DM56" s="130" t="e">
        <f t="shared" si="62"/>
        <v>#NUM!</v>
      </c>
      <c r="DO56" s="130" t="e">
        <f t="shared" si="95"/>
        <v>#NUM!</v>
      </c>
      <c r="DP56" s="130" t="e">
        <f t="shared" si="96"/>
        <v>#NUM!</v>
      </c>
      <c r="DQ56" s="130" t="e">
        <f t="shared" si="115"/>
        <v>#NUM!</v>
      </c>
    </row>
    <row r="57" spans="2:121" hidden="1">
      <c r="B57" s="231">
        <v>51</v>
      </c>
      <c r="C57" s="280"/>
      <c r="D57" s="475"/>
      <c r="E57" s="318">
        <f t="shared" si="97"/>
        <v>41896</v>
      </c>
      <c r="F57" s="542">
        <f t="shared" si="118"/>
        <v>0</v>
      </c>
      <c r="G57" s="239"/>
      <c r="H57" s="685">
        <f t="shared" si="98"/>
        <v>0</v>
      </c>
      <c r="I57" s="234"/>
      <c r="J57" s="597">
        <f t="shared" si="99"/>
        <v>0</v>
      </c>
      <c r="K57" s="478">
        <f t="shared" si="100"/>
        <v>0</v>
      </c>
      <c r="L57" s="234"/>
      <c r="M57" s="235">
        <f t="shared" si="101"/>
        <v>0</v>
      </c>
      <c r="N57" s="479">
        <f t="shared" si="102"/>
        <v>0</v>
      </c>
      <c r="O57" s="234"/>
      <c r="P57" s="235">
        <f t="shared" si="103"/>
        <v>0</v>
      </c>
      <c r="Q57" s="651">
        <f t="shared" si="104"/>
        <v>0</v>
      </c>
      <c r="R57" s="479">
        <f>IF(J57&gt;0,IF(OR(ManualMode=FALSE,ISBLANK(S57)),'Pricing - Advanced'!$F$16*J57+'Pricing - Advanced'!$F$17,"N/A"),0)</f>
        <v>0</v>
      </c>
      <c r="S57" s="234"/>
      <c r="T57" s="235">
        <f t="shared" si="105"/>
        <v>0</v>
      </c>
      <c r="U57" s="599">
        <f>IF(OR(ManualMode=FALSE,ISBLANK(V57)),SUM(K57:L57)*'Pricing - Advanced'!$F$19+SUM(N57,O57)*'Pricing - Advanced'!$F$18,"N/A")</f>
        <v>0</v>
      </c>
      <c r="V57" s="234"/>
      <c r="W57" s="236">
        <f t="shared" si="106"/>
        <v>0</v>
      </c>
      <c r="X57" s="237">
        <f>'Pricing - Advanced'!$F$20*SUM(H57:I57)+IF(J57&gt;1,'Pricing - Advanced'!$F$21,0)</f>
        <v>0</v>
      </c>
      <c r="Y57" s="688">
        <f>IF(AND(FullTerm&gt;=B57,AB56&gt;0),AB56*'Pricing - Advanced'!$I$128,0)</f>
        <v>0</v>
      </c>
      <c r="Z57" s="233">
        <f t="shared" si="107"/>
        <v>0</v>
      </c>
      <c r="AA57" s="234"/>
      <c r="AB57" s="597">
        <f t="shared" si="108"/>
        <v>0</v>
      </c>
      <c r="AC57" s="236">
        <f t="shared" si="67"/>
        <v>0</v>
      </c>
      <c r="AF57" s="762" t="e">
        <f t="shared" si="109"/>
        <v>#N/A</v>
      </c>
      <c r="AG57" s="759" t="e">
        <f t="shared" si="68"/>
        <v>#N/A</v>
      </c>
      <c r="AH57" s="759">
        <f>IF(J57=0,0,J57-SUM($N$6:N57)-AB56)</f>
        <v>0</v>
      </c>
      <c r="AI57" s="759">
        <f t="shared" si="69"/>
        <v>0</v>
      </c>
      <c r="AJ57" s="760">
        <f t="shared" si="55"/>
        <v>3.0000000000000001E-3</v>
      </c>
      <c r="AK57" s="760">
        <f t="shared" si="56"/>
        <v>3.0000000000000001E-3</v>
      </c>
      <c r="AN57" s="1" t="b">
        <f t="shared" si="116"/>
        <v>1</v>
      </c>
      <c r="AQ57" s="15">
        <f>IF(J56&gt;1,IF(int_method=2,$AG$229*J56,$AG$229*'Pricing - Advanced'!$E$4),0)</f>
        <v>0</v>
      </c>
      <c r="AR57" s="5">
        <f t="shared" si="110"/>
        <v>0</v>
      </c>
      <c r="AS57" s="204">
        <f t="shared" si="117"/>
        <v>41896</v>
      </c>
      <c r="AT57" s="1">
        <f>IF($AT$4=FALSE,B57*'Pricing - Advanced'!$K$5,AT56+E57-E56)</f>
        <v>1553</v>
      </c>
      <c r="AW57" s="603">
        <f t="shared" si="43"/>
        <v>0</v>
      </c>
      <c r="AX57" s="603">
        <f t="shared" si="70"/>
        <v>0</v>
      </c>
      <c r="AY57" s="603">
        <f t="shared" si="71"/>
        <v>0</v>
      </c>
      <c r="AZ57" s="603">
        <f t="shared" si="72"/>
        <v>0</v>
      </c>
      <c r="BA57" s="603">
        <f t="shared" si="44"/>
        <v>0</v>
      </c>
      <c r="BB57" s="603">
        <f t="shared" si="45"/>
        <v>0</v>
      </c>
      <c r="BC57" s="603">
        <f t="shared" si="73"/>
        <v>0</v>
      </c>
      <c r="BE57" s="157">
        <f t="shared" si="74"/>
        <v>51</v>
      </c>
      <c r="BF57" s="489">
        <f t="shared" si="111"/>
        <v>1553</v>
      </c>
      <c r="BG57" s="146">
        <f t="shared" si="75"/>
        <v>0</v>
      </c>
      <c r="BH57" s="147">
        <f t="shared" si="76"/>
        <v>0</v>
      </c>
      <c r="BI57" s="154" t="e">
        <f t="shared" si="77"/>
        <v>#NUM!</v>
      </c>
      <c r="BJ57" s="277" t="e">
        <f t="shared" si="63"/>
        <v>#NUM!</v>
      </c>
      <c r="BK57" s="147" t="e">
        <f t="shared" si="64"/>
        <v>#NUM!</v>
      </c>
      <c r="BL57" s="132" t="e">
        <f t="shared" si="65"/>
        <v>#NUM!</v>
      </c>
      <c r="BN57" s="497">
        <f t="shared" si="78"/>
        <v>51</v>
      </c>
      <c r="BO57" s="497">
        <f t="shared" si="79"/>
        <v>1553</v>
      </c>
      <c r="BP57" s="5">
        <f t="shared" si="80"/>
        <v>0</v>
      </c>
      <c r="BQ57" s="5">
        <f t="shared" si="81"/>
        <v>0</v>
      </c>
      <c r="BR57" s="499" t="e">
        <f t="shared" si="48"/>
        <v>#NUM!</v>
      </c>
      <c r="BS57" s="277" t="e">
        <f t="shared" si="60"/>
        <v>#NUM!</v>
      </c>
      <c r="BT57" s="5" t="e">
        <f t="shared" si="82"/>
        <v>#NUM!</v>
      </c>
      <c r="BU57" s="5" t="e">
        <f t="shared" si="83"/>
        <v>#NUM!</v>
      </c>
      <c r="BW57" s="5"/>
      <c r="BX57" s="5"/>
      <c r="BY57" s="5"/>
      <c r="BZ57" s="5"/>
      <c r="CA57" s="130"/>
      <c r="CB57" s="5"/>
      <c r="CC57" s="5" t="e">
        <f t="shared" si="84"/>
        <v>#DIV/0!</v>
      </c>
      <c r="CD57" s="5" t="e">
        <f t="shared" si="85"/>
        <v>#DIV/0!</v>
      </c>
      <c r="CE57" s="5"/>
      <c r="CI57" s="130">
        <f t="shared" si="86"/>
        <v>1.8553030636673589</v>
      </c>
      <c r="CJ57" s="130">
        <f t="shared" si="87"/>
        <v>1.8558109775656957</v>
      </c>
      <c r="CK57" s="296">
        <f t="shared" si="112"/>
        <v>1.9366232085415855</v>
      </c>
      <c r="CL57" s="130">
        <f t="shared" si="88"/>
        <v>1.9366232085415855</v>
      </c>
      <c r="CM57" s="5">
        <f t="shared" si="50"/>
        <v>0</v>
      </c>
      <c r="CN57" s="5">
        <f t="shared" si="89"/>
        <v>0</v>
      </c>
      <c r="DE57" s="130" t="e">
        <f t="shared" si="90"/>
        <v>#NUM!</v>
      </c>
      <c r="DF57" s="130" t="e">
        <f t="shared" si="91"/>
        <v>#NUM!</v>
      </c>
      <c r="DG57" s="130" t="e">
        <f t="shared" si="113"/>
        <v>#NUM!</v>
      </c>
      <c r="DH57" s="130" t="e">
        <f t="shared" si="92"/>
        <v>#NUM!</v>
      </c>
      <c r="DJ57" s="130" t="e">
        <f t="shared" si="93"/>
        <v>#NUM!</v>
      </c>
      <c r="DK57" s="130" t="e">
        <f t="shared" si="94"/>
        <v>#NUM!</v>
      </c>
      <c r="DL57" s="130" t="e">
        <f t="shared" si="114"/>
        <v>#NUM!</v>
      </c>
      <c r="DM57" s="130" t="e">
        <f t="shared" si="62"/>
        <v>#NUM!</v>
      </c>
      <c r="DO57" s="130" t="e">
        <f t="shared" si="95"/>
        <v>#NUM!</v>
      </c>
      <c r="DP57" s="130" t="e">
        <f t="shared" si="96"/>
        <v>#NUM!</v>
      </c>
      <c r="DQ57" s="130" t="e">
        <f t="shared" si="115"/>
        <v>#NUM!</v>
      </c>
    </row>
    <row r="58" spans="2:121" hidden="1">
      <c r="B58" s="231">
        <v>52</v>
      </c>
      <c r="C58" s="280"/>
      <c r="D58" s="475"/>
      <c r="E58" s="318">
        <f t="shared" si="97"/>
        <v>41926</v>
      </c>
      <c r="F58" s="542">
        <f t="shared" si="118"/>
        <v>0</v>
      </c>
      <c r="G58" s="239"/>
      <c r="H58" s="685">
        <f t="shared" si="98"/>
        <v>0</v>
      </c>
      <c r="I58" s="234"/>
      <c r="J58" s="597">
        <f t="shared" si="99"/>
        <v>0</v>
      </c>
      <c r="K58" s="478">
        <f t="shared" si="100"/>
        <v>0</v>
      </c>
      <c r="L58" s="234"/>
      <c r="M58" s="235">
        <f t="shared" si="101"/>
        <v>0</v>
      </c>
      <c r="N58" s="479">
        <f t="shared" si="102"/>
        <v>0</v>
      </c>
      <c r="O58" s="234"/>
      <c r="P58" s="235">
        <f t="shared" si="103"/>
        <v>0</v>
      </c>
      <c r="Q58" s="651">
        <f t="shared" si="104"/>
        <v>0</v>
      </c>
      <c r="R58" s="479">
        <f>IF(J58&gt;0,IF(OR(ManualMode=FALSE,ISBLANK(S58)),'Pricing - Advanced'!$F$16*J58+'Pricing - Advanced'!$F$17,"N/A"),0)</f>
        <v>0</v>
      </c>
      <c r="S58" s="234"/>
      <c r="T58" s="235">
        <f t="shared" si="105"/>
        <v>0</v>
      </c>
      <c r="U58" s="599">
        <f>IF(OR(ManualMode=FALSE,ISBLANK(V58)),SUM(K58:L58)*'Pricing - Advanced'!$F$19+SUM(N58,O58)*'Pricing - Advanced'!$F$18,"N/A")</f>
        <v>0</v>
      </c>
      <c r="V58" s="234"/>
      <c r="W58" s="236">
        <f t="shared" si="106"/>
        <v>0</v>
      </c>
      <c r="X58" s="237">
        <f>'Pricing - Advanced'!$F$20*SUM(H58:I58)+IF(J58&gt;1,'Pricing - Advanced'!$F$21,0)</f>
        <v>0</v>
      </c>
      <c r="Y58" s="688">
        <f>IF(AND(FullTerm&gt;=B58,AB57&gt;0),AB57*'Pricing - Advanced'!$I$128,0)</f>
        <v>0</v>
      </c>
      <c r="Z58" s="233">
        <f t="shared" si="107"/>
        <v>0</v>
      </c>
      <c r="AA58" s="234"/>
      <c r="AB58" s="597">
        <f t="shared" si="108"/>
        <v>0</v>
      </c>
      <c r="AC58" s="236">
        <f t="shared" si="67"/>
        <v>0</v>
      </c>
      <c r="AF58" s="762" t="e">
        <f t="shared" si="109"/>
        <v>#N/A</v>
      </c>
      <c r="AG58" s="759" t="e">
        <f t="shared" si="68"/>
        <v>#N/A</v>
      </c>
      <c r="AH58" s="759">
        <f>IF(J58=0,0,J58-SUM($N$6:N58)-AB57)</f>
        <v>0</v>
      </c>
      <c r="AI58" s="759">
        <f t="shared" si="69"/>
        <v>0</v>
      </c>
      <c r="AJ58" s="760">
        <f t="shared" si="55"/>
        <v>3.0000000000000001E-3</v>
      </c>
      <c r="AK58" s="760">
        <f t="shared" si="56"/>
        <v>3.0000000000000001E-3</v>
      </c>
      <c r="AN58" s="1" t="b">
        <f t="shared" si="116"/>
        <v>1</v>
      </c>
      <c r="AQ58" s="15">
        <f>IF(J57&gt;1,IF(int_method=2,$AG$229*J57,$AG$229*'Pricing - Advanced'!$E$4),0)</f>
        <v>0</v>
      </c>
      <c r="AR58" s="5">
        <f t="shared" si="110"/>
        <v>0</v>
      </c>
      <c r="AS58" s="204">
        <f t="shared" si="117"/>
        <v>41926</v>
      </c>
      <c r="AT58" s="1">
        <f>IF($AT$4=FALSE,B58*'Pricing - Advanced'!$K$5,AT57+E58-E57)</f>
        <v>1583</v>
      </c>
      <c r="AW58" s="603">
        <f t="shared" si="43"/>
        <v>0</v>
      </c>
      <c r="AX58" s="603">
        <f t="shared" si="70"/>
        <v>0</v>
      </c>
      <c r="AY58" s="603">
        <f t="shared" si="71"/>
        <v>0</v>
      </c>
      <c r="AZ58" s="603">
        <f t="shared" si="72"/>
        <v>0</v>
      </c>
      <c r="BA58" s="603">
        <f t="shared" si="44"/>
        <v>0</v>
      </c>
      <c r="BB58" s="603">
        <f t="shared" si="45"/>
        <v>0</v>
      </c>
      <c r="BC58" s="603">
        <f t="shared" si="73"/>
        <v>0</v>
      </c>
      <c r="BE58" s="157">
        <f t="shared" si="74"/>
        <v>52</v>
      </c>
      <c r="BF58" s="489">
        <f t="shared" si="111"/>
        <v>1583</v>
      </c>
      <c r="BG58" s="146">
        <f t="shared" si="75"/>
        <v>0</v>
      </c>
      <c r="BH58" s="147">
        <f t="shared" si="76"/>
        <v>0</v>
      </c>
      <c r="BI58" s="154" t="e">
        <f t="shared" si="77"/>
        <v>#NUM!</v>
      </c>
      <c r="BJ58" s="277" t="e">
        <f t="shared" si="63"/>
        <v>#NUM!</v>
      </c>
      <c r="BK58" s="147" t="e">
        <f t="shared" si="64"/>
        <v>#NUM!</v>
      </c>
      <c r="BL58" s="132" t="e">
        <f t="shared" si="65"/>
        <v>#NUM!</v>
      </c>
      <c r="BN58" s="497">
        <f t="shared" si="78"/>
        <v>52</v>
      </c>
      <c r="BO58" s="497">
        <f t="shared" si="79"/>
        <v>1583</v>
      </c>
      <c r="BP58" s="5">
        <f t="shared" si="80"/>
        <v>0</v>
      </c>
      <c r="BQ58" s="5">
        <f t="shared" si="81"/>
        <v>0</v>
      </c>
      <c r="BR58" s="499" t="e">
        <f t="shared" si="48"/>
        <v>#NUM!</v>
      </c>
      <c r="BS58" s="277" t="e">
        <f t="shared" si="60"/>
        <v>#NUM!</v>
      </c>
      <c r="BT58" s="5" t="e">
        <f t="shared" si="82"/>
        <v>#NUM!</v>
      </c>
      <c r="BU58" s="5" t="e">
        <f t="shared" si="83"/>
        <v>#NUM!</v>
      </c>
      <c r="BW58" s="5"/>
      <c r="BX58" s="5"/>
      <c r="BY58" s="5"/>
      <c r="BZ58" s="5"/>
      <c r="CA58" s="130"/>
      <c r="CB58" s="5"/>
      <c r="CC58" s="5" t="e">
        <f t="shared" si="84"/>
        <v>#DIV/0!</v>
      </c>
      <c r="CD58" s="5" t="e">
        <f t="shared" si="85"/>
        <v>#DIV/0!</v>
      </c>
      <c r="CE58" s="5"/>
      <c r="CI58" s="130">
        <f t="shared" si="86"/>
        <v>1.8779235068018143</v>
      </c>
      <c r="CJ58" s="130">
        <f t="shared" si="87"/>
        <v>1.8781104383546396</v>
      </c>
      <c r="CK58" s="296">
        <f t="shared" si="112"/>
        <v>1.9618846447507852</v>
      </c>
      <c r="CL58" s="130">
        <f t="shared" si="88"/>
        <v>1.9618846447507852</v>
      </c>
      <c r="CM58" s="5">
        <f t="shared" si="50"/>
        <v>0</v>
      </c>
      <c r="CN58" s="5">
        <f t="shared" si="89"/>
        <v>0</v>
      </c>
      <c r="DE58" s="130" t="e">
        <f t="shared" si="90"/>
        <v>#NUM!</v>
      </c>
      <c r="DF58" s="130" t="e">
        <f t="shared" si="91"/>
        <v>#NUM!</v>
      </c>
      <c r="DG58" s="130" t="e">
        <f t="shared" si="113"/>
        <v>#NUM!</v>
      </c>
      <c r="DH58" s="130" t="e">
        <f t="shared" si="92"/>
        <v>#NUM!</v>
      </c>
      <c r="DJ58" s="130" t="e">
        <f t="shared" si="93"/>
        <v>#NUM!</v>
      </c>
      <c r="DK58" s="130" t="e">
        <f t="shared" si="94"/>
        <v>#NUM!</v>
      </c>
      <c r="DL58" s="130" t="e">
        <f t="shared" si="114"/>
        <v>#NUM!</v>
      </c>
      <c r="DM58" s="130" t="e">
        <f t="shared" si="62"/>
        <v>#NUM!</v>
      </c>
      <c r="DO58" s="130" t="e">
        <f t="shared" si="95"/>
        <v>#NUM!</v>
      </c>
      <c r="DP58" s="130" t="e">
        <f t="shared" si="96"/>
        <v>#NUM!</v>
      </c>
      <c r="DQ58" s="130" t="e">
        <f t="shared" si="115"/>
        <v>#NUM!</v>
      </c>
    </row>
    <row r="59" spans="2:121" hidden="1">
      <c r="B59" s="231">
        <v>53</v>
      </c>
      <c r="C59" s="280"/>
      <c r="D59" s="475"/>
      <c r="E59" s="318">
        <f t="shared" si="97"/>
        <v>41957</v>
      </c>
      <c r="F59" s="542">
        <f t="shared" si="118"/>
        <v>0</v>
      </c>
      <c r="G59" s="239"/>
      <c r="H59" s="685">
        <f t="shared" si="98"/>
        <v>0</v>
      </c>
      <c r="I59" s="234"/>
      <c r="J59" s="597">
        <f t="shared" si="99"/>
        <v>0</v>
      </c>
      <c r="K59" s="478">
        <f t="shared" si="100"/>
        <v>0</v>
      </c>
      <c r="L59" s="234"/>
      <c r="M59" s="235">
        <f t="shared" si="101"/>
        <v>0</v>
      </c>
      <c r="N59" s="479">
        <f t="shared" si="102"/>
        <v>0</v>
      </c>
      <c r="O59" s="234"/>
      <c r="P59" s="235">
        <f t="shared" si="103"/>
        <v>0</v>
      </c>
      <c r="Q59" s="651">
        <f t="shared" si="104"/>
        <v>0</v>
      </c>
      <c r="R59" s="479">
        <f>IF(J59&gt;0,IF(OR(ManualMode=FALSE,ISBLANK(S59)),'Pricing - Advanced'!$F$16*J59+'Pricing - Advanced'!$F$17,"N/A"),0)</f>
        <v>0</v>
      </c>
      <c r="S59" s="234"/>
      <c r="T59" s="235">
        <f t="shared" si="105"/>
        <v>0</v>
      </c>
      <c r="U59" s="599">
        <f>IF(OR(ManualMode=FALSE,ISBLANK(V59)),SUM(K59:L59)*'Pricing - Advanced'!$F$19+SUM(N59,O59)*'Pricing - Advanced'!$F$18,"N/A")</f>
        <v>0</v>
      </c>
      <c r="V59" s="234"/>
      <c r="W59" s="236">
        <f t="shared" si="106"/>
        <v>0</v>
      </c>
      <c r="X59" s="237">
        <f>'Pricing - Advanced'!$F$20*SUM(H59:I59)+IF(J59&gt;1,'Pricing - Advanced'!$F$21,0)</f>
        <v>0</v>
      </c>
      <c r="Y59" s="688">
        <f>IF(AND(FullTerm&gt;=B59,AB58&gt;0),AB58*'Pricing - Advanced'!$I$128,0)</f>
        <v>0</v>
      </c>
      <c r="Z59" s="233">
        <f t="shared" si="107"/>
        <v>0</v>
      </c>
      <c r="AA59" s="234"/>
      <c r="AB59" s="597">
        <f t="shared" si="108"/>
        <v>0</v>
      </c>
      <c r="AC59" s="236">
        <f t="shared" si="67"/>
        <v>0</v>
      </c>
      <c r="AF59" s="762" t="e">
        <f t="shared" si="109"/>
        <v>#N/A</v>
      </c>
      <c r="AG59" s="759" t="e">
        <f t="shared" si="68"/>
        <v>#N/A</v>
      </c>
      <c r="AH59" s="759">
        <f>IF(J59=0,0,J59-SUM($N$6:N59)-AB58)</f>
        <v>0</v>
      </c>
      <c r="AI59" s="759">
        <f t="shared" si="69"/>
        <v>0</v>
      </c>
      <c r="AJ59" s="760">
        <f t="shared" si="55"/>
        <v>3.0000000000000001E-3</v>
      </c>
      <c r="AK59" s="760">
        <f t="shared" si="56"/>
        <v>3.0000000000000001E-3</v>
      </c>
      <c r="AN59" s="1" t="b">
        <f t="shared" si="116"/>
        <v>1</v>
      </c>
      <c r="AQ59" s="15">
        <f>IF(J58&gt;1,IF(int_method=2,$AG$229*J58,$AG$229*'Pricing - Advanced'!$E$4),0)</f>
        <v>0</v>
      </c>
      <c r="AR59" s="5">
        <f t="shared" si="110"/>
        <v>0</v>
      </c>
      <c r="AS59" s="204">
        <f t="shared" si="117"/>
        <v>41957</v>
      </c>
      <c r="AT59" s="1">
        <f>IF($AT$4=FALSE,B59*'Pricing - Advanced'!$K$5,AT58+E59-E58)</f>
        <v>1614</v>
      </c>
      <c r="AW59">
        <f t="shared" si="43"/>
        <v>0</v>
      </c>
      <c r="AX59">
        <f t="shared" si="70"/>
        <v>0</v>
      </c>
      <c r="AY59">
        <f t="shared" si="71"/>
        <v>0</v>
      </c>
      <c r="AZ59">
        <f t="shared" si="72"/>
        <v>0</v>
      </c>
      <c r="BA59" s="603">
        <f t="shared" si="44"/>
        <v>0</v>
      </c>
      <c r="BB59" s="603">
        <f t="shared" si="45"/>
        <v>0</v>
      </c>
      <c r="BC59" s="5">
        <f t="shared" si="73"/>
        <v>0</v>
      </c>
      <c r="BE59" s="157">
        <f t="shared" si="74"/>
        <v>53</v>
      </c>
      <c r="BF59" s="489">
        <f t="shared" si="111"/>
        <v>1614</v>
      </c>
      <c r="BG59" s="146">
        <f t="shared" si="75"/>
        <v>0</v>
      </c>
      <c r="BH59" s="147">
        <f t="shared" si="76"/>
        <v>0</v>
      </c>
      <c r="BI59" s="154" t="e">
        <f t="shared" si="77"/>
        <v>#NUM!</v>
      </c>
      <c r="BJ59" s="277" t="e">
        <f t="shared" si="63"/>
        <v>#NUM!</v>
      </c>
      <c r="BK59" s="147" t="e">
        <f t="shared" si="64"/>
        <v>#NUM!</v>
      </c>
      <c r="BL59" s="132" t="e">
        <f t="shared" si="65"/>
        <v>#NUM!</v>
      </c>
      <c r="BN59" s="497">
        <f t="shared" si="78"/>
        <v>53</v>
      </c>
      <c r="BO59" s="497">
        <f t="shared" si="79"/>
        <v>1614</v>
      </c>
      <c r="BP59">
        <f t="shared" si="80"/>
        <v>0</v>
      </c>
      <c r="BQ59">
        <f t="shared" si="81"/>
        <v>0</v>
      </c>
      <c r="BR59" s="499" t="e">
        <f t="shared" ref="BR59:BR69" si="119">IF($CR$1=1,DJ59,IF($CR$1=2,DL59,DK59))</f>
        <v>#NUM!</v>
      </c>
      <c r="BS59" s="277" t="e">
        <f t="shared" si="60"/>
        <v>#NUM!</v>
      </c>
      <c r="BT59" s="5" t="e">
        <f t="shared" si="82"/>
        <v>#NUM!</v>
      </c>
      <c r="BU59" s="5" t="e">
        <f t="shared" si="83"/>
        <v>#NUM!</v>
      </c>
      <c r="BW59" s="5"/>
      <c r="BX59" s="5"/>
      <c r="BY59" s="5"/>
      <c r="BZ59" s="5"/>
      <c r="CA59" s="130" t="e">
        <f t="shared" ref="CA59:CA69" si="120">IF($CR$1=1,DO59,IF($CR$1=2,DQ59,DP59))</f>
        <v>#NUM!</v>
      </c>
      <c r="CB59" s="5"/>
      <c r="CC59" s="5" t="e">
        <f t="shared" si="84"/>
        <v>#NUM!</v>
      </c>
      <c r="CD59" s="5" t="e">
        <f t="shared" si="85"/>
        <v>#NUM!</v>
      </c>
      <c r="CE59" s="5"/>
      <c r="CI59" s="130">
        <f t="shared" si="86"/>
        <v>1.9008197455502693</v>
      </c>
      <c r="CJ59" s="130">
        <f t="shared" si="87"/>
        <v>1.9014347491313086</v>
      </c>
      <c r="CK59" s="296">
        <f t="shared" si="112"/>
        <v>1.9874755927393217</v>
      </c>
      <c r="CL59" s="130">
        <f t="shared" si="88"/>
        <v>1.9874755927393217</v>
      </c>
      <c r="CM59" s="5">
        <f t="shared" si="50"/>
        <v>0</v>
      </c>
      <c r="CN59" s="5">
        <f t="shared" si="89"/>
        <v>0</v>
      </c>
      <c r="DE59" s="130" t="e">
        <f t="shared" si="90"/>
        <v>#NUM!</v>
      </c>
      <c r="DF59" s="130" t="e">
        <f t="shared" si="91"/>
        <v>#NUM!</v>
      </c>
      <c r="DG59" s="130" t="e">
        <f t="shared" si="113"/>
        <v>#NUM!</v>
      </c>
      <c r="DH59" s="130" t="e">
        <f t="shared" si="92"/>
        <v>#NUM!</v>
      </c>
      <c r="DJ59" s="130" t="e">
        <f t="shared" si="93"/>
        <v>#NUM!</v>
      </c>
      <c r="DK59" s="130" t="e">
        <f t="shared" si="94"/>
        <v>#NUM!</v>
      </c>
      <c r="DL59" s="130" t="e">
        <f t="shared" si="114"/>
        <v>#NUM!</v>
      </c>
      <c r="DO59" s="130" t="e">
        <f t="shared" si="95"/>
        <v>#NUM!</v>
      </c>
      <c r="DP59" s="130" t="e">
        <f t="shared" si="96"/>
        <v>#NUM!</v>
      </c>
      <c r="DQ59" s="130" t="e">
        <f t="shared" si="115"/>
        <v>#NUM!</v>
      </c>
    </row>
    <row r="60" spans="2:121" hidden="1">
      <c r="B60" s="231">
        <v>54</v>
      </c>
      <c r="C60" s="280"/>
      <c r="D60" s="475"/>
      <c r="E60" s="318">
        <f t="shared" si="97"/>
        <v>41987</v>
      </c>
      <c r="F60" s="542">
        <f t="shared" si="118"/>
        <v>0</v>
      </c>
      <c r="G60" s="239"/>
      <c r="H60" s="685">
        <f t="shared" si="98"/>
        <v>0</v>
      </c>
      <c r="I60" s="234"/>
      <c r="J60" s="597">
        <f t="shared" si="99"/>
        <v>0</v>
      </c>
      <c r="K60" s="478">
        <f t="shared" si="100"/>
        <v>0</v>
      </c>
      <c r="L60" s="234"/>
      <c r="M60" s="235">
        <f t="shared" si="101"/>
        <v>0</v>
      </c>
      <c r="N60" s="479">
        <f t="shared" si="102"/>
        <v>0</v>
      </c>
      <c r="O60" s="234"/>
      <c r="P60" s="235">
        <f t="shared" si="103"/>
        <v>0</v>
      </c>
      <c r="Q60" s="651">
        <f t="shared" si="104"/>
        <v>0</v>
      </c>
      <c r="R60" s="479">
        <f>IF(J60&gt;0,IF(OR(ManualMode=FALSE,ISBLANK(S60)),'Pricing - Advanced'!$F$16*J60+'Pricing - Advanced'!$F$17,"N/A"),0)</f>
        <v>0</v>
      </c>
      <c r="S60" s="234"/>
      <c r="T60" s="235">
        <f t="shared" si="105"/>
        <v>0</v>
      </c>
      <c r="U60" s="599">
        <f>IF(OR(ManualMode=FALSE,ISBLANK(V60)),SUM(K60:L60)*'Pricing - Advanced'!$F$19+SUM(N60,O60)*'Pricing - Advanced'!$F$18,"N/A")</f>
        <v>0</v>
      </c>
      <c r="V60" s="234"/>
      <c r="W60" s="236">
        <f t="shared" si="106"/>
        <v>0</v>
      </c>
      <c r="X60" s="237">
        <f>'Pricing - Advanced'!$F$20*SUM(H60:I60)+IF(J60&gt;1,'Pricing - Advanced'!$F$21,0)</f>
        <v>0</v>
      </c>
      <c r="Y60" s="688">
        <f>IF(AND(FullTerm&gt;=B60,AB59&gt;0),AB59*'Pricing - Advanced'!$I$128,0)</f>
        <v>0</v>
      </c>
      <c r="Z60" s="233">
        <f t="shared" si="107"/>
        <v>0</v>
      </c>
      <c r="AA60" s="234"/>
      <c r="AB60" s="597">
        <f t="shared" si="108"/>
        <v>0</v>
      </c>
      <c r="AC60" s="236">
        <f t="shared" si="67"/>
        <v>0</v>
      </c>
      <c r="AF60" s="762" t="e">
        <f t="shared" si="109"/>
        <v>#N/A</v>
      </c>
      <c r="AG60" s="759" t="e">
        <f t="shared" si="68"/>
        <v>#N/A</v>
      </c>
      <c r="AH60" s="759">
        <f>IF(J60=0,0,J60-SUM($N$6:N60)-AB59)</f>
        <v>0</v>
      </c>
      <c r="AI60" s="759">
        <f t="shared" si="69"/>
        <v>0</v>
      </c>
      <c r="AJ60" s="760">
        <f t="shared" si="55"/>
        <v>3.0000000000000001E-3</v>
      </c>
      <c r="AK60" s="760">
        <f t="shared" si="56"/>
        <v>3.0000000000000001E-3</v>
      </c>
      <c r="AN60" s="1" t="b">
        <f t="shared" si="116"/>
        <v>1</v>
      </c>
      <c r="AQ60" s="15">
        <f>IF(J59&gt;1,IF(int_method=2,$AG$229*J59,$AG$229*'Pricing - Advanced'!$E$4),0)</f>
        <v>0</v>
      </c>
      <c r="AR60" s="5">
        <f t="shared" si="110"/>
        <v>0</v>
      </c>
      <c r="AS60" s="204">
        <f t="shared" si="117"/>
        <v>41987</v>
      </c>
      <c r="AT60" s="1">
        <f>IF($AT$4=FALSE,B60*'Pricing - Advanced'!$K$5,AT59+E60-E59)</f>
        <v>1644</v>
      </c>
      <c r="AW60">
        <f t="shared" si="43"/>
        <v>0</v>
      </c>
      <c r="AX60">
        <f t="shared" si="70"/>
        <v>0</v>
      </c>
      <c r="AY60">
        <f t="shared" si="71"/>
        <v>0</v>
      </c>
      <c r="AZ60">
        <f t="shared" si="72"/>
        <v>0</v>
      </c>
      <c r="BA60" s="603">
        <f t="shared" si="44"/>
        <v>0</v>
      </c>
      <c r="BB60" s="603">
        <f t="shared" si="45"/>
        <v>0</v>
      </c>
      <c r="BC60" s="5">
        <f t="shared" si="73"/>
        <v>0</v>
      </c>
      <c r="BE60" s="157">
        <f t="shared" si="74"/>
        <v>54</v>
      </c>
      <c r="BF60" s="489">
        <f t="shared" si="111"/>
        <v>1644</v>
      </c>
      <c r="BG60" s="146">
        <f t="shared" si="75"/>
        <v>0</v>
      </c>
      <c r="BH60" s="147">
        <f t="shared" si="76"/>
        <v>0</v>
      </c>
      <c r="BI60" s="154" t="e">
        <f t="shared" si="77"/>
        <v>#NUM!</v>
      </c>
      <c r="BJ60" s="277" t="e">
        <f t="shared" si="63"/>
        <v>#NUM!</v>
      </c>
      <c r="BK60" s="147" t="e">
        <f t="shared" si="64"/>
        <v>#NUM!</v>
      </c>
      <c r="BL60" s="132" t="e">
        <f t="shared" si="65"/>
        <v>#NUM!</v>
      </c>
      <c r="BN60" s="497">
        <f t="shared" si="78"/>
        <v>54</v>
      </c>
      <c r="BO60" s="497">
        <f t="shared" si="79"/>
        <v>1644</v>
      </c>
      <c r="BP60">
        <f t="shared" si="80"/>
        <v>0</v>
      </c>
      <c r="BQ60">
        <f t="shared" si="81"/>
        <v>0</v>
      </c>
      <c r="BR60" s="499" t="e">
        <f t="shared" si="119"/>
        <v>#NUM!</v>
      </c>
      <c r="BS60" s="277" t="e">
        <f t="shared" si="60"/>
        <v>#NUM!</v>
      </c>
      <c r="BT60" s="5" t="e">
        <f t="shared" si="82"/>
        <v>#NUM!</v>
      </c>
      <c r="BU60" s="5" t="e">
        <f t="shared" si="83"/>
        <v>#NUM!</v>
      </c>
      <c r="BW60" s="5"/>
      <c r="BX60" s="5"/>
      <c r="BY60" s="5"/>
      <c r="BZ60" s="5"/>
      <c r="CA60" s="130" t="e">
        <f t="shared" si="120"/>
        <v>#NUM!</v>
      </c>
      <c r="CB60" s="5"/>
      <c r="CC60" s="5" t="e">
        <f t="shared" si="84"/>
        <v>#NUM!</v>
      </c>
      <c r="CD60" s="5" t="e">
        <f t="shared" si="85"/>
        <v>#NUM!</v>
      </c>
      <c r="CE60" s="5"/>
      <c r="CI60" s="130">
        <f t="shared" si="86"/>
        <v>1.9239951425002841</v>
      </c>
      <c r="CJ60" s="130">
        <f t="shared" si="87"/>
        <v>1.9242824260464471</v>
      </c>
      <c r="CK60" s="296">
        <f t="shared" si="112"/>
        <v>2.013400350679786</v>
      </c>
      <c r="CL60" s="130">
        <f t="shared" si="88"/>
        <v>2.013400350679786</v>
      </c>
      <c r="CM60" s="5">
        <f t="shared" si="50"/>
        <v>0</v>
      </c>
      <c r="CN60" s="5">
        <f t="shared" si="89"/>
        <v>0</v>
      </c>
      <c r="DE60" s="130" t="e">
        <f t="shared" si="90"/>
        <v>#NUM!</v>
      </c>
      <c r="DF60" s="130" t="e">
        <f t="shared" si="91"/>
        <v>#NUM!</v>
      </c>
      <c r="DG60" s="130" t="e">
        <f t="shared" si="113"/>
        <v>#NUM!</v>
      </c>
      <c r="DH60" s="130" t="e">
        <f t="shared" si="92"/>
        <v>#NUM!</v>
      </c>
      <c r="DJ60" s="130" t="e">
        <f t="shared" si="93"/>
        <v>#NUM!</v>
      </c>
      <c r="DK60" s="130" t="e">
        <f t="shared" si="94"/>
        <v>#NUM!</v>
      </c>
      <c r="DL60" s="130" t="e">
        <f t="shared" si="114"/>
        <v>#NUM!</v>
      </c>
      <c r="DO60" s="130" t="e">
        <f t="shared" si="95"/>
        <v>#NUM!</v>
      </c>
      <c r="DP60" s="130" t="e">
        <f t="shared" si="96"/>
        <v>#NUM!</v>
      </c>
      <c r="DQ60" s="130" t="e">
        <f t="shared" si="115"/>
        <v>#NUM!</v>
      </c>
    </row>
    <row r="61" spans="2:121" hidden="1">
      <c r="B61" s="231">
        <v>55</v>
      </c>
      <c r="C61" s="280"/>
      <c r="D61" s="475"/>
      <c r="E61" s="318">
        <f t="shared" si="97"/>
        <v>42018</v>
      </c>
      <c r="F61" s="542">
        <f t="shared" si="118"/>
        <v>0</v>
      </c>
      <c r="G61" s="239"/>
      <c r="H61" s="685">
        <f t="shared" si="98"/>
        <v>0</v>
      </c>
      <c r="I61" s="234"/>
      <c r="J61" s="597">
        <f t="shared" si="99"/>
        <v>0</v>
      </c>
      <c r="K61" s="478">
        <f t="shared" si="100"/>
        <v>0</v>
      </c>
      <c r="L61" s="234"/>
      <c r="M61" s="235">
        <f t="shared" si="101"/>
        <v>0</v>
      </c>
      <c r="N61" s="479">
        <f t="shared" si="102"/>
        <v>0</v>
      </c>
      <c r="O61" s="234"/>
      <c r="P61" s="235">
        <f t="shared" si="103"/>
        <v>0</v>
      </c>
      <c r="Q61" s="651">
        <f t="shared" si="104"/>
        <v>0</v>
      </c>
      <c r="R61" s="479">
        <f>IF(J61&gt;0,IF(OR(ManualMode=FALSE,ISBLANK(S61)),'Pricing - Advanced'!$F$16*J61+'Pricing - Advanced'!$F$17,"N/A"),0)</f>
        <v>0</v>
      </c>
      <c r="S61" s="234"/>
      <c r="T61" s="235">
        <f t="shared" si="105"/>
        <v>0</v>
      </c>
      <c r="U61" s="599">
        <f>IF(OR(ManualMode=FALSE,ISBLANK(V61)),SUM(K61:L61)*'Pricing - Advanced'!$F$19+SUM(N61,O61)*'Pricing - Advanced'!$F$18,"N/A")</f>
        <v>0</v>
      </c>
      <c r="V61" s="234"/>
      <c r="W61" s="236">
        <f t="shared" si="106"/>
        <v>0</v>
      </c>
      <c r="X61" s="237">
        <f>'Pricing - Advanced'!$F$20*SUM(H61:I61)+IF(J61&gt;1,'Pricing - Advanced'!$F$21,0)</f>
        <v>0</v>
      </c>
      <c r="Y61" s="688">
        <f>IF(AND(FullTerm&gt;=B61,AB60&gt;0),AB60*'Pricing - Advanced'!$I$128,0)</f>
        <v>0</v>
      </c>
      <c r="Z61" s="233">
        <f t="shared" si="107"/>
        <v>0</v>
      </c>
      <c r="AA61" s="234"/>
      <c r="AB61" s="597">
        <f t="shared" si="108"/>
        <v>0</v>
      </c>
      <c r="AC61" s="236">
        <f t="shared" si="67"/>
        <v>0</v>
      </c>
      <c r="AF61" s="762" t="e">
        <f t="shared" si="109"/>
        <v>#N/A</v>
      </c>
      <c r="AG61" s="759" t="e">
        <f t="shared" si="68"/>
        <v>#N/A</v>
      </c>
      <c r="AH61" s="759">
        <f>IF(J61=0,0,J61-SUM($N$6:N61)-AB60)</f>
        <v>0</v>
      </c>
      <c r="AI61" s="759">
        <f t="shared" si="69"/>
        <v>0</v>
      </c>
      <c r="AJ61" s="760">
        <f t="shared" si="55"/>
        <v>3.0000000000000001E-3</v>
      </c>
      <c r="AK61" s="760">
        <f t="shared" si="56"/>
        <v>3.0000000000000001E-3</v>
      </c>
      <c r="AN61" s="1" t="b">
        <f t="shared" si="116"/>
        <v>1</v>
      </c>
      <c r="AQ61" s="15">
        <f>IF(J60&gt;1,IF(int_method=2,$AG$229*J60,$AG$229*'Pricing - Advanced'!$E$4),0)</f>
        <v>0</v>
      </c>
      <c r="AR61" s="5">
        <f t="shared" si="110"/>
        <v>0</v>
      </c>
      <c r="AS61" s="204">
        <f t="shared" si="117"/>
        <v>42018</v>
      </c>
      <c r="AT61" s="1">
        <f>IF($AT$4=FALSE,B61*'Pricing - Advanced'!$K$5,AT60+E61-E60)</f>
        <v>1675</v>
      </c>
      <c r="AW61">
        <f t="shared" si="43"/>
        <v>0</v>
      </c>
      <c r="AX61">
        <f t="shared" si="70"/>
        <v>0</v>
      </c>
      <c r="AY61">
        <f t="shared" si="71"/>
        <v>0</v>
      </c>
      <c r="AZ61">
        <f t="shared" si="72"/>
        <v>0</v>
      </c>
      <c r="BA61" s="603">
        <f t="shared" si="44"/>
        <v>0</v>
      </c>
      <c r="BB61" s="603">
        <f t="shared" si="45"/>
        <v>0</v>
      </c>
      <c r="BC61" s="5">
        <f t="shared" si="73"/>
        <v>0</v>
      </c>
      <c r="BE61" s="157">
        <f t="shared" si="74"/>
        <v>55</v>
      </c>
      <c r="BF61" s="489">
        <f t="shared" si="111"/>
        <v>1675</v>
      </c>
      <c r="BG61" s="146">
        <f t="shared" si="75"/>
        <v>0</v>
      </c>
      <c r="BH61" s="147">
        <f t="shared" si="76"/>
        <v>0</v>
      </c>
      <c r="BI61" s="154" t="e">
        <f t="shared" si="77"/>
        <v>#NUM!</v>
      </c>
      <c r="BJ61" s="277" t="e">
        <f t="shared" si="63"/>
        <v>#NUM!</v>
      </c>
      <c r="BK61" s="147" t="e">
        <f t="shared" si="64"/>
        <v>#NUM!</v>
      </c>
      <c r="BL61" s="132" t="e">
        <f t="shared" si="65"/>
        <v>#NUM!</v>
      </c>
      <c r="BN61" s="497">
        <f t="shared" si="78"/>
        <v>55</v>
      </c>
      <c r="BO61" s="497">
        <f t="shared" si="79"/>
        <v>1675</v>
      </c>
      <c r="BP61">
        <f t="shared" si="80"/>
        <v>0</v>
      </c>
      <c r="BQ61">
        <f t="shared" si="81"/>
        <v>0</v>
      </c>
      <c r="BR61" s="499" t="e">
        <f t="shared" si="119"/>
        <v>#NUM!</v>
      </c>
      <c r="BS61" s="277" t="e">
        <f t="shared" si="60"/>
        <v>#NUM!</v>
      </c>
      <c r="BT61" s="5" t="e">
        <f t="shared" si="82"/>
        <v>#NUM!</v>
      </c>
      <c r="BU61" s="5" t="e">
        <f t="shared" si="83"/>
        <v>#NUM!</v>
      </c>
      <c r="BW61" s="5"/>
      <c r="BX61" s="5"/>
      <c r="BY61" s="5"/>
      <c r="BZ61" s="5"/>
      <c r="CA61" s="130" t="e">
        <f t="shared" si="120"/>
        <v>#NUM!</v>
      </c>
      <c r="CB61" s="5"/>
      <c r="CC61" s="5" t="e">
        <f t="shared" si="84"/>
        <v>#NUM!</v>
      </c>
      <c r="CD61" s="5" t="e">
        <f t="shared" si="85"/>
        <v>#NUM!</v>
      </c>
      <c r="CE61" s="5"/>
      <c r="CI61" s="130">
        <f t="shared" si="86"/>
        <v>1.9474531012371534</v>
      </c>
      <c r="CJ61" s="130">
        <f t="shared" si="87"/>
        <v>1.9481801481455316</v>
      </c>
      <c r="CK61" s="296">
        <f t="shared" si="112"/>
        <v>2.0396632728104054</v>
      </c>
      <c r="CL61" s="130">
        <f t="shared" si="88"/>
        <v>2.0396632728104054</v>
      </c>
      <c r="CM61" s="5">
        <f t="shared" si="50"/>
        <v>0</v>
      </c>
      <c r="CN61" s="5">
        <f t="shared" si="89"/>
        <v>0</v>
      </c>
      <c r="DE61" s="130" t="e">
        <f t="shared" si="90"/>
        <v>#NUM!</v>
      </c>
      <c r="DF61" s="130" t="e">
        <f t="shared" si="91"/>
        <v>#NUM!</v>
      </c>
      <c r="DG61" s="130" t="e">
        <f t="shared" si="113"/>
        <v>#NUM!</v>
      </c>
      <c r="DH61" s="130" t="e">
        <f t="shared" si="92"/>
        <v>#NUM!</v>
      </c>
      <c r="DJ61" s="130" t="e">
        <f t="shared" si="93"/>
        <v>#NUM!</v>
      </c>
      <c r="DK61" s="130" t="e">
        <f t="shared" si="94"/>
        <v>#NUM!</v>
      </c>
      <c r="DL61" s="130" t="e">
        <f t="shared" si="114"/>
        <v>#NUM!</v>
      </c>
      <c r="DO61" s="130" t="e">
        <f t="shared" si="95"/>
        <v>#NUM!</v>
      </c>
      <c r="DP61" s="130" t="e">
        <f t="shared" si="96"/>
        <v>#NUM!</v>
      </c>
      <c r="DQ61" s="130" t="e">
        <f t="shared" si="115"/>
        <v>#NUM!</v>
      </c>
    </row>
    <row r="62" spans="2:121" hidden="1">
      <c r="B62" s="231">
        <v>56</v>
      </c>
      <c r="C62" s="280"/>
      <c r="D62" s="475"/>
      <c r="E62" s="318">
        <f t="shared" si="97"/>
        <v>42049</v>
      </c>
      <c r="F62" s="542">
        <f t="shared" si="118"/>
        <v>0</v>
      </c>
      <c r="G62" s="239"/>
      <c r="H62" s="685">
        <f t="shared" si="98"/>
        <v>0</v>
      </c>
      <c r="I62" s="234"/>
      <c r="J62" s="597">
        <f t="shared" si="99"/>
        <v>0</v>
      </c>
      <c r="K62" s="478">
        <f t="shared" si="100"/>
        <v>0</v>
      </c>
      <c r="L62" s="234"/>
      <c r="M62" s="235">
        <f t="shared" si="101"/>
        <v>0</v>
      </c>
      <c r="N62" s="479">
        <f t="shared" si="102"/>
        <v>0</v>
      </c>
      <c r="O62" s="234"/>
      <c r="P62" s="235">
        <f t="shared" si="103"/>
        <v>0</v>
      </c>
      <c r="Q62" s="651">
        <f t="shared" si="104"/>
        <v>0</v>
      </c>
      <c r="R62" s="479">
        <f>IF(J62&gt;0,IF(OR(ManualMode=FALSE,ISBLANK(S62)),'Pricing - Advanced'!$F$16*J62+'Pricing - Advanced'!$F$17,"N/A"),0)</f>
        <v>0</v>
      </c>
      <c r="S62" s="234"/>
      <c r="T62" s="235">
        <f t="shared" si="105"/>
        <v>0</v>
      </c>
      <c r="U62" s="599">
        <f>IF(OR(ManualMode=FALSE,ISBLANK(V62)),SUM(K62:L62)*'Pricing - Advanced'!$F$19+SUM(N62,O62)*'Pricing - Advanced'!$F$18,"N/A")</f>
        <v>0</v>
      </c>
      <c r="V62" s="234"/>
      <c r="W62" s="236">
        <f t="shared" si="106"/>
        <v>0</v>
      </c>
      <c r="X62" s="237">
        <f>'Pricing - Advanced'!$F$20*SUM(H62:I62)+IF(J62&gt;1,'Pricing - Advanced'!$F$21,0)</f>
        <v>0</v>
      </c>
      <c r="Y62" s="688">
        <f>IF(AND(FullTerm&gt;=B62,AB61&gt;0),AB61*'Pricing - Advanced'!$I$128,0)</f>
        <v>0</v>
      </c>
      <c r="Z62" s="233">
        <f t="shared" si="107"/>
        <v>0</v>
      </c>
      <c r="AA62" s="234"/>
      <c r="AB62" s="597">
        <f t="shared" si="108"/>
        <v>0</v>
      </c>
      <c r="AC62" s="236">
        <f t="shared" si="67"/>
        <v>0</v>
      </c>
      <c r="AF62" s="762" t="e">
        <f t="shared" si="109"/>
        <v>#N/A</v>
      </c>
      <c r="AG62" s="759" t="e">
        <f t="shared" si="68"/>
        <v>#N/A</v>
      </c>
      <c r="AH62" s="759">
        <f>IF(J62=0,0,J62-SUM($N$6:N62)-AB61)</f>
        <v>0</v>
      </c>
      <c r="AI62" s="759">
        <f t="shared" si="69"/>
        <v>0</v>
      </c>
      <c r="AJ62" s="760">
        <f t="shared" si="55"/>
        <v>3.0000000000000001E-3</v>
      </c>
      <c r="AK62" s="760">
        <f t="shared" si="56"/>
        <v>3.0000000000000001E-3</v>
      </c>
      <c r="AN62" s="1" t="b">
        <f t="shared" si="116"/>
        <v>1</v>
      </c>
      <c r="AQ62" s="15">
        <f>IF(J61&gt;1,IF(int_method=2,$AG$229*J61,$AG$229*'Pricing - Advanced'!$E$4),0)</f>
        <v>0</v>
      </c>
      <c r="AR62" s="5">
        <f t="shared" si="110"/>
        <v>0</v>
      </c>
      <c r="AS62" s="204">
        <f t="shared" si="117"/>
        <v>42049</v>
      </c>
      <c r="AT62" s="1">
        <f>IF($AT$4=FALSE,B62*'Pricing - Advanced'!$K$5,AT61+E62-E61)</f>
        <v>1706</v>
      </c>
      <c r="AW62">
        <f t="shared" si="43"/>
        <v>0</v>
      </c>
      <c r="AX62">
        <f t="shared" si="70"/>
        <v>0</v>
      </c>
      <c r="AY62">
        <f t="shared" si="71"/>
        <v>0</v>
      </c>
      <c r="AZ62">
        <f t="shared" si="72"/>
        <v>0</v>
      </c>
      <c r="BA62" s="603">
        <f t="shared" si="44"/>
        <v>0</v>
      </c>
      <c r="BB62" s="603">
        <f t="shared" si="45"/>
        <v>0</v>
      </c>
      <c r="BC62" s="5">
        <f t="shared" si="73"/>
        <v>0</v>
      </c>
      <c r="BE62" s="157">
        <f t="shared" si="74"/>
        <v>56</v>
      </c>
      <c r="BF62" s="489">
        <f t="shared" si="111"/>
        <v>1706</v>
      </c>
      <c r="BG62" s="146">
        <f t="shared" si="75"/>
        <v>0</v>
      </c>
      <c r="BH62" s="147">
        <f t="shared" si="76"/>
        <v>0</v>
      </c>
      <c r="BI62" s="154" t="e">
        <f t="shared" si="77"/>
        <v>#NUM!</v>
      </c>
      <c r="BJ62" s="277" t="e">
        <f t="shared" si="63"/>
        <v>#NUM!</v>
      </c>
      <c r="BK62" s="147" t="e">
        <f t="shared" si="64"/>
        <v>#NUM!</v>
      </c>
      <c r="BL62" s="132" t="e">
        <f t="shared" si="65"/>
        <v>#NUM!</v>
      </c>
      <c r="BN62" s="497">
        <f t="shared" si="78"/>
        <v>56</v>
      </c>
      <c r="BO62" s="497">
        <f t="shared" si="79"/>
        <v>1706</v>
      </c>
      <c r="BP62">
        <f t="shared" si="80"/>
        <v>0</v>
      </c>
      <c r="BQ62">
        <f t="shared" si="81"/>
        <v>0</v>
      </c>
      <c r="BR62" s="499" t="e">
        <f t="shared" si="119"/>
        <v>#NUM!</v>
      </c>
      <c r="BS62" s="277" t="e">
        <f t="shared" si="60"/>
        <v>#NUM!</v>
      </c>
      <c r="BT62" s="5" t="e">
        <f t="shared" si="82"/>
        <v>#NUM!</v>
      </c>
      <c r="BU62" s="5" t="e">
        <f t="shared" si="83"/>
        <v>#NUM!</v>
      </c>
      <c r="BW62" s="5"/>
      <c r="BX62" s="5"/>
      <c r="BY62" s="5"/>
      <c r="BZ62" s="5"/>
      <c r="CA62" s="130" t="e">
        <f t="shared" si="120"/>
        <v>#NUM!</v>
      </c>
      <c r="CB62" s="5"/>
      <c r="CC62" s="5" t="e">
        <f t="shared" si="84"/>
        <v>#NUM!</v>
      </c>
      <c r="CD62" s="5" t="e">
        <f t="shared" si="85"/>
        <v>#NUM!</v>
      </c>
      <c r="CE62" s="5"/>
      <c r="CI62" s="130">
        <f t="shared" si="86"/>
        <v>1.9711970668437626</v>
      </c>
      <c r="CJ62" s="130">
        <f t="shared" si="87"/>
        <v>1.9723746567837415</v>
      </c>
      <c r="CK62" s="296">
        <f t="shared" si="112"/>
        <v>2.0662687701663671</v>
      </c>
      <c r="CL62" s="130">
        <f t="shared" si="88"/>
        <v>2.0662687701663671</v>
      </c>
      <c r="CM62" s="5">
        <f t="shared" si="50"/>
        <v>0</v>
      </c>
      <c r="CN62" s="5">
        <f t="shared" si="89"/>
        <v>0</v>
      </c>
      <c r="DE62" s="130" t="e">
        <f t="shared" si="90"/>
        <v>#NUM!</v>
      </c>
      <c r="DF62" s="130" t="e">
        <f t="shared" si="91"/>
        <v>#NUM!</v>
      </c>
      <c r="DG62" s="130" t="e">
        <f t="shared" si="113"/>
        <v>#NUM!</v>
      </c>
      <c r="DH62" s="130" t="e">
        <f t="shared" si="92"/>
        <v>#NUM!</v>
      </c>
      <c r="DJ62" s="130" t="e">
        <f t="shared" si="93"/>
        <v>#NUM!</v>
      </c>
      <c r="DK62" s="130" t="e">
        <f t="shared" si="94"/>
        <v>#NUM!</v>
      </c>
      <c r="DL62" s="130" t="e">
        <f t="shared" si="114"/>
        <v>#NUM!</v>
      </c>
      <c r="DO62" s="130" t="e">
        <f t="shared" si="95"/>
        <v>#NUM!</v>
      </c>
      <c r="DP62" s="130" t="e">
        <f t="shared" si="96"/>
        <v>#NUM!</v>
      </c>
      <c r="DQ62" s="130" t="e">
        <f t="shared" si="115"/>
        <v>#NUM!</v>
      </c>
    </row>
    <row r="63" spans="2:121" hidden="1">
      <c r="B63" s="231">
        <v>57</v>
      </c>
      <c r="C63" s="280"/>
      <c r="D63" s="475"/>
      <c r="E63" s="318">
        <f t="shared" si="97"/>
        <v>42077</v>
      </c>
      <c r="F63" s="542">
        <f t="shared" si="118"/>
        <v>0</v>
      </c>
      <c r="G63" s="239"/>
      <c r="H63" s="685">
        <f t="shared" si="98"/>
        <v>0</v>
      </c>
      <c r="I63" s="234"/>
      <c r="J63" s="597">
        <f t="shared" si="99"/>
        <v>0</v>
      </c>
      <c r="K63" s="478">
        <f t="shared" si="100"/>
        <v>0</v>
      </c>
      <c r="L63" s="234"/>
      <c r="M63" s="235">
        <f t="shared" si="101"/>
        <v>0</v>
      </c>
      <c r="N63" s="479">
        <f t="shared" si="102"/>
        <v>0</v>
      </c>
      <c r="O63" s="234"/>
      <c r="P63" s="235">
        <f t="shared" si="103"/>
        <v>0</v>
      </c>
      <c r="Q63" s="651">
        <f t="shared" si="104"/>
        <v>0</v>
      </c>
      <c r="R63" s="479">
        <f>IF(J63&gt;0,IF(OR(ManualMode=FALSE,ISBLANK(S63)),'Pricing - Advanced'!$F$16*J63+'Pricing - Advanced'!$F$17,"N/A"),0)</f>
        <v>0</v>
      </c>
      <c r="S63" s="234"/>
      <c r="T63" s="235">
        <f t="shared" si="105"/>
        <v>0</v>
      </c>
      <c r="U63" s="599">
        <f>IF(OR(ManualMode=FALSE,ISBLANK(V63)),SUM(K63:L63)*'Pricing - Advanced'!$F$19+SUM(N63,O63)*'Pricing - Advanced'!$F$18,"N/A")</f>
        <v>0</v>
      </c>
      <c r="V63" s="234"/>
      <c r="W63" s="236">
        <f t="shared" si="106"/>
        <v>0</v>
      </c>
      <c r="X63" s="237">
        <f>'Pricing - Advanced'!$F$20*SUM(H63:I63)+IF(J63&gt;1,'Pricing - Advanced'!$F$21,0)</f>
        <v>0</v>
      </c>
      <c r="Y63" s="688">
        <f>IF(AND(FullTerm&gt;=B63,AB62&gt;0),AB62*'Pricing - Advanced'!$I$128,0)</f>
        <v>0</v>
      </c>
      <c r="Z63" s="233">
        <f t="shared" si="107"/>
        <v>0</v>
      </c>
      <c r="AA63" s="234"/>
      <c r="AB63" s="597">
        <f t="shared" si="108"/>
        <v>0</v>
      </c>
      <c r="AC63" s="236">
        <f t="shared" si="67"/>
        <v>0</v>
      </c>
      <c r="AF63" s="762" t="e">
        <f t="shared" si="109"/>
        <v>#N/A</v>
      </c>
      <c r="AG63" s="759" t="e">
        <f t="shared" si="68"/>
        <v>#N/A</v>
      </c>
      <c r="AH63" s="759">
        <f>IF(J63=0,0,J63-SUM($N$6:N63)-AB62)</f>
        <v>0</v>
      </c>
      <c r="AI63" s="759">
        <f t="shared" si="69"/>
        <v>0</v>
      </c>
      <c r="AJ63" s="760">
        <f t="shared" si="55"/>
        <v>3.0000000000000001E-3</v>
      </c>
      <c r="AK63" s="760">
        <f t="shared" si="56"/>
        <v>3.0000000000000001E-3</v>
      </c>
      <c r="AN63" s="1" t="b">
        <f t="shared" si="116"/>
        <v>1</v>
      </c>
      <c r="AQ63" s="15">
        <f>IF(J62&gt;1,IF(int_method=2,$AG$229*J62,$AG$229*'Pricing - Advanced'!$E$4),0)</f>
        <v>0</v>
      </c>
      <c r="AR63" s="5">
        <f t="shared" si="110"/>
        <v>0</v>
      </c>
      <c r="AS63" s="204">
        <f t="shared" si="117"/>
        <v>42077</v>
      </c>
      <c r="AT63" s="1">
        <f>IF($AT$4=FALSE,B63*'Pricing - Advanced'!$K$5,AT62+E63-E62)</f>
        <v>1734</v>
      </c>
      <c r="AW63">
        <f t="shared" si="43"/>
        <v>0</v>
      </c>
      <c r="AX63">
        <f t="shared" si="70"/>
        <v>0</v>
      </c>
      <c r="AY63">
        <f t="shared" si="71"/>
        <v>0</v>
      </c>
      <c r="AZ63">
        <f t="shared" si="72"/>
        <v>0</v>
      </c>
      <c r="BA63" s="603">
        <f t="shared" si="44"/>
        <v>0</v>
      </c>
      <c r="BB63" s="603">
        <f t="shared" si="45"/>
        <v>0</v>
      </c>
      <c r="BC63" s="5">
        <f t="shared" si="73"/>
        <v>0</v>
      </c>
      <c r="BE63" s="157">
        <f t="shared" si="74"/>
        <v>57</v>
      </c>
      <c r="BF63" s="489">
        <f t="shared" si="111"/>
        <v>1734</v>
      </c>
      <c r="BG63" s="146">
        <f t="shared" si="75"/>
        <v>0</v>
      </c>
      <c r="BH63" s="147">
        <f t="shared" si="76"/>
        <v>0</v>
      </c>
      <c r="BI63" s="154" t="e">
        <f t="shared" si="77"/>
        <v>#NUM!</v>
      </c>
      <c r="BJ63" s="277" t="e">
        <f t="shared" si="63"/>
        <v>#NUM!</v>
      </c>
      <c r="BK63" s="147" t="e">
        <f t="shared" si="64"/>
        <v>#NUM!</v>
      </c>
      <c r="BL63" s="132" t="e">
        <f t="shared" si="65"/>
        <v>#NUM!</v>
      </c>
      <c r="BN63" s="497">
        <f t="shared" si="78"/>
        <v>57</v>
      </c>
      <c r="BO63" s="497">
        <f t="shared" si="79"/>
        <v>1734</v>
      </c>
      <c r="BP63">
        <f t="shared" si="80"/>
        <v>0</v>
      </c>
      <c r="BQ63">
        <f t="shared" si="81"/>
        <v>0</v>
      </c>
      <c r="BR63" s="499" t="e">
        <f t="shared" si="119"/>
        <v>#NUM!</v>
      </c>
      <c r="BS63" s="277" t="e">
        <f t="shared" si="60"/>
        <v>#NUM!</v>
      </c>
      <c r="BT63" s="5" t="e">
        <f t="shared" si="82"/>
        <v>#NUM!</v>
      </c>
      <c r="BU63" s="5" t="e">
        <f t="shared" si="83"/>
        <v>#NUM!</v>
      </c>
      <c r="BW63" s="5"/>
      <c r="BX63" s="5"/>
      <c r="BY63" s="5"/>
      <c r="BZ63" s="5"/>
      <c r="CA63" s="130" t="e">
        <f t="shared" si="120"/>
        <v>#NUM!</v>
      </c>
      <c r="CB63" s="5"/>
      <c r="CC63" s="5" t="e">
        <f t="shared" si="84"/>
        <v>#NUM!</v>
      </c>
      <c r="CD63" s="5" t="e">
        <f t="shared" si="85"/>
        <v>#NUM!</v>
      </c>
      <c r="CE63" s="5"/>
      <c r="CI63" s="130">
        <f t="shared" si="86"/>
        <v>1.9952305264065389</v>
      </c>
      <c r="CJ63" s="130">
        <f t="shared" si="87"/>
        <v>1.994485920633245</v>
      </c>
      <c r="CK63" s="296">
        <f t="shared" si="112"/>
        <v>2.0932213113206823</v>
      </c>
      <c r="CL63" s="130">
        <f t="shared" si="88"/>
        <v>2.0932213113206823</v>
      </c>
      <c r="CM63" s="5">
        <f t="shared" si="50"/>
        <v>0</v>
      </c>
      <c r="CN63" s="5">
        <f t="shared" si="89"/>
        <v>0</v>
      </c>
      <c r="DE63" s="130" t="e">
        <f t="shared" si="90"/>
        <v>#NUM!</v>
      </c>
      <c r="DF63" s="130" t="e">
        <f t="shared" si="91"/>
        <v>#NUM!</v>
      </c>
      <c r="DG63" s="130" t="e">
        <f t="shared" si="113"/>
        <v>#NUM!</v>
      </c>
      <c r="DH63" s="130" t="e">
        <f t="shared" si="92"/>
        <v>#NUM!</v>
      </c>
      <c r="DJ63" s="130" t="e">
        <f t="shared" si="93"/>
        <v>#NUM!</v>
      </c>
      <c r="DK63" s="130" t="e">
        <f t="shared" si="94"/>
        <v>#NUM!</v>
      </c>
      <c r="DL63" s="130" t="e">
        <f t="shared" si="114"/>
        <v>#NUM!</v>
      </c>
      <c r="DO63" s="130" t="e">
        <f t="shared" si="95"/>
        <v>#NUM!</v>
      </c>
      <c r="DP63" s="130" t="e">
        <f t="shared" si="96"/>
        <v>#NUM!</v>
      </c>
      <c r="DQ63" s="130" t="e">
        <f t="shared" si="115"/>
        <v>#NUM!</v>
      </c>
    </row>
    <row r="64" spans="2:121" hidden="1">
      <c r="B64" s="231">
        <v>58</v>
      </c>
      <c r="C64" s="280"/>
      <c r="D64" s="475"/>
      <c r="E64" s="318">
        <f t="shared" si="97"/>
        <v>42108</v>
      </c>
      <c r="F64" s="542">
        <f t="shared" si="118"/>
        <v>0</v>
      </c>
      <c r="G64" s="239"/>
      <c r="H64" s="685">
        <f t="shared" si="98"/>
        <v>0</v>
      </c>
      <c r="I64" s="234"/>
      <c r="J64" s="597">
        <f t="shared" si="99"/>
        <v>0</v>
      </c>
      <c r="K64" s="478">
        <f t="shared" si="100"/>
        <v>0</v>
      </c>
      <c r="L64" s="234"/>
      <c r="M64" s="235">
        <f t="shared" si="101"/>
        <v>0</v>
      </c>
      <c r="N64" s="479">
        <f t="shared" si="102"/>
        <v>0</v>
      </c>
      <c r="O64" s="234"/>
      <c r="P64" s="235">
        <f t="shared" si="103"/>
        <v>0</v>
      </c>
      <c r="Q64" s="651">
        <f t="shared" si="104"/>
        <v>0</v>
      </c>
      <c r="R64" s="479">
        <f>IF(J64&gt;0,IF(OR(ManualMode=FALSE,ISBLANK(S64)),'Pricing - Advanced'!$F$16*J64+'Pricing - Advanced'!$F$17,"N/A"),0)</f>
        <v>0</v>
      </c>
      <c r="S64" s="234"/>
      <c r="T64" s="235">
        <f t="shared" si="105"/>
        <v>0</v>
      </c>
      <c r="U64" s="599">
        <f>IF(OR(ManualMode=FALSE,ISBLANK(V64)),SUM(K64:L64)*'Pricing - Advanced'!$F$19+SUM(N64,O64)*'Pricing - Advanced'!$F$18,"N/A")</f>
        <v>0</v>
      </c>
      <c r="V64" s="234"/>
      <c r="W64" s="236">
        <f t="shared" si="106"/>
        <v>0</v>
      </c>
      <c r="X64" s="237">
        <f>'Pricing - Advanced'!$F$20*SUM(H64:I64)+IF(J64&gt;1,'Pricing - Advanced'!$F$21,0)</f>
        <v>0</v>
      </c>
      <c r="Y64" s="688">
        <f>IF(AND(FullTerm&gt;=B64,AB63&gt;0),AB63*'Pricing - Advanced'!$I$128,0)</f>
        <v>0</v>
      </c>
      <c r="Z64" s="233">
        <f t="shared" si="107"/>
        <v>0</v>
      </c>
      <c r="AA64" s="234"/>
      <c r="AB64" s="597">
        <f t="shared" si="108"/>
        <v>0</v>
      </c>
      <c r="AC64" s="236">
        <f t="shared" si="67"/>
        <v>0</v>
      </c>
      <c r="AF64" s="762" t="e">
        <f t="shared" si="109"/>
        <v>#N/A</v>
      </c>
      <c r="AG64" s="759" t="e">
        <f t="shared" si="68"/>
        <v>#N/A</v>
      </c>
      <c r="AH64" s="759">
        <f>IF(J64=0,0,J64-SUM($N$6:N64)-AB63)</f>
        <v>0</v>
      </c>
      <c r="AI64" s="759">
        <f t="shared" si="69"/>
        <v>0</v>
      </c>
      <c r="AJ64" s="760">
        <f t="shared" si="55"/>
        <v>3.0000000000000001E-3</v>
      </c>
      <c r="AK64" s="760">
        <f t="shared" si="56"/>
        <v>3.0000000000000001E-3</v>
      </c>
      <c r="AN64" s="1" t="b">
        <f t="shared" si="116"/>
        <v>1</v>
      </c>
      <c r="AQ64" s="15">
        <f>IF(J63&gt;1,IF(int_method=2,$AG$229*J63,$AG$229*'Pricing - Advanced'!$E$4),0)</f>
        <v>0</v>
      </c>
      <c r="AR64" s="5">
        <f t="shared" si="110"/>
        <v>0</v>
      </c>
      <c r="AS64" s="204">
        <f t="shared" si="117"/>
        <v>42108</v>
      </c>
      <c r="AT64" s="1">
        <f>IF($AT$4=FALSE,B64*'Pricing - Advanced'!$K$5,AT63+E64-E63)</f>
        <v>1765</v>
      </c>
      <c r="AW64">
        <f t="shared" si="43"/>
        <v>0</v>
      </c>
      <c r="AX64">
        <f t="shared" si="70"/>
        <v>0</v>
      </c>
      <c r="AY64">
        <f t="shared" si="71"/>
        <v>0</v>
      </c>
      <c r="AZ64">
        <f t="shared" si="72"/>
        <v>0</v>
      </c>
      <c r="BA64" s="603">
        <f t="shared" si="44"/>
        <v>0</v>
      </c>
      <c r="BB64" s="603">
        <f t="shared" si="45"/>
        <v>0</v>
      </c>
      <c r="BC64" s="5">
        <f t="shared" si="73"/>
        <v>0</v>
      </c>
      <c r="BE64" s="157">
        <f t="shared" si="74"/>
        <v>58</v>
      </c>
      <c r="BF64" s="489">
        <f t="shared" si="111"/>
        <v>1765</v>
      </c>
      <c r="BG64" s="146">
        <f t="shared" si="75"/>
        <v>0</v>
      </c>
      <c r="BH64" s="147">
        <f t="shared" si="76"/>
        <v>0</v>
      </c>
      <c r="BI64" s="154" t="e">
        <f t="shared" si="77"/>
        <v>#NUM!</v>
      </c>
      <c r="BJ64" s="277" t="e">
        <f t="shared" si="63"/>
        <v>#NUM!</v>
      </c>
      <c r="BK64" s="147" t="e">
        <f t="shared" si="64"/>
        <v>#NUM!</v>
      </c>
      <c r="BL64" s="132" t="e">
        <f t="shared" si="65"/>
        <v>#NUM!</v>
      </c>
      <c r="BN64" s="497">
        <f t="shared" si="78"/>
        <v>58</v>
      </c>
      <c r="BO64" s="497">
        <f t="shared" si="79"/>
        <v>1765</v>
      </c>
      <c r="BP64">
        <f t="shared" si="80"/>
        <v>0</v>
      </c>
      <c r="BQ64">
        <f t="shared" si="81"/>
        <v>0</v>
      </c>
      <c r="BR64" s="499" t="e">
        <f t="shared" si="119"/>
        <v>#NUM!</v>
      </c>
      <c r="BS64" s="277" t="e">
        <f t="shared" si="60"/>
        <v>#NUM!</v>
      </c>
      <c r="BT64" s="5" t="e">
        <f t="shared" si="82"/>
        <v>#NUM!</v>
      </c>
      <c r="BU64" s="5" t="e">
        <f t="shared" si="83"/>
        <v>#NUM!</v>
      </c>
      <c r="BW64" s="5"/>
      <c r="BX64" s="5"/>
      <c r="BY64" s="5"/>
      <c r="BZ64" s="5"/>
      <c r="CA64" s="130" t="e">
        <f t="shared" si="120"/>
        <v>#NUM!</v>
      </c>
      <c r="CB64" s="5"/>
      <c r="CC64" s="5" t="e">
        <f t="shared" si="84"/>
        <v>#NUM!</v>
      </c>
      <c r="CD64" s="5" t="e">
        <f t="shared" si="85"/>
        <v>#NUM!</v>
      </c>
      <c r="CE64" s="5"/>
      <c r="CI64" s="130">
        <f t="shared" si="86"/>
        <v>2.0195570095275741</v>
      </c>
      <c r="CJ64" s="130">
        <f t="shared" si="87"/>
        <v>2.0192555020713283</v>
      </c>
      <c r="CK64" s="296">
        <f t="shared" si="112"/>
        <v>2.1205254231347124</v>
      </c>
      <c r="CL64" s="130">
        <f t="shared" si="88"/>
        <v>2.1205254231347124</v>
      </c>
      <c r="CM64" s="5">
        <f t="shared" si="50"/>
        <v>0</v>
      </c>
      <c r="CN64" s="5">
        <f t="shared" si="89"/>
        <v>0</v>
      </c>
      <c r="DE64" s="130" t="e">
        <f t="shared" si="90"/>
        <v>#NUM!</v>
      </c>
      <c r="DF64" s="130" t="e">
        <f t="shared" si="91"/>
        <v>#NUM!</v>
      </c>
      <c r="DG64" s="130" t="e">
        <f t="shared" si="113"/>
        <v>#NUM!</v>
      </c>
      <c r="DH64" s="130" t="e">
        <f t="shared" si="92"/>
        <v>#NUM!</v>
      </c>
      <c r="DJ64" s="130" t="e">
        <f t="shared" si="93"/>
        <v>#NUM!</v>
      </c>
      <c r="DK64" s="130" t="e">
        <f t="shared" si="94"/>
        <v>#NUM!</v>
      </c>
      <c r="DL64" s="130" t="e">
        <f t="shared" si="114"/>
        <v>#NUM!</v>
      </c>
      <c r="DO64" s="130" t="e">
        <f t="shared" si="95"/>
        <v>#NUM!</v>
      </c>
      <c r="DP64" s="130" t="e">
        <f t="shared" si="96"/>
        <v>#NUM!</v>
      </c>
      <c r="DQ64" s="130" t="e">
        <f t="shared" si="115"/>
        <v>#NUM!</v>
      </c>
    </row>
    <row r="65" spans="2:121" hidden="1">
      <c r="B65" s="231">
        <v>59</v>
      </c>
      <c r="C65" s="280"/>
      <c r="D65" s="475"/>
      <c r="E65" s="318">
        <f t="shared" si="97"/>
        <v>42138</v>
      </c>
      <c r="F65" s="542">
        <f t="shared" si="118"/>
        <v>0</v>
      </c>
      <c r="G65" s="239"/>
      <c r="H65" s="685">
        <f t="shared" si="98"/>
        <v>0</v>
      </c>
      <c r="I65" s="234"/>
      <c r="J65" s="597">
        <f t="shared" si="99"/>
        <v>0</v>
      </c>
      <c r="K65" s="478">
        <f t="shared" si="100"/>
        <v>0</v>
      </c>
      <c r="L65" s="234"/>
      <c r="M65" s="235">
        <f t="shared" si="101"/>
        <v>0</v>
      </c>
      <c r="N65" s="479">
        <f t="shared" si="102"/>
        <v>0</v>
      </c>
      <c r="O65" s="234"/>
      <c r="P65" s="235">
        <f t="shared" si="103"/>
        <v>0</v>
      </c>
      <c r="Q65" s="651">
        <f t="shared" si="104"/>
        <v>0</v>
      </c>
      <c r="R65" s="479">
        <f>IF(J65&gt;0,IF(OR(ManualMode=FALSE,ISBLANK(S65)),'Pricing - Advanced'!$F$16*J65+'Pricing - Advanced'!$F$17,"N/A"),0)</f>
        <v>0</v>
      </c>
      <c r="S65" s="234"/>
      <c r="T65" s="235">
        <f t="shared" si="105"/>
        <v>0</v>
      </c>
      <c r="U65" s="599">
        <f>IF(OR(ManualMode=FALSE,ISBLANK(V65)),SUM(K65:L65)*'Pricing - Advanced'!$F$19+SUM(N65,O65)*'Pricing - Advanced'!$F$18,"N/A")</f>
        <v>0</v>
      </c>
      <c r="V65" s="234"/>
      <c r="W65" s="236">
        <f t="shared" si="106"/>
        <v>0</v>
      </c>
      <c r="X65" s="237">
        <f>'Pricing - Advanced'!$F$20*SUM(H65:I65)+IF(J65&gt;1,'Pricing - Advanced'!$F$21,0)</f>
        <v>0</v>
      </c>
      <c r="Y65" s="688">
        <f>IF(AND(FullTerm&gt;=B65,AB64&gt;0),AB64*'Pricing - Advanced'!$I$128,0)</f>
        <v>0</v>
      </c>
      <c r="Z65" s="233">
        <f t="shared" si="107"/>
        <v>0</v>
      </c>
      <c r="AA65" s="234"/>
      <c r="AB65" s="597">
        <f t="shared" si="108"/>
        <v>0</v>
      </c>
      <c r="AC65" s="236">
        <f t="shared" si="67"/>
        <v>0</v>
      </c>
      <c r="AF65" s="762" t="e">
        <f t="shared" si="109"/>
        <v>#N/A</v>
      </c>
      <c r="AG65" s="759" t="e">
        <f t="shared" si="68"/>
        <v>#N/A</v>
      </c>
      <c r="AH65" s="759">
        <f>IF(J65=0,0,J65-SUM($N$6:N65)-AB64)</f>
        <v>0</v>
      </c>
      <c r="AI65" s="759">
        <f t="shared" si="69"/>
        <v>0</v>
      </c>
      <c r="AJ65" s="760">
        <f t="shared" si="55"/>
        <v>3.0000000000000001E-3</v>
      </c>
      <c r="AK65" s="760">
        <f t="shared" si="56"/>
        <v>3.0000000000000001E-3</v>
      </c>
      <c r="AN65" s="1" t="b">
        <f t="shared" si="116"/>
        <v>1</v>
      </c>
      <c r="AQ65" s="15">
        <f>IF(J64&gt;1,IF(int_method=2,$AG$229*J64,$AG$229*'Pricing - Advanced'!$E$4),0)</f>
        <v>0</v>
      </c>
      <c r="AR65" s="5">
        <f t="shared" si="110"/>
        <v>0</v>
      </c>
      <c r="AS65" s="204">
        <f t="shared" si="117"/>
        <v>42138</v>
      </c>
      <c r="AT65" s="1">
        <f>IF($AT$4=FALSE,B65*'Pricing - Advanced'!$K$5,AT64+E65-E64)</f>
        <v>1795</v>
      </c>
      <c r="AW65">
        <f t="shared" si="43"/>
        <v>0</v>
      </c>
      <c r="AX65">
        <f t="shared" si="70"/>
        <v>0</v>
      </c>
      <c r="AY65">
        <f t="shared" si="71"/>
        <v>0</v>
      </c>
      <c r="AZ65">
        <f t="shared" si="72"/>
        <v>0</v>
      </c>
      <c r="BA65" s="603">
        <f t="shared" si="44"/>
        <v>0</v>
      </c>
      <c r="BB65" s="603">
        <f t="shared" si="45"/>
        <v>0</v>
      </c>
      <c r="BC65" s="5">
        <f t="shared" si="73"/>
        <v>0</v>
      </c>
      <c r="BE65" s="157">
        <f t="shared" si="74"/>
        <v>59</v>
      </c>
      <c r="BF65" s="489">
        <f t="shared" si="111"/>
        <v>1795</v>
      </c>
      <c r="BG65" s="146">
        <f t="shared" si="75"/>
        <v>0</v>
      </c>
      <c r="BH65" s="147">
        <f t="shared" si="76"/>
        <v>0</v>
      </c>
      <c r="BI65" s="154" t="e">
        <f t="shared" si="77"/>
        <v>#NUM!</v>
      </c>
      <c r="BJ65" s="277" t="e">
        <f t="shared" si="63"/>
        <v>#NUM!</v>
      </c>
      <c r="BK65" s="147" t="e">
        <f t="shared" si="64"/>
        <v>#NUM!</v>
      </c>
      <c r="BL65" s="132" t="e">
        <f t="shared" si="65"/>
        <v>#NUM!</v>
      </c>
      <c r="BN65" s="497">
        <f t="shared" si="78"/>
        <v>59</v>
      </c>
      <c r="BO65" s="497">
        <f t="shared" si="79"/>
        <v>1795</v>
      </c>
      <c r="BP65">
        <f t="shared" si="80"/>
        <v>0</v>
      </c>
      <c r="BQ65">
        <f t="shared" si="81"/>
        <v>0</v>
      </c>
      <c r="BR65" s="499" t="e">
        <f t="shared" si="119"/>
        <v>#NUM!</v>
      </c>
      <c r="BS65" s="277" t="e">
        <f t="shared" si="60"/>
        <v>#NUM!</v>
      </c>
      <c r="BT65" s="5" t="e">
        <f t="shared" si="82"/>
        <v>#NUM!</v>
      </c>
      <c r="BU65" s="5" t="e">
        <f t="shared" si="83"/>
        <v>#NUM!</v>
      </c>
      <c r="BW65" s="5"/>
      <c r="BX65" s="5"/>
      <c r="BY65" s="5"/>
      <c r="BZ65" s="5"/>
      <c r="CA65" s="130" t="e">
        <f t="shared" si="120"/>
        <v>#NUM!</v>
      </c>
      <c r="CB65" s="5"/>
      <c r="CC65" s="5" t="e">
        <f t="shared" si="84"/>
        <v>#NUM!</v>
      </c>
      <c r="CD65" s="5" t="e">
        <f t="shared" si="85"/>
        <v>#NUM!</v>
      </c>
      <c r="CE65" s="5"/>
      <c r="CI65" s="130">
        <f t="shared" si="86"/>
        <v>2.0441800888429866</v>
      </c>
      <c r="CJ65" s="130">
        <f t="shared" si="87"/>
        <v>2.0435189154445825</v>
      </c>
      <c r="CK65" s="296">
        <f t="shared" si="112"/>
        <v>2.1481856915184854</v>
      </c>
      <c r="CL65" s="130">
        <f t="shared" si="88"/>
        <v>2.1481856915184854</v>
      </c>
      <c r="CM65" s="5">
        <f t="shared" si="50"/>
        <v>0</v>
      </c>
      <c r="CN65" s="5">
        <f t="shared" si="89"/>
        <v>0</v>
      </c>
      <c r="DE65" s="130" t="e">
        <f t="shared" si="90"/>
        <v>#NUM!</v>
      </c>
      <c r="DF65" s="130" t="e">
        <f t="shared" si="91"/>
        <v>#NUM!</v>
      </c>
      <c r="DG65" s="130" t="e">
        <f t="shared" si="113"/>
        <v>#NUM!</v>
      </c>
      <c r="DH65" s="130" t="e">
        <f t="shared" si="92"/>
        <v>#NUM!</v>
      </c>
      <c r="DJ65" s="130" t="e">
        <f t="shared" si="93"/>
        <v>#NUM!</v>
      </c>
      <c r="DK65" s="130" t="e">
        <f t="shared" si="94"/>
        <v>#NUM!</v>
      </c>
      <c r="DL65" s="130" t="e">
        <f t="shared" si="114"/>
        <v>#NUM!</v>
      </c>
      <c r="DO65" s="130" t="e">
        <f t="shared" si="95"/>
        <v>#NUM!</v>
      </c>
      <c r="DP65" s="130" t="e">
        <f t="shared" si="96"/>
        <v>#NUM!</v>
      </c>
      <c r="DQ65" s="130" t="e">
        <f t="shared" si="115"/>
        <v>#NUM!</v>
      </c>
    </row>
    <row r="66" spans="2:121" hidden="1">
      <c r="B66" s="231">
        <v>60</v>
      </c>
      <c r="C66" s="280"/>
      <c r="D66" s="475"/>
      <c r="E66" s="318">
        <f t="shared" si="97"/>
        <v>42169</v>
      </c>
      <c r="F66" s="542">
        <f t="shared" si="118"/>
        <v>0</v>
      </c>
      <c r="G66" s="239"/>
      <c r="H66" s="685">
        <f t="shared" si="98"/>
        <v>0</v>
      </c>
      <c r="I66" s="234"/>
      <c r="J66" s="597">
        <f t="shared" si="99"/>
        <v>0</v>
      </c>
      <c r="K66" s="478">
        <f t="shared" si="100"/>
        <v>0</v>
      </c>
      <c r="L66" s="234"/>
      <c r="M66" s="235">
        <f t="shared" si="101"/>
        <v>0</v>
      </c>
      <c r="N66" s="479">
        <f t="shared" si="102"/>
        <v>0</v>
      </c>
      <c r="O66" s="234"/>
      <c r="P66" s="235">
        <f t="shared" si="103"/>
        <v>0</v>
      </c>
      <c r="Q66" s="651">
        <f t="shared" si="104"/>
        <v>0</v>
      </c>
      <c r="R66" s="479">
        <f>IF(J66&gt;0,IF(OR(ManualMode=FALSE,ISBLANK(S66)),'Pricing - Advanced'!$F$16*J66+'Pricing - Advanced'!$F$17,"N/A"),0)</f>
        <v>0</v>
      </c>
      <c r="S66" s="234"/>
      <c r="T66" s="235">
        <f t="shared" si="105"/>
        <v>0</v>
      </c>
      <c r="U66" s="599">
        <f>IF(OR(ManualMode=FALSE,ISBLANK(V66)),SUM(K66:L66)*'Pricing - Advanced'!$F$19+SUM(N66,O66)*'Pricing - Advanced'!$F$18,"N/A")</f>
        <v>0</v>
      </c>
      <c r="V66" s="234"/>
      <c r="W66" s="236">
        <f t="shared" si="106"/>
        <v>0</v>
      </c>
      <c r="X66" s="237">
        <f>'Pricing - Advanced'!$F$20*SUM(H66:I66)+IF(J66&gt;1,'Pricing - Advanced'!$F$21,0)</f>
        <v>0</v>
      </c>
      <c r="Y66" s="688">
        <f>IF(AND(FullTerm&gt;=B66,AB65&gt;0),AB65*'Pricing - Advanced'!$I$128,0)</f>
        <v>0</v>
      </c>
      <c r="Z66" s="233">
        <f t="shared" si="107"/>
        <v>0</v>
      </c>
      <c r="AA66" s="234"/>
      <c r="AB66" s="597">
        <f t="shared" si="108"/>
        <v>0</v>
      </c>
      <c r="AC66" s="236">
        <f t="shared" si="67"/>
        <v>0</v>
      </c>
      <c r="AF66" s="762" t="e">
        <f t="shared" si="109"/>
        <v>#N/A</v>
      </c>
      <c r="AG66" s="759" t="e">
        <f t="shared" si="68"/>
        <v>#N/A</v>
      </c>
      <c r="AH66" s="759">
        <f>IF(J66=0,0,J66-SUM($N$6:N66)-AB65)</f>
        <v>0</v>
      </c>
      <c r="AI66" s="759">
        <f t="shared" si="69"/>
        <v>0</v>
      </c>
      <c r="AJ66" s="760">
        <f t="shared" si="55"/>
        <v>3.0000000000000001E-3</v>
      </c>
      <c r="AK66" s="760">
        <f t="shared" si="56"/>
        <v>3.0000000000000001E-3</v>
      </c>
      <c r="AN66" s="1" t="b">
        <f t="shared" si="116"/>
        <v>1</v>
      </c>
      <c r="AQ66" s="15">
        <f>IF(J65&gt;1,IF(int_method=2,$AG$229*J65,$AG$229*'Pricing - Advanced'!$E$4),0)</f>
        <v>0</v>
      </c>
      <c r="AR66" s="5">
        <f t="shared" si="110"/>
        <v>0</v>
      </c>
      <c r="AS66" s="204">
        <f t="shared" si="117"/>
        <v>42169</v>
      </c>
      <c r="AT66" s="1">
        <f>IF($AT$4=FALSE,B66*'Pricing - Advanced'!$K$5,AT65+E66-E65)</f>
        <v>1826</v>
      </c>
      <c r="AW66">
        <f t="shared" si="43"/>
        <v>0</v>
      </c>
      <c r="AX66">
        <f t="shared" si="70"/>
        <v>0</v>
      </c>
      <c r="AY66">
        <f t="shared" si="71"/>
        <v>0</v>
      </c>
      <c r="AZ66">
        <f t="shared" si="72"/>
        <v>0</v>
      </c>
      <c r="BA66" s="603">
        <f t="shared" si="44"/>
        <v>0</v>
      </c>
      <c r="BB66" s="603">
        <f t="shared" si="45"/>
        <v>0</v>
      </c>
      <c r="BC66" s="5">
        <f t="shared" si="73"/>
        <v>0</v>
      </c>
      <c r="BE66" s="157">
        <f t="shared" si="74"/>
        <v>60</v>
      </c>
      <c r="BF66" s="489">
        <f t="shared" si="111"/>
        <v>1826</v>
      </c>
      <c r="BG66" s="146">
        <f t="shared" si="75"/>
        <v>0</v>
      </c>
      <c r="BH66" s="147">
        <f t="shared" si="76"/>
        <v>0</v>
      </c>
      <c r="BI66" s="154" t="e">
        <f t="shared" si="77"/>
        <v>#NUM!</v>
      </c>
      <c r="BJ66" s="277" t="e">
        <f t="shared" si="63"/>
        <v>#NUM!</v>
      </c>
      <c r="BK66" s="147" t="e">
        <f t="shared" si="64"/>
        <v>#NUM!</v>
      </c>
      <c r="BL66" s="132" t="e">
        <f t="shared" si="65"/>
        <v>#NUM!</v>
      </c>
      <c r="BN66" s="497">
        <f t="shared" si="78"/>
        <v>60</v>
      </c>
      <c r="BO66" s="497">
        <f t="shared" si="79"/>
        <v>1826</v>
      </c>
      <c r="BP66">
        <f t="shared" si="80"/>
        <v>0</v>
      </c>
      <c r="BQ66">
        <f t="shared" si="81"/>
        <v>0</v>
      </c>
      <c r="BR66" s="499" t="e">
        <f t="shared" si="119"/>
        <v>#NUM!</v>
      </c>
      <c r="BS66" s="277" t="e">
        <f t="shared" si="60"/>
        <v>#NUM!</v>
      </c>
      <c r="BT66" s="5" t="e">
        <f t="shared" si="82"/>
        <v>#NUM!</v>
      </c>
      <c r="BU66" s="5" t="e">
        <f t="shared" si="83"/>
        <v>#NUM!</v>
      </c>
      <c r="BW66" s="5"/>
      <c r="BX66" s="5"/>
      <c r="BY66" s="5"/>
      <c r="BZ66" s="5"/>
      <c r="CA66" s="130" t="e">
        <f t="shared" si="120"/>
        <v>#NUM!</v>
      </c>
      <c r="CB66" s="5"/>
      <c r="CC66" s="5" t="e">
        <f t="shared" si="84"/>
        <v>#NUM!</v>
      </c>
      <c r="CD66" s="5" t="e">
        <f t="shared" si="85"/>
        <v>#NUM!</v>
      </c>
      <c r="CE66" s="5"/>
      <c r="CI66" s="130">
        <f t="shared" si="86"/>
        <v>2.0691033805476073</v>
      </c>
      <c r="CJ66" s="130">
        <f t="shared" si="87"/>
        <v>2.0688974391396999</v>
      </c>
      <c r="CK66" s="296">
        <f t="shared" si="112"/>
        <v>2.1762067622009318</v>
      </c>
      <c r="CL66" s="130">
        <f t="shared" si="88"/>
        <v>2.1762067622009318</v>
      </c>
      <c r="CM66" s="5">
        <f t="shared" si="50"/>
        <v>0</v>
      </c>
      <c r="CN66" s="5">
        <f t="shared" si="89"/>
        <v>0</v>
      </c>
      <c r="DE66" s="130" t="e">
        <f t="shared" si="90"/>
        <v>#NUM!</v>
      </c>
      <c r="DF66" s="130" t="e">
        <f t="shared" si="91"/>
        <v>#NUM!</v>
      </c>
      <c r="DG66" s="130" t="e">
        <f t="shared" si="113"/>
        <v>#NUM!</v>
      </c>
      <c r="DH66" s="130" t="e">
        <f t="shared" si="92"/>
        <v>#NUM!</v>
      </c>
      <c r="DJ66" s="130" t="e">
        <f t="shared" si="93"/>
        <v>#NUM!</v>
      </c>
      <c r="DK66" s="130" t="e">
        <f t="shared" si="94"/>
        <v>#NUM!</v>
      </c>
      <c r="DL66" s="130" t="e">
        <f t="shared" si="114"/>
        <v>#NUM!</v>
      </c>
      <c r="DO66" s="130" t="e">
        <f t="shared" si="95"/>
        <v>#NUM!</v>
      </c>
      <c r="DP66" s="130" t="e">
        <f t="shared" si="96"/>
        <v>#NUM!</v>
      </c>
      <c r="DQ66" s="130" t="e">
        <f t="shared" si="115"/>
        <v>#NUM!</v>
      </c>
    </row>
    <row r="67" spans="2:121" hidden="1">
      <c r="B67" s="231">
        <v>61</v>
      </c>
      <c r="C67" s="280"/>
      <c r="D67" s="475"/>
      <c r="E67" s="318">
        <f t="shared" si="97"/>
        <v>42199</v>
      </c>
      <c r="F67" s="542">
        <f t="shared" si="118"/>
        <v>0</v>
      </c>
      <c r="G67" s="239"/>
      <c r="H67" s="685">
        <f t="shared" si="98"/>
        <v>0</v>
      </c>
      <c r="I67" s="234"/>
      <c r="J67" s="597">
        <f t="shared" si="99"/>
        <v>0</v>
      </c>
      <c r="K67" s="478">
        <f t="shared" si="100"/>
        <v>0</v>
      </c>
      <c r="L67" s="234"/>
      <c r="M67" s="235">
        <f t="shared" si="101"/>
        <v>0</v>
      </c>
      <c r="N67" s="479">
        <f t="shared" si="102"/>
        <v>0</v>
      </c>
      <c r="O67" s="234"/>
      <c r="P67" s="235">
        <f t="shared" si="103"/>
        <v>0</v>
      </c>
      <c r="Q67" s="651">
        <f t="shared" si="104"/>
        <v>0</v>
      </c>
      <c r="R67" s="479">
        <f>IF(J67&gt;0,IF(OR(ManualMode=FALSE,ISBLANK(S67)),'Pricing - Advanced'!$F$16*J67+'Pricing - Advanced'!$F$17,"N/A"),0)</f>
        <v>0</v>
      </c>
      <c r="S67" s="234"/>
      <c r="T67" s="235">
        <f t="shared" si="105"/>
        <v>0</v>
      </c>
      <c r="U67" s="599">
        <f>IF(OR(ManualMode=FALSE,ISBLANK(V67)),SUM(K67:L67)*'Pricing - Advanced'!$F$19+SUM(N67,O67)*'Pricing - Advanced'!$F$18,"N/A")</f>
        <v>0</v>
      </c>
      <c r="V67" s="234"/>
      <c r="W67" s="236">
        <f t="shared" si="106"/>
        <v>0</v>
      </c>
      <c r="X67" s="237">
        <f>'Pricing - Advanced'!$F$20*SUM(H67:I67)+IF(J67&gt;1,'Pricing - Advanced'!$F$21,0)</f>
        <v>0</v>
      </c>
      <c r="Y67" s="688">
        <f>IF(AND(FullTerm&gt;=B67,AB66&gt;0),AB66*'Pricing - Advanced'!$I$128,0)</f>
        <v>0</v>
      </c>
      <c r="Z67" s="233">
        <f t="shared" si="107"/>
        <v>0</v>
      </c>
      <c r="AA67" s="234"/>
      <c r="AB67" s="597">
        <f t="shared" si="108"/>
        <v>0</v>
      </c>
      <c r="AC67" s="236">
        <f t="shared" si="67"/>
        <v>0</v>
      </c>
      <c r="AF67" s="762" t="e">
        <f t="shared" si="109"/>
        <v>#N/A</v>
      </c>
      <c r="AG67" s="759" t="e">
        <f t="shared" si="68"/>
        <v>#N/A</v>
      </c>
      <c r="AH67" s="759">
        <f>IF(J67=0,0,J67-SUM($N$6:N67)-AB66)</f>
        <v>0</v>
      </c>
      <c r="AI67" s="759">
        <f t="shared" si="69"/>
        <v>0</v>
      </c>
      <c r="AJ67" s="760">
        <f t="shared" si="55"/>
        <v>3.0000000000000001E-3</v>
      </c>
      <c r="AK67" s="760">
        <f t="shared" si="56"/>
        <v>3.0000000000000001E-3</v>
      </c>
      <c r="AN67" s="1" t="b">
        <f t="shared" si="116"/>
        <v>1</v>
      </c>
      <c r="AQ67" s="15">
        <f>IF(J66&gt;1,IF(int_method=2,$AG$229*J66,$AG$229*'Pricing - Advanced'!$E$4),0)</f>
        <v>0</v>
      </c>
      <c r="AR67" s="5">
        <f t="shared" si="110"/>
        <v>0</v>
      </c>
      <c r="AS67" s="204">
        <f t="shared" si="117"/>
        <v>42199</v>
      </c>
      <c r="AT67" s="1">
        <f>IF($AT$4=FALSE,B67*'Pricing - Advanced'!$K$5,AT66+E67-E66)</f>
        <v>1856</v>
      </c>
      <c r="AW67">
        <f t="shared" si="43"/>
        <v>0</v>
      </c>
      <c r="AX67">
        <f t="shared" si="70"/>
        <v>0</v>
      </c>
      <c r="AY67">
        <f t="shared" si="71"/>
        <v>0</v>
      </c>
      <c r="AZ67">
        <f t="shared" si="72"/>
        <v>0</v>
      </c>
      <c r="BA67" s="603">
        <f t="shared" si="44"/>
        <v>0</v>
      </c>
      <c r="BB67" s="603">
        <f t="shared" si="45"/>
        <v>0</v>
      </c>
      <c r="BC67" s="5">
        <f t="shared" si="73"/>
        <v>0</v>
      </c>
      <c r="BE67" s="157">
        <f t="shared" si="74"/>
        <v>61</v>
      </c>
      <c r="BF67" s="489">
        <f t="shared" si="111"/>
        <v>1856</v>
      </c>
      <c r="BG67" s="146">
        <f t="shared" si="75"/>
        <v>0</v>
      </c>
      <c r="BH67" s="147">
        <f t="shared" si="76"/>
        <v>0</v>
      </c>
      <c r="BI67" s="154" t="e">
        <f t="shared" si="77"/>
        <v>#NUM!</v>
      </c>
      <c r="BJ67" s="277" t="e">
        <f t="shared" si="63"/>
        <v>#NUM!</v>
      </c>
      <c r="BK67" s="147" t="e">
        <f t="shared" si="64"/>
        <v>#NUM!</v>
      </c>
      <c r="BL67" s="132" t="e">
        <f t="shared" si="65"/>
        <v>#NUM!</v>
      </c>
      <c r="BN67" s="497">
        <f t="shared" si="78"/>
        <v>61</v>
      </c>
      <c r="BO67" s="497">
        <f t="shared" si="79"/>
        <v>1856</v>
      </c>
      <c r="BP67">
        <f t="shared" si="80"/>
        <v>0</v>
      </c>
      <c r="BQ67">
        <f t="shared" si="81"/>
        <v>0</v>
      </c>
      <c r="BR67" s="499" t="e">
        <f t="shared" si="119"/>
        <v>#NUM!</v>
      </c>
      <c r="BS67" s="277" t="e">
        <f t="shared" si="60"/>
        <v>#NUM!</v>
      </c>
      <c r="BT67" s="5" t="e">
        <f t="shared" si="82"/>
        <v>#NUM!</v>
      </c>
      <c r="BU67" s="5" t="e">
        <f t="shared" si="83"/>
        <v>#NUM!</v>
      </c>
      <c r="BW67" s="5"/>
      <c r="BX67" s="5"/>
      <c r="BY67" s="5"/>
      <c r="BZ67" s="5"/>
      <c r="CA67" s="130" t="e">
        <f t="shared" si="120"/>
        <v>#NUM!</v>
      </c>
      <c r="CB67" s="5"/>
      <c r="CC67" s="5" t="e">
        <f t="shared" si="84"/>
        <v>#NUM!</v>
      </c>
      <c r="CD67" s="5" t="e">
        <f t="shared" si="85"/>
        <v>#NUM!</v>
      </c>
      <c r="CE67" s="5"/>
      <c r="CI67" s="130">
        <f t="shared" si="86"/>
        <v>2.0943305449260623</v>
      </c>
      <c r="CJ67" s="130">
        <f t="shared" si="87"/>
        <v>2.0937573509939544</v>
      </c>
      <c r="CK67" s="296">
        <f t="shared" si="112"/>
        <v>2.2045933415101651</v>
      </c>
      <c r="CL67" s="130">
        <f t="shared" si="88"/>
        <v>2.2045933415101651</v>
      </c>
      <c r="CM67" s="5">
        <f t="shared" si="50"/>
        <v>0</v>
      </c>
      <c r="CN67" s="5">
        <f t="shared" si="89"/>
        <v>0</v>
      </c>
      <c r="DE67" s="130" t="e">
        <f t="shared" si="90"/>
        <v>#NUM!</v>
      </c>
      <c r="DF67" s="130" t="e">
        <f t="shared" si="91"/>
        <v>#NUM!</v>
      </c>
      <c r="DG67" s="130" t="e">
        <f t="shared" si="113"/>
        <v>#NUM!</v>
      </c>
      <c r="DH67" s="130" t="e">
        <f t="shared" si="92"/>
        <v>#NUM!</v>
      </c>
      <c r="DJ67" s="130" t="e">
        <f t="shared" si="93"/>
        <v>#NUM!</v>
      </c>
      <c r="DK67" s="130" t="e">
        <f t="shared" si="94"/>
        <v>#NUM!</v>
      </c>
      <c r="DL67" s="130" t="e">
        <f t="shared" si="114"/>
        <v>#NUM!</v>
      </c>
      <c r="DO67" s="130" t="e">
        <f t="shared" si="95"/>
        <v>#NUM!</v>
      </c>
      <c r="DP67" s="130" t="e">
        <f t="shared" si="96"/>
        <v>#NUM!</v>
      </c>
      <c r="DQ67" s="130" t="e">
        <f t="shared" si="115"/>
        <v>#NUM!</v>
      </c>
    </row>
    <row r="68" spans="2:121" hidden="1">
      <c r="B68" s="231">
        <v>62</v>
      </c>
      <c r="C68" s="280"/>
      <c r="D68" s="475"/>
      <c r="E68" s="318">
        <f t="shared" si="97"/>
        <v>42230</v>
      </c>
      <c r="F68" s="542">
        <f t="shared" si="118"/>
        <v>0</v>
      </c>
      <c r="G68" s="239"/>
      <c r="H68" s="685">
        <f t="shared" si="98"/>
        <v>0</v>
      </c>
      <c r="I68" s="234"/>
      <c r="J68" s="597">
        <f t="shared" si="99"/>
        <v>0</v>
      </c>
      <c r="K68" s="478">
        <f t="shared" si="100"/>
        <v>0</v>
      </c>
      <c r="L68" s="234"/>
      <c r="M68" s="235">
        <f t="shared" si="101"/>
        <v>0</v>
      </c>
      <c r="N68" s="479">
        <f t="shared" si="102"/>
        <v>0</v>
      </c>
      <c r="O68" s="234"/>
      <c r="P68" s="235">
        <f t="shared" si="103"/>
        <v>0</v>
      </c>
      <c r="Q68" s="651">
        <f t="shared" si="104"/>
        <v>0</v>
      </c>
      <c r="R68" s="479">
        <f>IF(J68&gt;0,IF(OR(ManualMode=FALSE,ISBLANK(S68)),'Pricing - Advanced'!$F$16*J68+'Pricing - Advanced'!$F$17,"N/A"),0)</f>
        <v>0</v>
      </c>
      <c r="S68" s="234"/>
      <c r="T68" s="235">
        <f t="shared" si="105"/>
        <v>0</v>
      </c>
      <c r="U68" s="599">
        <f>IF(OR(ManualMode=FALSE,ISBLANK(V68)),SUM(K68:L68)*'Pricing - Advanced'!$F$19+SUM(N68,O68)*'Pricing - Advanced'!$F$18,"N/A")</f>
        <v>0</v>
      </c>
      <c r="V68" s="234"/>
      <c r="W68" s="236">
        <f t="shared" si="106"/>
        <v>0</v>
      </c>
      <c r="X68" s="237">
        <f>'Pricing - Advanced'!$F$20*SUM(H68:I68)+IF(J68&gt;1,'Pricing - Advanced'!$F$21,0)</f>
        <v>0</v>
      </c>
      <c r="Y68" s="688">
        <f>IF(AND(FullTerm&gt;=B68,AB67&gt;0),AB67*'Pricing - Advanced'!$I$128,0)</f>
        <v>0</v>
      </c>
      <c r="Z68" s="233">
        <f t="shared" si="107"/>
        <v>0</v>
      </c>
      <c r="AA68" s="234"/>
      <c r="AB68" s="597">
        <f t="shared" si="108"/>
        <v>0</v>
      </c>
      <c r="AC68" s="236">
        <f t="shared" si="67"/>
        <v>0</v>
      </c>
      <c r="AF68" s="762" t="e">
        <f t="shared" si="109"/>
        <v>#N/A</v>
      </c>
      <c r="AG68" s="759" t="e">
        <f t="shared" si="68"/>
        <v>#N/A</v>
      </c>
      <c r="AH68" s="759">
        <f>IF(J68=0,0,J68-SUM($N$6:N68)-AB67)</f>
        <v>0</v>
      </c>
      <c r="AI68" s="759">
        <f t="shared" si="69"/>
        <v>0</v>
      </c>
      <c r="AJ68" s="760">
        <f t="shared" si="55"/>
        <v>3.0000000000000001E-3</v>
      </c>
      <c r="AK68" s="760">
        <f t="shared" si="56"/>
        <v>3.0000000000000001E-3</v>
      </c>
      <c r="AN68" s="1" t="b">
        <f t="shared" si="116"/>
        <v>1</v>
      </c>
      <c r="AQ68" s="15">
        <f>IF(J67&gt;1,IF(int_method=2,$AG$229*J67,$AG$229*'Pricing - Advanced'!$E$4),0)</f>
        <v>0</v>
      </c>
      <c r="AR68" s="5">
        <f t="shared" si="110"/>
        <v>0</v>
      </c>
      <c r="AS68" s="204">
        <f t="shared" si="117"/>
        <v>42230</v>
      </c>
      <c r="AT68" s="1">
        <f>IF($AT$4=FALSE,B68*'Pricing - Advanced'!$K$5,AT67+E68-E67)</f>
        <v>1887</v>
      </c>
      <c r="AW68">
        <f t="shared" si="43"/>
        <v>0</v>
      </c>
      <c r="AX68">
        <f t="shared" si="70"/>
        <v>0</v>
      </c>
      <c r="AY68">
        <f t="shared" si="71"/>
        <v>0</v>
      </c>
      <c r="AZ68">
        <f t="shared" si="72"/>
        <v>0</v>
      </c>
      <c r="BA68" s="603">
        <f t="shared" si="44"/>
        <v>0</v>
      </c>
      <c r="BB68" s="603">
        <f t="shared" si="45"/>
        <v>0</v>
      </c>
      <c r="BC68" s="5">
        <f t="shared" si="73"/>
        <v>0</v>
      </c>
      <c r="BE68" s="157">
        <f t="shared" si="74"/>
        <v>62</v>
      </c>
      <c r="BF68" s="489">
        <f t="shared" si="111"/>
        <v>1887</v>
      </c>
      <c r="BG68" s="146">
        <f t="shared" si="75"/>
        <v>0</v>
      </c>
      <c r="BH68" s="147">
        <f t="shared" si="76"/>
        <v>0</v>
      </c>
      <c r="BI68" s="154" t="e">
        <f t="shared" si="77"/>
        <v>#NUM!</v>
      </c>
      <c r="BJ68" s="277" t="e">
        <f t="shared" si="63"/>
        <v>#NUM!</v>
      </c>
      <c r="BK68" s="147" t="e">
        <f t="shared" si="64"/>
        <v>#NUM!</v>
      </c>
      <c r="BL68" s="132" t="e">
        <f t="shared" si="65"/>
        <v>#NUM!</v>
      </c>
      <c r="BN68" s="497">
        <f t="shared" si="78"/>
        <v>62</v>
      </c>
      <c r="BO68" s="497">
        <f t="shared" si="79"/>
        <v>1887</v>
      </c>
      <c r="BP68">
        <f t="shared" si="80"/>
        <v>0</v>
      </c>
      <c r="BQ68">
        <f t="shared" si="81"/>
        <v>0</v>
      </c>
      <c r="BR68" s="499" t="e">
        <f t="shared" si="119"/>
        <v>#NUM!</v>
      </c>
      <c r="BS68" s="277" t="e">
        <f t="shared" si="60"/>
        <v>#NUM!</v>
      </c>
      <c r="BT68" s="5" t="e">
        <f t="shared" si="82"/>
        <v>#NUM!</v>
      </c>
      <c r="BU68" s="5" t="e">
        <f t="shared" si="83"/>
        <v>#NUM!</v>
      </c>
      <c r="BW68" s="5"/>
      <c r="BX68" s="5"/>
      <c r="BY68" s="5"/>
      <c r="BZ68" s="5"/>
      <c r="CA68" s="130" t="e">
        <f t="shared" si="120"/>
        <v>#NUM!</v>
      </c>
      <c r="CB68" s="5"/>
      <c r="CC68" s="5" t="e">
        <f t="shared" si="84"/>
        <v>#NUM!</v>
      </c>
      <c r="CD68" s="5" t="e">
        <f t="shared" si="85"/>
        <v>#NUM!</v>
      </c>
      <c r="CE68" s="5"/>
      <c r="CI68" s="130">
        <f t="shared" si="86"/>
        <v>2.1198652868903256</v>
      </c>
      <c r="CJ68" s="130">
        <f t="shared" si="87"/>
        <v>2.1197597873513718</v>
      </c>
      <c r="CK68" s="296">
        <f t="shared" si="112"/>
        <v>2.2333501971639422</v>
      </c>
      <c r="CL68" s="130">
        <f t="shared" si="88"/>
        <v>2.2333501971639422</v>
      </c>
      <c r="CM68" s="5">
        <f t="shared" si="50"/>
        <v>0</v>
      </c>
      <c r="CN68" s="5">
        <f t="shared" si="89"/>
        <v>0</v>
      </c>
      <c r="DE68" s="130" t="e">
        <f t="shared" si="90"/>
        <v>#NUM!</v>
      </c>
      <c r="DF68" s="130" t="e">
        <f t="shared" si="91"/>
        <v>#NUM!</v>
      </c>
      <c r="DG68" s="130" t="e">
        <f t="shared" si="113"/>
        <v>#NUM!</v>
      </c>
      <c r="DH68" s="130" t="e">
        <f t="shared" si="92"/>
        <v>#NUM!</v>
      </c>
      <c r="DJ68" s="130" t="e">
        <f t="shared" si="93"/>
        <v>#NUM!</v>
      </c>
      <c r="DK68" s="130" t="e">
        <f t="shared" si="94"/>
        <v>#NUM!</v>
      </c>
      <c r="DL68" s="130" t="e">
        <f t="shared" si="114"/>
        <v>#NUM!</v>
      </c>
      <c r="DO68" s="130" t="e">
        <f t="shared" si="95"/>
        <v>#NUM!</v>
      </c>
      <c r="DP68" s="130" t="e">
        <f t="shared" si="96"/>
        <v>#NUM!</v>
      </c>
      <c r="DQ68" s="130" t="e">
        <f t="shared" si="115"/>
        <v>#NUM!</v>
      </c>
    </row>
    <row r="69" spans="2:121" hidden="1">
      <c r="B69" s="231">
        <v>63</v>
      </c>
      <c r="C69" s="280"/>
      <c r="D69" s="475"/>
      <c r="E69" s="318">
        <f t="shared" si="97"/>
        <v>42261</v>
      </c>
      <c r="F69" s="542">
        <f t="shared" si="118"/>
        <v>0</v>
      </c>
      <c r="G69" s="239"/>
      <c r="H69" s="685">
        <f t="shared" si="98"/>
        <v>0</v>
      </c>
      <c r="I69" s="234"/>
      <c r="J69" s="597">
        <f t="shared" si="99"/>
        <v>0</v>
      </c>
      <c r="K69" s="478">
        <f t="shared" si="100"/>
        <v>0</v>
      </c>
      <c r="L69" s="234"/>
      <c r="M69" s="235">
        <f t="shared" si="101"/>
        <v>0</v>
      </c>
      <c r="N69" s="479">
        <f t="shared" si="102"/>
        <v>0</v>
      </c>
      <c r="O69" s="234"/>
      <c r="P69" s="235">
        <f t="shared" si="103"/>
        <v>0</v>
      </c>
      <c r="Q69" s="651">
        <f t="shared" si="104"/>
        <v>0</v>
      </c>
      <c r="R69" s="479">
        <f>IF(J69&gt;0,IF(OR(ManualMode=FALSE,ISBLANK(S69)),'Pricing - Advanced'!$F$16*J69+'Pricing - Advanced'!$F$17,"N/A"),0)</f>
        <v>0</v>
      </c>
      <c r="S69" s="234"/>
      <c r="T69" s="235">
        <f t="shared" si="105"/>
        <v>0</v>
      </c>
      <c r="U69" s="599">
        <f>IF(OR(ManualMode=FALSE,ISBLANK(V69)),SUM(K69:L69)*'Pricing - Advanced'!$F$19+SUM(N69,O69)*'Pricing - Advanced'!$F$18,"N/A")</f>
        <v>0</v>
      </c>
      <c r="V69" s="234"/>
      <c r="W69" s="236">
        <f t="shared" si="106"/>
        <v>0</v>
      </c>
      <c r="X69" s="237">
        <f>'Pricing - Advanced'!$F$20*SUM(H69:I69)+IF(J69&gt;1,'Pricing - Advanced'!$F$21,0)</f>
        <v>0</v>
      </c>
      <c r="Y69" s="688">
        <f>IF(AND(FullTerm&gt;=B69,AB68&gt;0),AB68*'Pricing - Advanced'!$I$128,0)</f>
        <v>0</v>
      </c>
      <c r="Z69" s="233">
        <f t="shared" si="107"/>
        <v>0</v>
      </c>
      <c r="AA69" s="234"/>
      <c r="AB69" s="597">
        <f t="shared" si="108"/>
        <v>0</v>
      </c>
      <c r="AC69" s="236">
        <f t="shared" si="67"/>
        <v>0</v>
      </c>
      <c r="AF69" s="762" t="e">
        <f t="shared" si="109"/>
        <v>#N/A</v>
      </c>
      <c r="AG69" s="759" t="e">
        <f t="shared" si="68"/>
        <v>#N/A</v>
      </c>
      <c r="AH69" s="759">
        <f>IF(J69=0,0,J69-SUM($N$6:N69)-AB68)</f>
        <v>0</v>
      </c>
      <c r="AI69" s="759">
        <f t="shared" si="69"/>
        <v>0</v>
      </c>
      <c r="AJ69" s="760">
        <f t="shared" si="55"/>
        <v>3.0000000000000001E-3</v>
      </c>
      <c r="AK69" s="760">
        <f t="shared" si="56"/>
        <v>3.0000000000000001E-3</v>
      </c>
      <c r="AN69" s="1" t="b">
        <f t="shared" si="116"/>
        <v>1</v>
      </c>
      <c r="AQ69" s="15">
        <f>IF(J68&gt;1,IF(int_method=2,$AG$229*J68,$AG$229*'Pricing - Advanced'!$E$4),0)</f>
        <v>0</v>
      </c>
      <c r="AR69" s="5">
        <f t="shared" si="110"/>
        <v>0</v>
      </c>
      <c r="AS69" s="204">
        <f t="shared" si="117"/>
        <v>42261</v>
      </c>
      <c r="AT69" s="1">
        <f>IF($AT$4=FALSE,B69*'Pricing - Advanced'!$K$5,AT68+E69-E68)</f>
        <v>1918</v>
      </c>
      <c r="AW69">
        <f t="shared" si="43"/>
        <v>0</v>
      </c>
      <c r="AX69">
        <f t="shared" si="70"/>
        <v>0</v>
      </c>
      <c r="AY69">
        <f t="shared" si="71"/>
        <v>0</v>
      </c>
      <c r="AZ69">
        <f t="shared" si="72"/>
        <v>0</v>
      </c>
      <c r="BA69" s="603">
        <f t="shared" si="44"/>
        <v>0</v>
      </c>
      <c r="BB69" s="603">
        <f t="shared" si="45"/>
        <v>0</v>
      </c>
      <c r="BC69" s="5">
        <f t="shared" si="73"/>
        <v>0</v>
      </c>
      <c r="BE69" s="157">
        <f t="shared" si="74"/>
        <v>63</v>
      </c>
      <c r="BF69" s="489">
        <f t="shared" si="111"/>
        <v>1918</v>
      </c>
      <c r="BG69" s="146">
        <f t="shared" si="75"/>
        <v>0</v>
      </c>
      <c r="BH69" s="147">
        <f t="shared" si="76"/>
        <v>0</v>
      </c>
      <c r="BI69" s="154" t="e">
        <f t="shared" si="77"/>
        <v>#NUM!</v>
      </c>
      <c r="BJ69" s="277" t="e">
        <f t="shared" si="63"/>
        <v>#NUM!</v>
      </c>
      <c r="BK69" s="147" t="e">
        <f t="shared" si="64"/>
        <v>#NUM!</v>
      </c>
      <c r="BL69" s="132" t="e">
        <f t="shared" si="65"/>
        <v>#NUM!</v>
      </c>
      <c r="BN69" s="497">
        <f t="shared" si="78"/>
        <v>63</v>
      </c>
      <c r="BO69" s="497">
        <f t="shared" si="79"/>
        <v>1918</v>
      </c>
      <c r="BP69">
        <f t="shared" si="80"/>
        <v>0</v>
      </c>
      <c r="BQ69">
        <f t="shared" si="81"/>
        <v>0</v>
      </c>
      <c r="BR69" s="499" t="e">
        <f t="shared" si="119"/>
        <v>#NUM!</v>
      </c>
      <c r="BS69" s="277" t="e">
        <f t="shared" si="60"/>
        <v>#NUM!</v>
      </c>
      <c r="BT69" s="5" t="e">
        <f t="shared" si="82"/>
        <v>#NUM!</v>
      </c>
      <c r="BU69" s="5" t="e">
        <f t="shared" si="83"/>
        <v>#NUM!</v>
      </c>
      <c r="BW69" s="5"/>
      <c r="BX69" s="5"/>
      <c r="BY69" s="5"/>
      <c r="BZ69" s="5"/>
      <c r="CA69" s="130" t="e">
        <f t="shared" si="120"/>
        <v>#NUM!</v>
      </c>
      <c r="CB69" s="5"/>
      <c r="CC69" s="5" t="e">
        <f t="shared" si="84"/>
        <v>#NUM!</v>
      </c>
      <c r="CD69" s="5" t="e">
        <f t="shared" si="85"/>
        <v>#NUM!</v>
      </c>
      <c r="CE69" s="5"/>
      <c r="CI69" s="130">
        <f t="shared" si="86"/>
        <v>2.1457113565238339</v>
      </c>
      <c r="CJ69" s="130">
        <f t="shared" si="87"/>
        <v>2.1460851487584378</v>
      </c>
      <c r="CK69" s="296">
        <f t="shared" si="112"/>
        <v>2.2624821590704336</v>
      </c>
      <c r="CL69" s="130">
        <f t="shared" si="88"/>
        <v>2.2624821590704336</v>
      </c>
      <c r="CM69" s="5">
        <f t="shared" si="50"/>
        <v>0</v>
      </c>
      <c r="CN69" s="5">
        <f t="shared" si="89"/>
        <v>0</v>
      </c>
      <c r="DE69" s="130" t="e">
        <f t="shared" si="90"/>
        <v>#NUM!</v>
      </c>
      <c r="DF69" s="130" t="e">
        <f t="shared" si="91"/>
        <v>#NUM!</v>
      </c>
      <c r="DG69" s="130" t="e">
        <f t="shared" si="113"/>
        <v>#NUM!</v>
      </c>
      <c r="DH69" s="130" t="e">
        <f t="shared" si="92"/>
        <v>#NUM!</v>
      </c>
      <c r="DJ69" s="130" t="e">
        <f t="shared" si="93"/>
        <v>#NUM!</v>
      </c>
      <c r="DK69" s="130" t="e">
        <f t="shared" si="94"/>
        <v>#NUM!</v>
      </c>
      <c r="DL69" s="130" t="e">
        <f t="shared" si="114"/>
        <v>#NUM!</v>
      </c>
      <c r="DO69" s="130" t="e">
        <f t="shared" si="95"/>
        <v>#NUM!</v>
      </c>
      <c r="DP69" s="130" t="e">
        <f t="shared" si="96"/>
        <v>#NUM!</v>
      </c>
      <c r="DQ69" s="130" t="e">
        <f t="shared" si="115"/>
        <v>#NUM!</v>
      </c>
    </row>
    <row r="70" spans="2:121" hidden="1">
      <c r="B70" s="231">
        <v>64</v>
      </c>
      <c r="C70" s="280"/>
      <c r="D70" s="475"/>
      <c r="E70" s="318">
        <f t="shared" si="97"/>
        <v>42291</v>
      </c>
      <c r="F70" s="542">
        <f t="shared" si="118"/>
        <v>0</v>
      </c>
      <c r="G70" s="239"/>
      <c r="H70" s="685">
        <f t="shared" si="98"/>
        <v>0</v>
      </c>
      <c r="I70" s="234"/>
      <c r="J70" s="597">
        <f t="shared" si="99"/>
        <v>0</v>
      </c>
      <c r="K70" s="478">
        <f t="shared" si="100"/>
        <v>0</v>
      </c>
      <c r="L70" s="234"/>
      <c r="M70" s="235">
        <f t="shared" si="101"/>
        <v>0</v>
      </c>
      <c r="N70" s="479">
        <f t="shared" si="102"/>
        <v>0</v>
      </c>
      <c r="O70" s="234"/>
      <c r="P70" s="235">
        <f t="shared" si="103"/>
        <v>0</v>
      </c>
      <c r="Q70" s="651">
        <f t="shared" si="104"/>
        <v>0</v>
      </c>
      <c r="R70" s="479">
        <f>IF(J70&gt;0,IF(OR(ManualMode=FALSE,ISBLANK(S70)),'Pricing - Advanced'!$F$16*J70+'Pricing - Advanced'!$F$17,"N/A"),0)</f>
        <v>0</v>
      </c>
      <c r="S70" s="234"/>
      <c r="T70" s="235">
        <f t="shared" si="105"/>
        <v>0</v>
      </c>
      <c r="U70" s="599">
        <f>IF(OR(ManualMode=FALSE,ISBLANK(V70)),SUM(K70:L70)*'Pricing - Advanced'!$F$19+SUM(N70,O70)*'Pricing - Advanced'!$F$18,"N/A")</f>
        <v>0</v>
      </c>
      <c r="V70" s="234"/>
      <c r="W70" s="236">
        <f t="shared" si="106"/>
        <v>0</v>
      </c>
      <c r="X70" s="237">
        <f>'Pricing - Advanced'!$F$20*SUM(H70:I70)+IF(J70&gt;1,'Pricing - Advanced'!$F$21,0)</f>
        <v>0</v>
      </c>
      <c r="Y70" s="688">
        <f>IF(AND(FullTerm&gt;=B70,AB69&gt;0),AB69*'Pricing - Advanced'!$I$128,0)</f>
        <v>0</v>
      </c>
      <c r="Z70" s="233">
        <f t="shared" si="107"/>
        <v>0</v>
      </c>
      <c r="AA70" s="234"/>
      <c r="AB70" s="597">
        <f t="shared" si="108"/>
        <v>0</v>
      </c>
      <c r="AC70" s="236">
        <f t="shared" ref="AC70:AC101" si="121">IF(AND(ManualMode=TRUE,NOT(ISBLANK(AA70)),AN70="x"),W70-AA70,W70-X70+Z70)</f>
        <v>0</v>
      </c>
      <c r="AF70" s="762" t="e">
        <f t="shared" si="109"/>
        <v>#N/A</v>
      </c>
      <c r="AG70" s="759" t="e">
        <f t="shared" ref="AG70:AG101" si="122">IF(AB70&gt;0,AB70,NA())</f>
        <v>#N/A</v>
      </c>
      <c r="AH70" s="759">
        <f>IF(J70=0,0,J70-SUM($N$6:N70)-AB69)</f>
        <v>0</v>
      </c>
      <c r="AI70" s="759">
        <f t="shared" ref="AI70:AI101" si="123">IF(AND(AH70&lt;0,B70&lt;=term),1,0)</f>
        <v>0</v>
      </c>
      <c r="AJ70" s="760">
        <f t="shared" si="55"/>
        <v>3.0000000000000001E-3</v>
      </c>
      <c r="AK70" s="760">
        <f t="shared" si="56"/>
        <v>3.0000000000000001E-3</v>
      </c>
      <c r="AN70" s="1" t="b">
        <f t="shared" si="116"/>
        <v>1</v>
      </c>
      <c r="AQ70" s="15">
        <f>IF(J69&gt;1,IF(int_method=2,$AG$229*J69,$AG$229*'Pricing - Advanced'!$E$4),0)</f>
        <v>0</v>
      </c>
      <c r="AR70" s="5">
        <f t="shared" si="110"/>
        <v>0</v>
      </c>
      <c r="AS70" s="204">
        <f t="shared" si="117"/>
        <v>42291</v>
      </c>
      <c r="AT70" s="1">
        <f>IF($AT$4=FALSE,B70*'Pricing - Advanced'!$K$5,AT69+E70-E69)</f>
        <v>1948</v>
      </c>
      <c r="AW70">
        <f t="shared" si="43"/>
        <v>0</v>
      </c>
      <c r="AX70">
        <f t="shared" ref="AX70:AX101" si="124">G70+Z70</f>
        <v>0</v>
      </c>
      <c r="AY70">
        <f t="shared" ref="AY70:AY101" si="125">IF(ManualMode=FALSE,H70+K70,SUM(H70,I70,K70,L70))</f>
        <v>0</v>
      </c>
      <c r="AZ70">
        <f t="shared" ref="AZ70:AZ101" si="126">AY70+IF(ISNUMBER(N70),N70,O70)</f>
        <v>0</v>
      </c>
      <c r="BA70" s="603">
        <f t="shared" si="44"/>
        <v>0</v>
      </c>
      <c r="BB70" s="603">
        <f t="shared" si="45"/>
        <v>0</v>
      </c>
      <c r="BC70" s="5">
        <f t="shared" ref="BC70:BC101" si="127">BB70+X70</f>
        <v>0</v>
      </c>
      <c r="BE70" s="157">
        <f t="shared" ref="BE70:BE101" si="128">B70</f>
        <v>64</v>
      </c>
      <c r="BF70" s="489">
        <f t="shared" si="111"/>
        <v>1948</v>
      </c>
      <c r="BG70" s="146">
        <f t="shared" ref="BG70:BG101" si="129">AW70</f>
        <v>0</v>
      </c>
      <c r="BH70" s="147">
        <f t="shared" ref="BH70:BH101" si="130">AY70</f>
        <v>0</v>
      </c>
      <c r="BI70" s="154" t="e">
        <f t="shared" ref="BI70:BI101" si="131">DH70</f>
        <v>#NUM!</v>
      </c>
      <c r="BJ70" s="277" t="e">
        <f t="shared" si="63"/>
        <v>#NUM!</v>
      </c>
      <c r="BK70" s="147" t="e">
        <f t="shared" si="64"/>
        <v>#NUM!</v>
      </c>
      <c r="BL70" s="132" t="e">
        <f t="shared" si="65"/>
        <v>#NUM!</v>
      </c>
      <c r="BN70" s="497">
        <f t="shared" ref="BN70:BN101" si="132">BE70</f>
        <v>64</v>
      </c>
      <c r="BO70" s="497">
        <f t="shared" ref="BO70:BO101" si="133">BF70</f>
        <v>1948</v>
      </c>
      <c r="BP70">
        <f t="shared" ref="BP70:BP101" si="134">AW70</f>
        <v>0</v>
      </c>
      <c r="BQ70">
        <f t="shared" ref="BQ70:BQ101" si="135">AZ70</f>
        <v>0</v>
      </c>
      <c r="BR70" s="499" t="e">
        <f t="shared" ref="BR70:BR101" si="136">IF($CR$1=1,DJ70,IF($CR$1=2,DL70,DK70))</f>
        <v>#NUM!</v>
      </c>
      <c r="BS70" s="277" t="e">
        <f t="shared" si="60"/>
        <v>#NUM!</v>
      </c>
      <c r="BT70" s="5" t="e">
        <f t="shared" ref="BT70:BT101" si="137">$AW70/BR70</f>
        <v>#NUM!</v>
      </c>
      <c r="BU70" s="5" t="e">
        <f t="shared" ref="BU70:BU101" si="138">$AZ70/BR70</f>
        <v>#NUM!</v>
      </c>
      <c r="BW70" s="5"/>
      <c r="BX70" s="5"/>
      <c r="BY70" s="5"/>
      <c r="BZ70" s="5"/>
      <c r="CA70" s="130" t="e">
        <f t="shared" ref="CA70:CA101" si="139">IF($CR$1=1,DO70,IF($CR$1=2,DQ70,DP70))</f>
        <v>#NUM!</v>
      </c>
      <c r="CB70" s="5"/>
      <c r="CC70" s="5" t="e">
        <f t="shared" ref="CC70:CC101" si="140">$AW70/CA70</f>
        <v>#NUM!</v>
      </c>
      <c r="CD70" s="5" t="e">
        <f t="shared" ref="CD70:CD101" si="141">$BB70/CA70</f>
        <v>#NUM!</v>
      </c>
      <c r="CE70" s="5"/>
      <c r="CI70" s="130">
        <f t="shared" ref="CI70:CI101" si="142">(1+CJ$2)^($B70/$CR$4)</f>
        <v>2.1718725496322313</v>
      </c>
      <c r="CJ70" s="130">
        <f t="shared" ref="CJ70:CJ101" si="143">(1+CJ$2)^($AT70/DaysYr)</f>
        <v>2.1718725496322313</v>
      </c>
      <c r="CK70" s="296">
        <f t="shared" si="112"/>
        <v>2.2919941201394383</v>
      </c>
      <c r="CL70" s="130">
        <f t="shared" ref="CL70:CL101" si="144">IF($CR$1=1,CI70,IF($CR$1=2,CK70,CJ70))</f>
        <v>2.2919941201394383</v>
      </c>
      <c r="CM70" s="5">
        <f t="shared" si="50"/>
        <v>0</v>
      </c>
      <c r="CN70" s="5">
        <f t="shared" ref="CN70:CN101" si="145">BC70/CL70</f>
        <v>0</v>
      </c>
      <c r="DE70" s="130" t="e">
        <f t="shared" ref="DE70:DE101" si="146">(1+DF$3)^($B70/$CR$4)</f>
        <v>#NUM!</v>
      </c>
      <c r="DF70" s="130" t="e">
        <f t="shared" ref="DF70:DF101" si="147">(1+DF$3)^($BF70/DaysYr)</f>
        <v>#NUM!</v>
      </c>
      <c r="DG70" s="130" t="e">
        <f t="shared" si="113"/>
        <v>#NUM!</v>
      </c>
      <c r="DH70" s="130" t="e">
        <f t="shared" ref="DH70:DH101" si="148">IF($CR$1=1,DE70,IF($CR$1=2,DG70,DF70))</f>
        <v>#NUM!</v>
      </c>
      <c r="DJ70" s="130" t="e">
        <f t="shared" ref="DJ70:DJ101" si="149">(1+DK$3)^($B70/$CR$4)</f>
        <v>#NUM!</v>
      </c>
      <c r="DK70" s="130" t="e">
        <f t="shared" ref="DK70:DK101" si="150">(1+DK$3)^($AT70/DaysYr)</f>
        <v>#NUM!</v>
      </c>
      <c r="DL70" s="130" t="e">
        <f t="shared" si="114"/>
        <v>#NUM!</v>
      </c>
      <c r="DO70" s="130" t="e">
        <f t="shared" ref="DO70:DO101" si="151">(1+DP$3)^($B70/$CR$4)</f>
        <v>#NUM!</v>
      </c>
      <c r="DP70" s="130" t="e">
        <f t="shared" ref="DP70:DP101" si="152">(1+DP$3)^($AT70/DaysYr)</f>
        <v>#NUM!</v>
      </c>
      <c r="DQ70" s="130" t="e">
        <f t="shared" si="115"/>
        <v>#NUM!</v>
      </c>
    </row>
    <row r="71" spans="2:121" hidden="1">
      <c r="B71" s="231">
        <v>65</v>
      </c>
      <c r="C71" s="280"/>
      <c r="D71" s="475"/>
      <c r="E71" s="318">
        <f t="shared" ref="E71:E102" si="153">IF(ManualDates="x",IF(NOT(ISBLANK(D71)),D71,IF(C71=0,AS71,E70+C71)),AS71)</f>
        <v>42322</v>
      </c>
      <c r="F71" s="542">
        <f t="shared" si="118"/>
        <v>0</v>
      </c>
      <c r="G71" s="239"/>
      <c r="H71" s="685">
        <f t="shared" ref="H71:H102" si="154">IF(AND(ManualMode=TRUE,NOT(ISBLANK(I71))),"N/A",IF(B71=PrepayPeriod,J70,IF(AND(B71&gt;=FirstPmt,B71&lt;=PrepayPeriod),IF(AND(B71&lt;$AG$228,amortized=1),LoanAmt/$AG$226,-PPMT($AG$229,$B71-FirstPmt+1,$AG$226,LoanAmt)),0)))</f>
        <v>0</v>
      </c>
      <c r="I71" s="234"/>
      <c r="J71" s="597">
        <f t="shared" ref="J71:J102" si="155">IF(AN71&lt;&gt;"x",0,IF(AND(ManualMode=TRUE,NOT(ISBLANK(I71))),J70-I71,IF(J70+G71-H71&gt;1,(J70+G71-H71),0)))</f>
        <v>0</v>
      </c>
      <c r="K71" s="478">
        <f t="shared" ref="K71:K102" si="156">IF(AND(ManualMode=TRUE,NOT(ISBLANK(L71))),"N/A",IF(OR($AH$227&gt;B71,J70&lt;1),0,AR71))</f>
        <v>0</v>
      </c>
      <c r="L71" s="234"/>
      <c r="M71" s="235">
        <f t="shared" ref="M71:M102" si="157">IF(AN71="x",IF(ManualMode=FALSE,-H71-K71,IF(ISBLANK(I71),-H71,-I71)+IF(ISBLANK(L71),-K71,-L71)),0)</f>
        <v>0</v>
      </c>
      <c r="N71" s="479">
        <f t="shared" ref="N71:N102" si="158">IF(OR(ManualMode=FALSE,ISBLANK(O71)),IF(FeeOngoPerc&lt;1,FeeOngoPerc*SUM(H71:I71),IF(J70&gt;1,FeeOngoPerc,0))+IF(FeeOngoFix&lt;1,FeeOngoFix*SUM(H71:I71),IF(J70&gt;1,FeeOngoFix,0)),"N/A")</f>
        <v>0</v>
      </c>
      <c r="O71" s="234"/>
      <c r="P71" s="235">
        <f t="shared" ref="P71:P102" si="159">IF(AND(ManualMode=TRUE,NOT(ISBLANK(O71)),AN71="x"),M71-O71,M71-N71)</f>
        <v>0</v>
      </c>
      <c r="Q71" s="651">
        <f t="shared" ref="Q71:Q102" si="160">IF(J70&gt;0.01,IF(ManualMode=FALSE,SUM(K71,N71),SUM(K71,L71,N71,O71))/J70*(365.25/(AT71-AT70)),0)</f>
        <v>0</v>
      </c>
      <c r="R71" s="479">
        <f>IF(J71&gt;0,IF(OR(ManualMode=FALSE,ISBLANK(S71)),'Pricing - Advanced'!$F$16*J71+'Pricing - Advanced'!$F$17,"N/A"),0)</f>
        <v>0</v>
      </c>
      <c r="S71" s="234"/>
      <c r="T71" s="235">
        <f t="shared" ref="T71:T102" si="161">IF(AND(ManualMode=TRUE,NOT(ISBLANK(S71)),AN71="x"),P71-S71,P71-R71)</f>
        <v>0</v>
      </c>
      <c r="U71" s="599">
        <f>IF(OR(ManualMode=FALSE,ISBLANK(V71)),SUM(K71:L71)*'Pricing - Advanced'!$F$19+SUM(N71,O71)*'Pricing - Advanced'!$F$18,"N/A")</f>
        <v>0</v>
      </c>
      <c r="V71" s="234"/>
      <c r="W71" s="236">
        <f t="shared" ref="W71:W102" si="162">IF(AND(ManualMode=TRUE,NOT(ISBLANK(V71)),AN71="x"),T71-V71,T71-U71)</f>
        <v>0</v>
      </c>
      <c r="X71" s="237">
        <f>'Pricing - Advanced'!$F$20*SUM(H71:I71)+IF(J71&gt;1,'Pricing - Advanced'!$F$21,0)</f>
        <v>0</v>
      </c>
      <c r="Y71" s="688">
        <f>IF(AND(FullTerm&gt;=B71,AB70&gt;0),AB70*'Pricing - Advanced'!$I$128,0)</f>
        <v>0</v>
      </c>
      <c r="Z71" s="233">
        <f t="shared" ref="Z71:Z102" si="163">IF(FullTerm=B71,AB70+X71+Y71,0)</f>
        <v>0</v>
      </c>
      <c r="AA71" s="234"/>
      <c r="AB71" s="597">
        <f t="shared" ref="AB71:AB102" si="164">IF(AND(ManualMode=TRUE,NOT(ISBLANK(AA71)),AN71="x"),AB70+AA71,AB70+X71+Y71-Z71)</f>
        <v>0</v>
      </c>
      <c r="AC71" s="236">
        <f t="shared" si="121"/>
        <v>0</v>
      </c>
      <c r="AF71" s="762" t="e">
        <f t="shared" ref="AF71:AF102" si="165">IF(int_method=1,AF70,IF(J71&gt;0,J71,NA()))</f>
        <v>#N/A</v>
      </c>
      <c r="AG71" s="759" t="e">
        <f t="shared" si="122"/>
        <v>#N/A</v>
      </c>
      <c r="AH71" s="759">
        <f>IF(J71=0,0,J71-SUM($N$6:N71)-AB70)</f>
        <v>0</v>
      </c>
      <c r="AI71" s="759">
        <f t="shared" si="123"/>
        <v>0</v>
      </c>
      <c r="AJ71" s="760">
        <f t="shared" si="55"/>
        <v>3.0000000000000001E-3</v>
      </c>
      <c r="AK71" s="760">
        <f t="shared" si="56"/>
        <v>3.0000000000000001E-3</v>
      </c>
      <c r="AN71" s="1" t="b">
        <f t="shared" si="116"/>
        <v>1</v>
      </c>
      <c r="AQ71" s="15">
        <f>IF(J70&gt;1,IF(int_method=2,$AG$229*J70,$AG$229*'Pricing - Advanced'!$E$4),0)</f>
        <v>0</v>
      </c>
      <c r="AR71" s="5">
        <f t="shared" ref="AR71:AR102" si="166">IF(B71&gt;$AI$233,AQ71,0)+AR70-IF(ManualMode=TRUE,SUM(K70:L70),K70)</f>
        <v>0</v>
      </c>
      <c r="AS71" s="204">
        <f t="shared" si="117"/>
        <v>42322</v>
      </c>
      <c r="AT71" s="1">
        <f>IF($AT$4=FALSE,B71*'Pricing - Advanced'!$K$5,AT70+E71-E70)</f>
        <v>1979</v>
      </c>
      <c r="AW71">
        <f t="shared" ref="AW71:AW102" si="167">G71</f>
        <v>0</v>
      </c>
      <c r="AX71">
        <f t="shared" si="124"/>
        <v>0</v>
      </c>
      <c r="AY71">
        <f t="shared" si="125"/>
        <v>0</v>
      </c>
      <c r="AZ71">
        <f t="shared" si="126"/>
        <v>0</v>
      </c>
      <c r="BA71" s="603">
        <f t="shared" ref="BA71:BA134" si="168">AZ71+IF(ISNUMBER(R71),R71,S71)</f>
        <v>0</v>
      </c>
      <c r="BB71" s="603">
        <f t="shared" ref="BB71:BB134" si="169">BA71+IF(ISNUMBER(U71),U71,V71)</f>
        <v>0</v>
      </c>
      <c r="BC71" s="5">
        <f t="shared" si="127"/>
        <v>0</v>
      </c>
      <c r="BE71" s="157">
        <f t="shared" si="128"/>
        <v>65</v>
      </c>
      <c r="BF71" s="489">
        <f t="shared" ref="BF71:BF102" si="170">E71-$E$6</f>
        <v>1979</v>
      </c>
      <c r="BG71" s="146">
        <f t="shared" si="129"/>
        <v>0</v>
      </c>
      <c r="BH71" s="147">
        <f t="shared" si="130"/>
        <v>0</v>
      </c>
      <c r="BI71" s="154" t="e">
        <f t="shared" si="131"/>
        <v>#NUM!</v>
      </c>
      <c r="BJ71" s="277" t="e">
        <f t="shared" si="63"/>
        <v>#NUM!</v>
      </c>
      <c r="BK71" s="147" t="e">
        <f t="shared" si="64"/>
        <v>#NUM!</v>
      </c>
      <c r="BL71" s="132" t="e">
        <f t="shared" si="65"/>
        <v>#NUM!</v>
      </c>
      <c r="BN71" s="497">
        <f t="shared" si="132"/>
        <v>65</v>
      </c>
      <c r="BO71" s="497">
        <f t="shared" si="133"/>
        <v>1979</v>
      </c>
      <c r="BP71">
        <f t="shared" si="134"/>
        <v>0</v>
      </c>
      <c r="BQ71">
        <f t="shared" si="135"/>
        <v>0</v>
      </c>
      <c r="BR71" s="499" t="e">
        <f t="shared" si="136"/>
        <v>#NUM!</v>
      </c>
      <c r="BS71" s="277" t="e">
        <f t="shared" si="60"/>
        <v>#NUM!</v>
      </c>
      <c r="BT71" s="5" t="e">
        <f t="shared" si="137"/>
        <v>#NUM!</v>
      </c>
      <c r="BU71" s="5" t="e">
        <f t="shared" si="138"/>
        <v>#NUM!</v>
      </c>
      <c r="BW71" s="5"/>
      <c r="BX71" s="5"/>
      <c r="BY71" s="5"/>
      <c r="BZ71" s="5"/>
      <c r="CA71" s="130" t="e">
        <f t="shared" si="139"/>
        <v>#NUM!</v>
      </c>
      <c r="CB71" s="5"/>
      <c r="CC71" s="5" t="e">
        <f t="shared" si="140"/>
        <v>#NUM!</v>
      </c>
      <c r="CD71" s="5" t="e">
        <f t="shared" si="141"/>
        <v>#NUM!</v>
      </c>
      <c r="CE71" s="5"/>
      <c r="CI71" s="130">
        <f t="shared" si="142"/>
        <v>2.1983527083008259</v>
      </c>
      <c r="CJ71" s="130">
        <f t="shared" si="143"/>
        <v>2.1988451010224033</v>
      </c>
      <c r="CK71" s="296">
        <f t="shared" ref="CK71:CK102" si="171">CK70*(1+CJ$2/PeriodsYr)</f>
        <v>2.3218910371041819</v>
      </c>
      <c r="CL71" s="130">
        <f t="shared" si="144"/>
        <v>2.3218910371041819</v>
      </c>
      <c r="CM71" s="5">
        <f t="shared" ref="CM71:CM102" si="172">$AX71/CL71</f>
        <v>0</v>
      </c>
      <c r="CN71" s="5">
        <f t="shared" si="145"/>
        <v>0</v>
      </c>
      <c r="DE71" s="130" t="e">
        <f t="shared" si="146"/>
        <v>#NUM!</v>
      </c>
      <c r="DF71" s="130" t="e">
        <f t="shared" si="147"/>
        <v>#NUM!</v>
      </c>
      <c r="DG71" s="130" t="e">
        <f t="shared" ref="DG71:DG102" si="173">DG70*(1+DF$3/PeriodsYr)</f>
        <v>#NUM!</v>
      </c>
      <c r="DH71" s="130" t="e">
        <f t="shared" si="148"/>
        <v>#NUM!</v>
      </c>
      <c r="DJ71" s="130" t="e">
        <f t="shared" si="149"/>
        <v>#NUM!</v>
      </c>
      <c r="DK71" s="130" t="e">
        <f t="shared" si="150"/>
        <v>#NUM!</v>
      </c>
      <c r="DL71" s="130" t="e">
        <f t="shared" ref="DL71:DL102" si="174">DL70*(1+DK$3/PeriodsYr)</f>
        <v>#NUM!</v>
      </c>
      <c r="DO71" s="130" t="e">
        <f t="shared" si="151"/>
        <v>#NUM!</v>
      </c>
      <c r="DP71" s="130" t="e">
        <f t="shared" si="152"/>
        <v>#NUM!</v>
      </c>
      <c r="DQ71" s="130" t="e">
        <f t="shared" ref="DQ71:DQ102" si="175">DQ70*(1+DP$3/PeriodsYr)</f>
        <v>#NUM!</v>
      </c>
    </row>
    <row r="72" spans="2:121" hidden="1">
      <c r="B72" s="231">
        <v>66</v>
      </c>
      <c r="C72" s="280"/>
      <c r="D72" s="475"/>
      <c r="E72" s="318">
        <f t="shared" si="153"/>
        <v>42352</v>
      </c>
      <c r="F72" s="542">
        <f t="shared" si="118"/>
        <v>0</v>
      </c>
      <c r="G72" s="239"/>
      <c r="H72" s="685">
        <f t="shared" si="154"/>
        <v>0</v>
      </c>
      <c r="I72" s="234"/>
      <c r="J72" s="597">
        <f t="shared" si="155"/>
        <v>0</v>
      </c>
      <c r="K72" s="478">
        <f t="shared" si="156"/>
        <v>0</v>
      </c>
      <c r="L72" s="234"/>
      <c r="M72" s="235">
        <f t="shared" si="157"/>
        <v>0</v>
      </c>
      <c r="N72" s="479">
        <f t="shared" si="158"/>
        <v>0</v>
      </c>
      <c r="O72" s="234"/>
      <c r="P72" s="235">
        <f t="shared" si="159"/>
        <v>0</v>
      </c>
      <c r="Q72" s="651">
        <f t="shared" si="160"/>
        <v>0</v>
      </c>
      <c r="R72" s="479">
        <f>IF(J72&gt;0,IF(OR(ManualMode=FALSE,ISBLANK(S72)),'Pricing - Advanced'!$F$16*J72+'Pricing - Advanced'!$F$17,"N/A"),0)</f>
        <v>0</v>
      </c>
      <c r="S72" s="234"/>
      <c r="T72" s="235">
        <f t="shared" si="161"/>
        <v>0</v>
      </c>
      <c r="U72" s="599">
        <f>IF(OR(ManualMode=FALSE,ISBLANK(V72)),SUM(K72:L72)*'Pricing - Advanced'!$F$19+SUM(N72,O72)*'Pricing - Advanced'!$F$18,"N/A")</f>
        <v>0</v>
      </c>
      <c r="V72" s="234"/>
      <c r="W72" s="236">
        <f t="shared" si="162"/>
        <v>0</v>
      </c>
      <c r="X72" s="237">
        <f>'Pricing - Advanced'!$F$20*SUM(H72:I72)+IF(J72&gt;1,'Pricing - Advanced'!$F$21,0)</f>
        <v>0</v>
      </c>
      <c r="Y72" s="688">
        <f>IF(AND(FullTerm&gt;=B72,AB71&gt;0),AB71*'Pricing - Advanced'!$I$128,0)</f>
        <v>0</v>
      </c>
      <c r="Z72" s="233">
        <f t="shared" si="163"/>
        <v>0</v>
      </c>
      <c r="AA72" s="234"/>
      <c r="AB72" s="597">
        <f t="shared" si="164"/>
        <v>0</v>
      </c>
      <c r="AC72" s="236">
        <f t="shared" si="121"/>
        <v>0</v>
      </c>
      <c r="AF72" s="762" t="e">
        <f t="shared" si="165"/>
        <v>#N/A</v>
      </c>
      <c r="AG72" s="759" t="e">
        <f t="shared" si="122"/>
        <v>#N/A</v>
      </c>
      <c r="AH72" s="759">
        <f>IF(J72=0,0,J72-SUM($N$6:N72)-AB71)</f>
        <v>0</v>
      </c>
      <c r="AI72" s="759">
        <f t="shared" si="123"/>
        <v>0</v>
      </c>
      <c r="AJ72" s="760">
        <f t="shared" ref="AJ72:AJ135" si="176">AJ71+J71*(E72-E71)</f>
        <v>3.0000000000000001E-3</v>
      </c>
      <c r="AK72" s="760">
        <f t="shared" ref="AK72:AK135" si="177">AK71+AH71*(E72-E71)</f>
        <v>3.0000000000000001E-3</v>
      </c>
      <c r="AN72" s="1" t="b">
        <f t="shared" ref="AN72:AN103" si="178">IF(B72&lt;=term,"x",TRUE)</f>
        <v>1</v>
      </c>
      <c r="AQ72" s="15">
        <f>IF(J71&gt;1,IF(int_method=2,$AG$229*J71,$AG$229*'Pricing - Advanced'!$E$4),0)</f>
        <v>0</v>
      </c>
      <c r="AR72" s="5">
        <f t="shared" si="166"/>
        <v>0</v>
      </c>
      <c r="AS72" s="204">
        <f t="shared" ref="AS72:AS103" si="179">IF(SameDay,EDATE(E71,$CR$3),E71+DaysPeriod)</f>
        <v>42352</v>
      </c>
      <c r="AT72" s="1">
        <f>IF($AT$4=FALSE,B72*'Pricing - Advanced'!$K$5,AT71+E72-E71)</f>
        <v>2009</v>
      </c>
      <c r="AW72">
        <f t="shared" si="167"/>
        <v>0</v>
      </c>
      <c r="AX72">
        <f t="shared" si="124"/>
        <v>0</v>
      </c>
      <c r="AY72">
        <f t="shared" si="125"/>
        <v>0</v>
      </c>
      <c r="AZ72">
        <f t="shared" si="126"/>
        <v>0</v>
      </c>
      <c r="BA72" s="603">
        <f t="shared" si="168"/>
        <v>0</v>
      </c>
      <c r="BB72" s="603">
        <f t="shared" si="169"/>
        <v>0</v>
      </c>
      <c r="BC72" s="5">
        <f t="shared" si="127"/>
        <v>0</v>
      </c>
      <c r="BE72" s="157">
        <f t="shared" si="128"/>
        <v>66</v>
      </c>
      <c r="BF72" s="489">
        <f t="shared" si="170"/>
        <v>2009</v>
      </c>
      <c r="BG72" s="146">
        <f t="shared" si="129"/>
        <v>0</v>
      </c>
      <c r="BH72" s="147">
        <f t="shared" si="130"/>
        <v>0</v>
      </c>
      <c r="BI72" s="154" t="e">
        <f t="shared" si="131"/>
        <v>#NUM!</v>
      </c>
      <c r="BJ72" s="277" t="e">
        <f t="shared" si="63"/>
        <v>#NUM!</v>
      </c>
      <c r="BK72" s="147" t="e">
        <f t="shared" si="64"/>
        <v>#NUM!</v>
      </c>
      <c r="BL72" s="132" t="e">
        <f t="shared" si="65"/>
        <v>#NUM!</v>
      </c>
      <c r="BN72" s="497">
        <f t="shared" si="132"/>
        <v>66</v>
      </c>
      <c r="BO72" s="497">
        <f t="shared" si="133"/>
        <v>2009</v>
      </c>
      <c r="BP72">
        <f t="shared" si="134"/>
        <v>0</v>
      </c>
      <c r="BQ72">
        <f t="shared" si="135"/>
        <v>0</v>
      </c>
      <c r="BR72" s="499" t="e">
        <f t="shared" si="136"/>
        <v>#NUM!</v>
      </c>
      <c r="BS72" s="277" t="e">
        <f t="shared" ref="BS72:BS125" si="180">BR72/BR71-1</f>
        <v>#NUM!</v>
      </c>
      <c r="BT72" s="5" t="e">
        <f t="shared" si="137"/>
        <v>#NUM!</v>
      </c>
      <c r="BU72" s="5" t="e">
        <f t="shared" si="138"/>
        <v>#NUM!</v>
      </c>
      <c r="BW72" s="5"/>
      <c r="BX72" s="5"/>
      <c r="BY72" s="5"/>
      <c r="BZ72" s="5"/>
      <c r="CA72" s="130" t="e">
        <f t="shared" si="139"/>
        <v>#NUM!</v>
      </c>
      <c r="CB72" s="5"/>
      <c r="CC72" s="5" t="e">
        <f t="shared" si="140"/>
        <v>#NUM!</v>
      </c>
      <c r="CD72" s="5" t="e">
        <f t="shared" si="141"/>
        <v>#NUM!</v>
      </c>
      <c r="CE72" s="5"/>
      <c r="CI72" s="130">
        <f t="shared" si="142"/>
        <v>2.2251557214588478</v>
      </c>
      <c r="CJ72" s="130">
        <f t="shared" si="143"/>
        <v>2.2252664665084114</v>
      </c>
      <c r="CK72" s="296">
        <f t="shared" si="171"/>
        <v>2.3521779313538334</v>
      </c>
      <c r="CL72" s="130">
        <f t="shared" si="144"/>
        <v>2.3521779313538334</v>
      </c>
      <c r="CM72" s="5">
        <f t="shared" si="172"/>
        <v>0</v>
      </c>
      <c r="CN72" s="5">
        <f t="shared" si="145"/>
        <v>0</v>
      </c>
      <c r="DE72" s="130" t="e">
        <f t="shared" si="146"/>
        <v>#NUM!</v>
      </c>
      <c r="DF72" s="130" t="e">
        <f t="shared" si="147"/>
        <v>#NUM!</v>
      </c>
      <c r="DG72" s="130" t="e">
        <f t="shared" si="173"/>
        <v>#NUM!</v>
      </c>
      <c r="DH72" s="130" t="e">
        <f t="shared" si="148"/>
        <v>#NUM!</v>
      </c>
      <c r="DJ72" s="130" t="e">
        <f t="shared" si="149"/>
        <v>#NUM!</v>
      </c>
      <c r="DK72" s="130" t="e">
        <f t="shared" si="150"/>
        <v>#NUM!</v>
      </c>
      <c r="DL72" s="130" t="e">
        <f t="shared" si="174"/>
        <v>#NUM!</v>
      </c>
      <c r="DO72" s="130" t="e">
        <f t="shared" si="151"/>
        <v>#NUM!</v>
      </c>
      <c r="DP72" s="130" t="e">
        <f t="shared" si="152"/>
        <v>#NUM!</v>
      </c>
      <c r="DQ72" s="130" t="e">
        <f t="shared" si="175"/>
        <v>#NUM!</v>
      </c>
    </row>
    <row r="73" spans="2:121" hidden="1">
      <c r="B73" s="231">
        <v>67</v>
      </c>
      <c r="C73" s="280"/>
      <c r="D73" s="475"/>
      <c r="E73" s="318">
        <f t="shared" si="153"/>
        <v>42383</v>
      </c>
      <c r="F73" s="542">
        <f t="shared" si="118"/>
        <v>0</v>
      </c>
      <c r="G73" s="239"/>
      <c r="H73" s="685">
        <f t="shared" si="154"/>
        <v>0</v>
      </c>
      <c r="I73" s="234"/>
      <c r="J73" s="597">
        <f t="shared" si="155"/>
        <v>0</v>
      </c>
      <c r="K73" s="478">
        <f t="shared" si="156"/>
        <v>0</v>
      </c>
      <c r="L73" s="234"/>
      <c r="M73" s="235">
        <f t="shared" si="157"/>
        <v>0</v>
      </c>
      <c r="N73" s="479">
        <f t="shared" si="158"/>
        <v>0</v>
      </c>
      <c r="O73" s="234"/>
      <c r="P73" s="235">
        <f t="shared" si="159"/>
        <v>0</v>
      </c>
      <c r="Q73" s="651">
        <f t="shared" si="160"/>
        <v>0</v>
      </c>
      <c r="R73" s="479">
        <f>IF(J73&gt;0,IF(OR(ManualMode=FALSE,ISBLANK(S73)),'Pricing - Advanced'!$F$16*J73+'Pricing - Advanced'!$F$17,"N/A"),0)</f>
        <v>0</v>
      </c>
      <c r="S73" s="234"/>
      <c r="T73" s="235">
        <f t="shared" si="161"/>
        <v>0</v>
      </c>
      <c r="U73" s="599">
        <f>IF(OR(ManualMode=FALSE,ISBLANK(V73)),SUM(K73:L73)*'Pricing - Advanced'!$F$19+SUM(N73,O73)*'Pricing - Advanced'!$F$18,"N/A")</f>
        <v>0</v>
      </c>
      <c r="V73" s="234"/>
      <c r="W73" s="236">
        <f t="shared" si="162"/>
        <v>0</v>
      </c>
      <c r="X73" s="237">
        <f>'Pricing - Advanced'!$F$20*SUM(H73:I73)+IF(J73&gt;1,'Pricing - Advanced'!$F$21,0)</f>
        <v>0</v>
      </c>
      <c r="Y73" s="688">
        <f>IF(AND(FullTerm&gt;=B73,AB72&gt;0),AB72*'Pricing - Advanced'!$I$128,0)</f>
        <v>0</v>
      </c>
      <c r="Z73" s="233">
        <f t="shared" si="163"/>
        <v>0</v>
      </c>
      <c r="AA73" s="234"/>
      <c r="AB73" s="597">
        <f t="shared" si="164"/>
        <v>0</v>
      </c>
      <c r="AC73" s="236">
        <f t="shared" si="121"/>
        <v>0</v>
      </c>
      <c r="AF73" s="762" t="e">
        <f t="shared" si="165"/>
        <v>#N/A</v>
      </c>
      <c r="AG73" s="759" t="e">
        <f t="shared" si="122"/>
        <v>#N/A</v>
      </c>
      <c r="AH73" s="759">
        <f>IF(J73=0,0,J73-SUM($N$6:N73)-AB72)</f>
        <v>0</v>
      </c>
      <c r="AI73" s="759">
        <f t="shared" si="123"/>
        <v>0</v>
      </c>
      <c r="AJ73" s="760">
        <f t="shared" si="176"/>
        <v>3.0000000000000001E-3</v>
      </c>
      <c r="AK73" s="760">
        <f t="shared" si="177"/>
        <v>3.0000000000000001E-3</v>
      </c>
      <c r="AN73" s="1" t="b">
        <f t="shared" si="178"/>
        <v>1</v>
      </c>
      <c r="AQ73" s="15">
        <f>IF(J72&gt;1,IF(int_method=2,$AG$229*J72,$AG$229*'Pricing - Advanced'!$E$4),0)</f>
        <v>0</v>
      </c>
      <c r="AR73" s="5">
        <f t="shared" si="166"/>
        <v>0</v>
      </c>
      <c r="AS73" s="204">
        <f t="shared" si="179"/>
        <v>42383</v>
      </c>
      <c r="AT73" s="1">
        <f>IF($AT$4=FALSE,B73*'Pricing - Advanced'!$K$5,AT72+E73-E72)</f>
        <v>2040</v>
      </c>
      <c r="AW73">
        <f t="shared" si="167"/>
        <v>0</v>
      </c>
      <c r="AX73">
        <f t="shared" si="124"/>
        <v>0</v>
      </c>
      <c r="AY73">
        <f t="shared" si="125"/>
        <v>0</v>
      </c>
      <c r="AZ73">
        <f t="shared" si="126"/>
        <v>0</v>
      </c>
      <c r="BA73" s="603">
        <f t="shared" si="168"/>
        <v>0</v>
      </c>
      <c r="BB73" s="603">
        <f t="shared" si="169"/>
        <v>0</v>
      </c>
      <c r="BC73" s="5">
        <f t="shared" si="127"/>
        <v>0</v>
      </c>
      <c r="BE73" s="157">
        <f t="shared" si="128"/>
        <v>67</v>
      </c>
      <c r="BF73" s="489">
        <f t="shared" si="170"/>
        <v>2040</v>
      </c>
      <c r="BG73" s="146">
        <f t="shared" si="129"/>
        <v>0</v>
      </c>
      <c r="BH73" s="147">
        <f t="shared" si="130"/>
        <v>0</v>
      </c>
      <c r="BI73" s="154" t="e">
        <f t="shared" si="131"/>
        <v>#NUM!</v>
      </c>
      <c r="BJ73" s="277" t="e">
        <f t="shared" si="63"/>
        <v>#NUM!</v>
      </c>
      <c r="BK73" s="147" t="e">
        <f t="shared" si="64"/>
        <v>#NUM!</v>
      </c>
      <c r="BL73" s="132" t="e">
        <f t="shared" si="65"/>
        <v>#NUM!</v>
      </c>
      <c r="BN73" s="497">
        <f t="shared" si="132"/>
        <v>67</v>
      </c>
      <c r="BO73" s="497">
        <f t="shared" si="133"/>
        <v>2040</v>
      </c>
      <c r="BP73">
        <f t="shared" si="134"/>
        <v>0</v>
      </c>
      <c r="BQ73">
        <f t="shared" si="135"/>
        <v>0</v>
      </c>
      <c r="BR73" s="499" t="e">
        <f t="shared" si="136"/>
        <v>#NUM!</v>
      </c>
      <c r="BS73" s="277" t="e">
        <f t="shared" si="180"/>
        <v>#NUM!</v>
      </c>
      <c r="BT73" s="5" t="e">
        <f t="shared" si="137"/>
        <v>#NUM!</v>
      </c>
      <c r="BU73" s="5" t="e">
        <f t="shared" si="138"/>
        <v>#NUM!</v>
      </c>
      <c r="BW73" s="5"/>
      <c r="BX73" s="5"/>
      <c r="BY73" s="5"/>
      <c r="BZ73" s="5"/>
      <c r="CA73" s="130" t="e">
        <f t="shared" si="139"/>
        <v>#NUM!</v>
      </c>
      <c r="CB73" s="5"/>
      <c r="CC73" s="5" t="e">
        <f t="shared" si="140"/>
        <v>#NUM!</v>
      </c>
      <c r="CD73" s="5" t="e">
        <f t="shared" si="141"/>
        <v>#NUM!</v>
      </c>
      <c r="CE73" s="5"/>
      <c r="CI73" s="130">
        <f t="shared" si="142"/>
        <v>2.2522855254505867</v>
      </c>
      <c r="CJ73" s="130">
        <f t="shared" si="143"/>
        <v>2.2529021185796565</v>
      </c>
      <c r="CK73" s="296">
        <f t="shared" si="171"/>
        <v>2.3828598897768809</v>
      </c>
      <c r="CL73" s="130">
        <f t="shared" si="144"/>
        <v>2.3828598897768809</v>
      </c>
      <c r="CM73" s="5">
        <f t="shared" si="172"/>
        <v>0</v>
      </c>
      <c r="CN73" s="5">
        <f t="shared" si="145"/>
        <v>0</v>
      </c>
      <c r="DE73" s="130" t="e">
        <f t="shared" si="146"/>
        <v>#NUM!</v>
      </c>
      <c r="DF73" s="130" t="e">
        <f t="shared" si="147"/>
        <v>#NUM!</v>
      </c>
      <c r="DG73" s="130" t="e">
        <f t="shared" si="173"/>
        <v>#NUM!</v>
      </c>
      <c r="DH73" s="130" t="e">
        <f t="shared" si="148"/>
        <v>#NUM!</v>
      </c>
      <c r="DJ73" s="130" t="e">
        <f t="shared" si="149"/>
        <v>#NUM!</v>
      </c>
      <c r="DK73" s="130" t="e">
        <f t="shared" si="150"/>
        <v>#NUM!</v>
      </c>
      <c r="DL73" s="130" t="e">
        <f t="shared" si="174"/>
        <v>#NUM!</v>
      </c>
      <c r="DO73" s="130" t="e">
        <f t="shared" si="151"/>
        <v>#NUM!</v>
      </c>
      <c r="DP73" s="130" t="e">
        <f t="shared" si="152"/>
        <v>#NUM!</v>
      </c>
      <c r="DQ73" s="130" t="e">
        <f t="shared" si="175"/>
        <v>#NUM!</v>
      </c>
    </row>
    <row r="74" spans="2:121" hidden="1">
      <c r="B74" s="231">
        <v>68</v>
      </c>
      <c r="C74" s="280"/>
      <c r="D74" s="475"/>
      <c r="E74" s="318">
        <f t="shared" si="153"/>
        <v>42414</v>
      </c>
      <c r="F74" s="542">
        <f t="shared" si="118"/>
        <v>0</v>
      </c>
      <c r="G74" s="239"/>
      <c r="H74" s="685">
        <f t="shared" si="154"/>
        <v>0</v>
      </c>
      <c r="I74" s="234"/>
      <c r="J74" s="597">
        <f t="shared" si="155"/>
        <v>0</v>
      </c>
      <c r="K74" s="478">
        <f t="shared" si="156"/>
        <v>0</v>
      </c>
      <c r="L74" s="234"/>
      <c r="M74" s="235">
        <f t="shared" si="157"/>
        <v>0</v>
      </c>
      <c r="N74" s="479">
        <f t="shared" si="158"/>
        <v>0</v>
      </c>
      <c r="O74" s="234"/>
      <c r="P74" s="235">
        <f t="shared" si="159"/>
        <v>0</v>
      </c>
      <c r="Q74" s="651">
        <f t="shared" si="160"/>
        <v>0</v>
      </c>
      <c r="R74" s="479">
        <f>IF(J74&gt;0,IF(OR(ManualMode=FALSE,ISBLANK(S74)),'Pricing - Advanced'!$F$16*J74+'Pricing - Advanced'!$F$17,"N/A"),0)</f>
        <v>0</v>
      </c>
      <c r="S74" s="234"/>
      <c r="T74" s="235">
        <f t="shared" si="161"/>
        <v>0</v>
      </c>
      <c r="U74" s="599">
        <f>IF(OR(ManualMode=FALSE,ISBLANK(V74)),SUM(K74:L74)*'Pricing - Advanced'!$F$19+SUM(N74,O74)*'Pricing - Advanced'!$F$18,"N/A")</f>
        <v>0</v>
      </c>
      <c r="V74" s="234"/>
      <c r="W74" s="236">
        <f t="shared" si="162"/>
        <v>0</v>
      </c>
      <c r="X74" s="237">
        <f>'Pricing - Advanced'!$F$20*SUM(H74:I74)+IF(J74&gt;1,'Pricing - Advanced'!$F$21,0)</f>
        <v>0</v>
      </c>
      <c r="Y74" s="688">
        <f>IF(AND(FullTerm&gt;=B74,AB73&gt;0),AB73*'Pricing - Advanced'!$I$128,0)</f>
        <v>0</v>
      </c>
      <c r="Z74" s="233">
        <f t="shared" si="163"/>
        <v>0</v>
      </c>
      <c r="AA74" s="234"/>
      <c r="AB74" s="597">
        <f t="shared" si="164"/>
        <v>0</v>
      </c>
      <c r="AC74" s="236">
        <f t="shared" si="121"/>
        <v>0</v>
      </c>
      <c r="AF74" s="762" t="e">
        <f t="shared" si="165"/>
        <v>#N/A</v>
      </c>
      <c r="AG74" s="759" t="e">
        <f t="shared" si="122"/>
        <v>#N/A</v>
      </c>
      <c r="AH74" s="759">
        <f>IF(J74=0,0,J74-SUM($N$6:N74)-AB73)</f>
        <v>0</v>
      </c>
      <c r="AI74" s="759">
        <f t="shared" si="123"/>
        <v>0</v>
      </c>
      <c r="AJ74" s="760">
        <f t="shared" si="176"/>
        <v>3.0000000000000001E-3</v>
      </c>
      <c r="AK74" s="760">
        <f t="shared" si="177"/>
        <v>3.0000000000000001E-3</v>
      </c>
      <c r="AN74" s="1" t="b">
        <f t="shared" si="178"/>
        <v>1</v>
      </c>
      <c r="AQ74" s="15">
        <f>IF(J73&gt;1,IF(int_method=2,$AG$229*J73,$AG$229*'Pricing - Advanced'!$E$4),0)</f>
        <v>0</v>
      </c>
      <c r="AR74" s="5">
        <f t="shared" si="166"/>
        <v>0</v>
      </c>
      <c r="AS74" s="204">
        <f t="shared" si="179"/>
        <v>42414</v>
      </c>
      <c r="AT74" s="1">
        <f>IF($AT$4=FALSE,B74*'Pricing - Advanced'!$K$5,AT73+E74-E73)</f>
        <v>2071</v>
      </c>
      <c r="AW74">
        <f t="shared" si="167"/>
        <v>0</v>
      </c>
      <c r="AX74">
        <f t="shared" si="124"/>
        <v>0</v>
      </c>
      <c r="AY74">
        <f t="shared" si="125"/>
        <v>0</v>
      </c>
      <c r="AZ74">
        <f t="shared" si="126"/>
        <v>0</v>
      </c>
      <c r="BA74" s="603">
        <f t="shared" si="168"/>
        <v>0</v>
      </c>
      <c r="BB74" s="603">
        <f t="shared" si="169"/>
        <v>0</v>
      </c>
      <c r="BC74" s="5">
        <f t="shared" si="127"/>
        <v>0</v>
      </c>
      <c r="BE74" s="157">
        <f t="shared" si="128"/>
        <v>68</v>
      </c>
      <c r="BF74" s="489">
        <f t="shared" si="170"/>
        <v>2071</v>
      </c>
      <c r="BG74" s="146">
        <f t="shared" si="129"/>
        <v>0</v>
      </c>
      <c r="BH74" s="147">
        <f t="shared" si="130"/>
        <v>0</v>
      </c>
      <c r="BI74" s="154" t="e">
        <f t="shared" si="131"/>
        <v>#NUM!</v>
      </c>
      <c r="BJ74" s="277" t="e">
        <f t="shared" si="63"/>
        <v>#NUM!</v>
      </c>
      <c r="BK74" s="147" t="e">
        <f t="shared" si="64"/>
        <v>#NUM!</v>
      </c>
      <c r="BL74" s="132" t="e">
        <f t="shared" si="65"/>
        <v>#NUM!</v>
      </c>
      <c r="BN74" s="497">
        <f t="shared" si="132"/>
        <v>68</v>
      </c>
      <c r="BO74" s="497">
        <f t="shared" si="133"/>
        <v>2071</v>
      </c>
      <c r="BP74">
        <f t="shared" si="134"/>
        <v>0</v>
      </c>
      <c r="BQ74">
        <f t="shared" si="135"/>
        <v>0</v>
      </c>
      <c r="BR74" s="499" t="e">
        <f t="shared" si="136"/>
        <v>#NUM!</v>
      </c>
      <c r="BS74" s="277" t="e">
        <f t="shared" si="180"/>
        <v>#NUM!</v>
      </c>
      <c r="BT74" s="5" t="e">
        <f t="shared" si="137"/>
        <v>#NUM!</v>
      </c>
      <c r="BU74" s="5" t="e">
        <f t="shared" si="138"/>
        <v>#NUM!</v>
      </c>
      <c r="BW74" s="5"/>
      <c r="BX74" s="5"/>
      <c r="BY74" s="5"/>
      <c r="BZ74" s="5"/>
      <c r="CA74" s="130" t="e">
        <f t="shared" si="139"/>
        <v>#NUM!</v>
      </c>
      <c r="CB74" s="5"/>
      <c r="CC74" s="5" t="e">
        <f t="shared" si="140"/>
        <v>#NUM!</v>
      </c>
      <c r="CD74" s="5" t="e">
        <f t="shared" si="141"/>
        <v>#NUM!</v>
      </c>
      <c r="CE74" s="5"/>
      <c r="CI74" s="130">
        <f t="shared" si="142"/>
        <v>2.2797461046134888</v>
      </c>
      <c r="CJ74" s="130">
        <f t="shared" si="143"/>
        <v>2.2808809786562785</v>
      </c>
      <c r="CK74" s="296">
        <f t="shared" si="171"/>
        <v>2.4139420656155099</v>
      </c>
      <c r="CL74" s="130">
        <f t="shared" si="144"/>
        <v>2.4139420656155099</v>
      </c>
      <c r="CM74" s="5">
        <f t="shared" si="172"/>
        <v>0</v>
      </c>
      <c r="CN74" s="5">
        <f t="shared" si="145"/>
        <v>0</v>
      </c>
      <c r="DE74" s="130" t="e">
        <f t="shared" si="146"/>
        <v>#NUM!</v>
      </c>
      <c r="DF74" s="130" t="e">
        <f t="shared" si="147"/>
        <v>#NUM!</v>
      </c>
      <c r="DG74" s="130" t="e">
        <f t="shared" si="173"/>
        <v>#NUM!</v>
      </c>
      <c r="DH74" s="130" t="e">
        <f t="shared" si="148"/>
        <v>#NUM!</v>
      </c>
      <c r="DJ74" s="130" t="e">
        <f t="shared" si="149"/>
        <v>#NUM!</v>
      </c>
      <c r="DK74" s="130" t="e">
        <f t="shared" si="150"/>
        <v>#NUM!</v>
      </c>
      <c r="DL74" s="130" t="e">
        <f t="shared" si="174"/>
        <v>#NUM!</v>
      </c>
      <c r="DO74" s="130" t="e">
        <f t="shared" si="151"/>
        <v>#NUM!</v>
      </c>
      <c r="DP74" s="130" t="e">
        <f t="shared" si="152"/>
        <v>#NUM!</v>
      </c>
      <c r="DQ74" s="130" t="e">
        <f t="shared" si="175"/>
        <v>#NUM!</v>
      </c>
    </row>
    <row r="75" spans="2:121" hidden="1">
      <c r="B75" s="231">
        <v>69</v>
      </c>
      <c r="C75" s="280"/>
      <c r="D75" s="475"/>
      <c r="E75" s="318">
        <f t="shared" si="153"/>
        <v>42443</v>
      </c>
      <c r="F75" s="542">
        <f t="shared" si="118"/>
        <v>0</v>
      </c>
      <c r="G75" s="239"/>
      <c r="H75" s="685">
        <f t="shared" si="154"/>
        <v>0</v>
      </c>
      <c r="I75" s="234"/>
      <c r="J75" s="597">
        <f t="shared" si="155"/>
        <v>0</v>
      </c>
      <c r="K75" s="478">
        <f t="shared" si="156"/>
        <v>0</v>
      </c>
      <c r="L75" s="234"/>
      <c r="M75" s="235">
        <f t="shared" si="157"/>
        <v>0</v>
      </c>
      <c r="N75" s="479">
        <f t="shared" si="158"/>
        <v>0</v>
      </c>
      <c r="O75" s="234"/>
      <c r="P75" s="235">
        <f t="shared" si="159"/>
        <v>0</v>
      </c>
      <c r="Q75" s="651">
        <f t="shared" si="160"/>
        <v>0</v>
      </c>
      <c r="R75" s="479">
        <f>IF(J75&gt;0,IF(OR(ManualMode=FALSE,ISBLANK(S75)),'Pricing - Advanced'!$F$16*J75+'Pricing - Advanced'!$F$17,"N/A"),0)</f>
        <v>0</v>
      </c>
      <c r="S75" s="234"/>
      <c r="T75" s="235">
        <f t="shared" si="161"/>
        <v>0</v>
      </c>
      <c r="U75" s="599">
        <f>IF(OR(ManualMode=FALSE,ISBLANK(V75)),SUM(K75:L75)*'Pricing - Advanced'!$F$19+SUM(N75,O75)*'Pricing - Advanced'!$F$18,"N/A")</f>
        <v>0</v>
      </c>
      <c r="V75" s="234"/>
      <c r="W75" s="236">
        <f t="shared" si="162"/>
        <v>0</v>
      </c>
      <c r="X75" s="237">
        <f>'Pricing - Advanced'!$F$20*SUM(H75:I75)+IF(J75&gt;1,'Pricing - Advanced'!$F$21,0)</f>
        <v>0</v>
      </c>
      <c r="Y75" s="688">
        <f>IF(AND(FullTerm&gt;=B75,AB74&gt;0),AB74*'Pricing - Advanced'!$I$128,0)</f>
        <v>0</v>
      </c>
      <c r="Z75" s="233">
        <f t="shared" si="163"/>
        <v>0</v>
      </c>
      <c r="AA75" s="234"/>
      <c r="AB75" s="597">
        <f t="shared" si="164"/>
        <v>0</v>
      </c>
      <c r="AC75" s="236">
        <f t="shared" si="121"/>
        <v>0</v>
      </c>
      <c r="AF75" s="762" t="e">
        <f t="shared" si="165"/>
        <v>#N/A</v>
      </c>
      <c r="AG75" s="759" t="e">
        <f t="shared" si="122"/>
        <v>#N/A</v>
      </c>
      <c r="AH75" s="759">
        <f>IF(J75=0,0,J75-SUM($N$6:N75)-AB74)</f>
        <v>0</v>
      </c>
      <c r="AI75" s="759">
        <f t="shared" si="123"/>
        <v>0</v>
      </c>
      <c r="AJ75" s="760">
        <f t="shared" si="176"/>
        <v>3.0000000000000001E-3</v>
      </c>
      <c r="AK75" s="760">
        <f t="shared" si="177"/>
        <v>3.0000000000000001E-3</v>
      </c>
      <c r="AN75" s="1" t="b">
        <f t="shared" si="178"/>
        <v>1</v>
      </c>
      <c r="AQ75" s="15">
        <f>IF(J74&gt;1,IF(int_method=2,$AG$229*J74,$AG$229*'Pricing - Advanced'!$E$4),0)</f>
        <v>0</v>
      </c>
      <c r="AR75" s="5">
        <f t="shared" si="166"/>
        <v>0</v>
      </c>
      <c r="AS75" s="204">
        <f t="shared" si="179"/>
        <v>42443</v>
      </c>
      <c r="AT75" s="1">
        <f>IF($AT$4=FALSE,B75*'Pricing - Advanced'!$K$5,AT74+E75-E74)</f>
        <v>2100</v>
      </c>
      <c r="AW75">
        <f t="shared" si="167"/>
        <v>0</v>
      </c>
      <c r="AX75">
        <f t="shared" si="124"/>
        <v>0</v>
      </c>
      <c r="AY75">
        <f t="shared" si="125"/>
        <v>0</v>
      </c>
      <c r="AZ75">
        <f t="shared" si="126"/>
        <v>0</v>
      </c>
      <c r="BA75" s="603">
        <f t="shared" si="168"/>
        <v>0</v>
      </c>
      <c r="BB75" s="603">
        <f t="shared" si="169"/>
        <v>0</v>
      </c>
      <c r="BC75" s="5">
        <f t="shared" si="127"/>
        <v>0</v>
      </c>
      <c r="BE75" s="157">
        <f t="shared" si="128"/>
        <v>69</v>
      </c>
      <c r="BF75" s="489">
        <f t="shared" si="170"/>
        <v>2100</v>
      </c>
      <c r="BG75" s="146">
        <f t="shared" si="129"/>
        <v>0</v>
      </c>
      <c r="BH75" s="147">
        <f t="shared" si="130"/>
        <v>0</v>
      </c>
      <c r="BI75" s="154" t="e">
        <f t="shared" si="131"/>
        <v>#NUM!</v>
      </c>
      <c r="BJ75" s="277" t="e">
        <f t="shared" si="63"/>
        <v>#NUM!</v>
      </c>
      <c r="BK75" s="147" t="e">
        <f t="shared" si="64"/>
        <v>#NUM!</v>
      </c>
      <c r="BL75" s="132" t="e">
        <f t="shared" si="65"/>
        <v>#NUM!</v>
      </c>
      <c r="BN75" s="497">
        <f t="shared" si="132"/>
        <v>69</v>
      </c>
      <c r="BO75" s="497">
        <f t="shared" si="133"/>
        <v>2100</v>
      </c>
      <c r="BP75">
        <f t="shared" si="134"/>
        <v>0</v>
      </c>
      <c r="BQ75">
        <f t="shared" si="135"/>
        <v>0</v>
      </c>
      <c r="BR75" s="499" t="e">
        <f t="shared" si="136"/>
        <v>#NUM!</v>
      </c>
      <c r="BS75" s="277" t="e">
        <f t="shared" si="180"/>
        <v>#NUM!</v>
      </c>
      <c r="BT75" s="5" t="e">
        <f t="shared" si="137"/>
        <v>#NUM!</v>
      </c>
      <c r="BU75" s="5" t="e">
        <f t="shared" si="138"/>
        <v>#NUM!</v>
      </c>
      <c r="BW75" s="5"/>
      <c r="BX75" s="5"/>
      <c r="BY75" s="5"/>
      <c r="BZ75" s="5"/>
      <c r="CA75" s="130" t="e">
        <f t="shared" si="139"/>
        <v>#NUM!</v>
      </c>
      <c r="CB75" s="5"/>
      <c r="CC75" s="5" t="e">
        <f t="shared" si="140"/>
        <v>#NUM!</v>
      </c>
      <c r="CD75" s="5" t="e">
        <f t="shared" si="141"/>
        <v>#NUM!</v>
      </c>
      <c r="CE75" s="5"/>
      <c r="CI75" s="130">
        <f t="shared" si="142"/>
        <v>2.3075414918633053</v>
      </c>
      <c r="CJ75" s="130">
        <f t="shared" si="143"/>
        <v>2.3073692345485792</v>
      </c>
      <c r="CK75" s="296">
        <f t="shared" si="171"/>
        <v>2.4454296793311237</v>
      </c>
      <c r="CL75" s="130">
        <f t="shared" si="144"/>
        <v>2.4454296793311237</v>
      </c>
      <c r="CM75" s="5">
        <f t="shared" si="172"/>
        <v>0</v>
      </c>
      <c r="CN75" s="5">
        <f t="shared" si="145"/>
        <v>0</v>
      </c>
      <c r="DE75" s="130" t="e">
        <f t="shared" si="146"/>
        <v>#NUM!</v>
      </c>
      <c r="DF75" s="130" t="e">
        <f t="shared" si="147"/>
        <v>#NUM!</v>
      </c>
      <c r="DG75" s="130" t="e">
        <f t="shared" si="173"/>
        <v>#NUM!</v>
      </c>
      <c r="DH75" s="130" t="e">
        <f t="shared" si="148"/>
        <v>#NUM!</v>
      </c>
      <c r="DJ75" s="130" t="e">
        <f t="shared" si="149"/>
        <v>#NUM!</v>
      </c>
      <c r="DK75" s="130" t="e">
        <f t="shared" si="150"/>
        <v>#NUM!</v>
      </c>
      <c r="DL75" s="130" t="e">
        <f t="shared" si="174"/>
        <v>#NUM!</v>
      </c>
      <c r="DO75" s="130" t="e">
        <f t="shared" si="151"/>
        <v>#NUM!</v>
      </c>
      <c r="DP75" s="130" t="e">
        <f t="shared" si="152"/>
        <v>#NUM!</v>
      </c>
      <c r="DQ75" s="130" t="e">
        <f t="shared" si="175"/>
        <v>#NUM!</v>
      </c>
    </row>
    <row r="76" spans="2:121" hidden="1">
      <c r="B76" s="231">
        <v>70</v>
      </c>
      <c r="C76" s="280"/>
      <c r="D76" s="475"/>
      <c r="E76" s="318">
        <f t="shared" si="153"/>
        <v>42474</v>
      </c>
      <c r="F76" s="542">
        <f t="shared" si="118"/>
        <v>0</v>
      </c>
      <c r="G76" s="239"/>
      <c r="H76" s="685">
        <f t="shared" si="154"/>
        <v>0</v>
      </c>
      <c r="I76" s="234"/>
      <c r="J76" s="597">
        <f t="shared" si="155"/>
        <v>0</v>
      </c>
      <c r="K76" s="478">
        <f t="shared" si="156"/>
        <v>0</v>
      </c>
      <c r="L76" s="234"/>
      <c r="M76" s="235">
        <f t="shared" si="157"/>
        <v>0</v>
      </c>
      <c r="N76" s="479">
        <f t="shared" si="158"/>
        <v>0</v>
      </c>
      <c r="O76" s="234"/>
      <c r="P76" s="235">
        <f t="shared" si="159"/>
        <v>0</v>
      </c>
      <c r="Q76" s="651">
        <f t="shared" si="160"/>
        <v>0</v>
      </c>
      <c r="R76" s="479">
        <f>IF(J76&gt;0,IF(OR(ManualMode=FALSE,ISBLANK(S76)),'Pricing - Advanced'!$F$16*J76+'Pricing - Advanced'!$F$17,"N/A"),0)</f>
        <v>0</v>
      </c>
      <c r="S76" s="234"/>
      <c r="T76" s="235">
        <f t="shared" si="161"/>
        <v>0</v>
      </c>
      <c r="U76" s="599">
        <f>IF(OR(ManualMode=FALSE,ISBLANK(V76)),SUM(K76:L76)*'Pricing - Advanced'!$F$19+SUM(N76,O76)*'Pricing - Advanced'!$F$18,"N/A")</f>
        <v>0</v>
      </c>
      <c r="V76" s="234"/>
      <c r="W76" s="236">
        <f t="shared" si="162"/>
        <v>0</v>
      </c>
      <c r="X76" s="237">
        <f>'Pricing - Advanced'!$F$20*SUM(H76:I76)+IF(J76&gt;1,'Pricing - Advanced'!$F$21,0)</f>
        <v>0</v>
      </c>
      <c r="Y76" s="688">
        <f>IF(AND(FullTerm&gt;=B76,AB75&gt;0),AB75*'Pricing - Advanced'!$I$128,0)</f>
        <v>0</v>
      </c>
      <c r="Z76" s="233">
        <f t="shared" si="163"/>
        <v>0</v>
      </c>
      <c r="AA76" s="234"/>
      <c r="AB76" s="597">
        <f t="shared" si="164"/>
        <v>0</v>
      </c>
      <c r="AC76" s="236">
        <f t="shared" si="121"/>
        <v>0</v>
      </c>
      <c r="AF76" s="762" t="e">
        <f t="shared" si="165"/>
        <v>#N/A</v>
      </c>
      <c r="AG76" s="759" t="e">
        <f t="shared" si="122"/>
        <v>#N/A</v>
      </c>
      <c r="AH76" s="759">
        <f>IF(J76=0,0,J76-SUM($N$6:N76)-AB75)</f>
        <v>0</v>
      </c>
      <c r="AI76" s="759">
        <f t="shared" si="123"/>
        <v>0</v>
      </c>
      <c r="AJ76" s="760">
        <f t="shared" si="176"/>
        <v>3.0000000000000001E-3</v>
      </c>
      <c r="AK76" s="760">
        <f t="shared" si="177"/>
        <v>3.0000000000000001E-3</v>
      </c>
      <c r="AN76" s="1" t="b">
        <f t="shared" si="178"/>
        <v>1</v>
      </c>
      <c r="AQ76" s="15">
        <f>IF(J75&gt;1,IF(int_method=2,$AG$229*J75,$AG$229*'Pricing - Advanced'!$E$4),0)</f>
        <v>0</v>
      </c>
      <c r="AR76" s="5">
        <f t="shared" si="166"/>
        <v>0</v>
      </c>
      <c r="AS76" s="204">
        <f t="shared" si="179"/>
        <v>42474</v>
      </c>
      <c r="AT76" s="1">
        <f>IF($AT$4=FALSE,B76*'Pricing - Advanced'!$K$5,AT75+E76-E75)</f>
        <v>2131</v>
      </c>
      <c r="AW76">
        <f t="shared" si="167"/>
        <v>0</v>
      </c>
      <c r="AX76">
        <f t="shared" si="124"/>
        <v>0</v>
      </c>
      <c r="AY76">
        <f t="shared" si="125"/>
        <v>0</v>
      </c>
      <c r="AZ76">
        <f t="shared" si="126"/>
        <v>0</v>
      </c>
      <c r="BA76" s="603">
        <f t="shared" si="168"/>
        <v>0</v>
      </c>
      <c r="BB76" s="603">
        <f t="shared" si="169"/>
        <v>0</v>
      </c>
      <c r="BC76" s="5">
        <f t="shared" si="127"/>
        <v>0</v>
      </c>
      <c r="BE76" s="157">
        <f t="shared" si="128"/>
        <v>70</v>
      </c>
      <c r="BF76" s="489">
        <f t="shared" si="170"/>
        <v>2131</v>
      </c>
      <c r="BG76" s="146">
        <f t="shared" si="129"/>
        <v>0</v>
      </c>
      <c r="BH76" s="147">
        <f t="shared" si="130"/>
        <v>0</v>
      </c>
      <c r="BI76" s="154" t="e">
        <f t="shared" si="131"/>
        <v>#NUM!</v>
      </c>
      <c r="BJ76" s="277" t="e">
        <f t="shared" si="63"/>
        <v>#NUM!</v>
      </c>
      <c r="BK76" s="147" t="e">
        <f t="shared" si="64"/>
        <v>#NUM!</v>
      </c>
      <c r="BL76" s="132" t="e">
        <f t="shared" si="65"/>
        <v>#NUM!</v>
      </c>
      <c r="BN76" s="497">
        <f t="shared" si="132"/>
        <v>70</v>
      </c>
      <c r="BO76" s="497">
        <f t="shared" si="133"/>
        <v>2131</v>
      </c>
      <c r="BP76">
        <f t="shared" si="134"/>
        <v>0</v>
      </c>
      <c r="BQ76">
        <f t="shared" si="135"/>
        <v>0</v>
      </c>
      <c r="BR76" s="499" t="e">
        <f t="shared" si="136"/>
        <v>#NUM!</v>
      </c>
      <c r="BS76" s="277" t="e">
        <f t="shared" si="180"/>
        <v>#NUM!</v>
      </c>
      <c r="BT76" s="5" t="e">
        <f t="shared" si="137"/>
        <v>#NUM!</v>
      </c>
      <c r="BU76" s="5" t="e">
        <f t="shared" si="138"/>
        <v>#NUM!</v>
      </c>
      <c r="BW76" s="5"/>
      <c r="BX76" s="5"/>
      <c r="BY76" s="5"/>
      <c r="BZ76" s="5"/>
      <c r="CA76" s="130" t="e">
        <f t="shared" si="139"/>
        <v>#NUM!</v>
      </c>
      <c r="CB76" s="5"/>
      <c r="CC76" s="5" t="e">
        <f t="shared" si="140"/>
        <v>#NUM!</v>
      </c>
      <c r="CD76" s="5" t="e">
        <f t="shared" si="141"/>
        <v>#NUM!</v>
      </c>
      <c r="CE76" s="5"/>
      <c r="CI76" s="130">
        <f t="shared" si="142"/>
        <v>2.3356757692863757</v>
      </c>
      <c r="CJ76" s="130">
        <f t="shared" si="143"/>
        <v>2.3360245233985175</v>
      </c>
      <c r="CK76" s="296">
        <f t="shared" si="171"/>
        <v>2.4773280194811562</v>
      </c>
      <c r="CL76" s="130">
        <f t="shared" si="144"/>
        <v>2.4773280194811562</v>
      </c>
      <c r="CM76" s="5">
        <f t="shared" si="172"/>
        <v>0</v>
      </c>
      <c r="CN76" s="5">
        <f t="shared" si="145"/>
        <v>0</v>
      </c>
      <c r="DE76" s="130" t="e">
        <f t="shared" si="146"/>
        <v>#NUM!</v>
      </c>
      <c r="DF76" s="130" t="e">
        <f t="shared" si="147"/>
        <v>#NUM!</v>
      </c>
      <c r="DG76" s="130" t="e">
        <f t="shared" si="173"/>
        <v>#NUM!</v>
      </c>
      <c r="DH76" s="130" t="e">
        <f t="shared" si="148"/>
        <v>#NUM!</v>
      </c>
      <c r="DJ76" s="130" t="e">
        <f t="shared" si="149"/>
        <v>#NUM!</v>
      </c>
      <c r="DK76" s="130" t="e">
        <f t="shared" si="150"/>
        <v>#NUM!</v>
      </c>
      <c r="DL76" s="130" t="e">
        <f t="shared" si="174"/>
        <v>#NUM!</v>
      </c>
      <c r="DO76" s="130" t="e">
        <f t="shared" si="151"/>
        <v>#NUM!</v>
      </c>
      <c r="DP76" s="130" t="e">
        <f t="shared" si="152"/>
        <v>#NUM!</v>
      </c>
      <c r="DQ76" s="130" t="e">
        <f t="shared" si="175"/>
        <v>#NUM!</v>
      </c>
    </row>
    <row r="77" spans="2:121" hidden="1">
      <c r="B77" s="231">
        <v>71</v>
      </c>
      <c r="C77" s="280"/>
      <c r="D77" s="475"/>
      <c r="E77" s="318">
        <f t="shared" si="153"/>
        <v>42504</v>
      </c>
      <c r="F77" s="542">
        <f t="shared" si="118"/>
        <v>0</v>
      </c>
      <c r="G77" s="239"/>
      <c r="H77" s="685">
        <f t="shared" si="154"/>
        <v>0</v>
      </c>
      <c r="I77" s="234"/>
      <c r="J77" s="597">
        <f t="shared" si="155"/>
        <v>0</v>
      </c>
      <c r="K77" s="478">
        <f t="shared" si="156"/>
        <v>0</v>
      </c>
      <c r="L77" s="234"/>
      <c r="M77" s="235">
        <f t="shared" si="157"/>
        <v>0</v>
      </c>
      <c r="N77" s="479">
        <f t="shared" si="158"/>
        <v>0</v>
      </c>
      <c r="O77" s="234"/>
      <c r="P77" s="235">
        <f t="shared" si="159"/>
        <v>0</v>
      </c>
      <c r="Q77" s="651">
        <f t="shared" si="160"/>
        <v>0</v>
      </c>
      <c r="R77" s="479">
        <f>IF(J77&gt;0,IF(OR(ManualMode=FALSE,ISBLANK(S77)),'Pricing - Advanced'!$F$16*J77+'Pricing - Advanced'!$F$17,"N/A"),0)</f>
        <v>0</v>
      </c>
      <c r="S77" s="234"/>
      <c r="T77" s="235">
        <f t="shared" si="161"/>
        <v>0</v>
      </c>
      <c r="U77" s="599">
        <f>IF(OR(ManualMode=FALSE,ISBLANK(V77)),SUM(K77:L77)*'Pricing - Advanced'!$F$19+SUM(N77,O77)*'Pricing - Advanced'!$F$18,"N/A")</f>
        <v>0</v>
      </c>
      <c r="V77" s="234"/>
      <c r="W77" s="236">
        <f t="shared" si="162"/>
        <v>0</v>
      </c>
      <c r="X77" s="237">
        <f>'Pricing - Advanced'!$F$20*SUM(H77:I77)+IF(J77&gt;1,'Pricing - Advanced'!$F$21,0)</f>
        <v>0</v>
      </c>
      <c r="Y77" s="688">
        <f>IF(AND(FullTerm&gt;=B77,AB76&gt;0),AB76*'Pricing - Advanced'!$I$128,0)</f>
        <v>0</v>
      </c>
      <c r="Z77" s="233">
        <f t="shared" si="163"/>
        <v>0</v>
      </c>
      <c r="AA77" s="234"/>
      <c r="AB77" s="597">
        <f t="shared" si="164"/>
        <v>0</v>
      </c>
      <c r="AC77" s="236">
        <f t="shared" si="121"/>
        <v>0</v>
      </c>
      <c r="AF77" s="762" t="e">
        <f t="shared" si="165"/>
        <v>#N/A</v>
      </c>
      <c r="AG77" s="759" t="e">
        <f t="shared" si="122"/>
        <v>#N/A</v>
      </c>
      <c r="AH77" s="759">
        <f>IF(J77=0,0,J77-SUM($N$6:N77)-AB76)</f>
        <v>0</v>
      </c>
      <c r="AI77" s="759">
        <f t="shared" si="123"/>
        <v>0</v>
      </c>
      <c r="AJ77" s="760">
        <f t="shared" si="176"/>
        <v>3.0000000000000001E-3</v>
      </c>
      <c r="AK77" s="760">
        <f t="shared" si="177"/>
        <v>3.0000000000000001E-3</v>
      </c>
      <c r="AN77" s="1" t="b">
        <f t="shared" si="178"/>
        <v>1</v>
      </c>
      <c r="AQ77" s="15">
        <f>IF(J76&gt;1,IF(int_method=2,$AG$229*J76,$AG$229*'Pricing - Advanced'!$E$4),0)</f>
        <v>0</v>
      </c>
      <c r="AR77" s="5">
        <f t="shared" si="166"/>
        <v>0</v>
      </c>
      <c r="AS77" s="204">
        <f t="shared" si="179"/>
        <v>42504</v>
      </c>
      <c r="AT77" s="1">
        <f>IF($AT$4=FALSE,B77*'Pricing - Advanced'!$K$5,AT76+E77-E76)</f>
        <v>2161</v>
      </c>
      <c r="AW77">
        <f t="shared" si="167"/>
        <v>0</v>
      </c>
      <c r="AX77">
        <f t="shared" si="124"/>
        <v>0</v>
      </c>
      <c r="AY77">
        <f t="shared" si="125"/>
        <v>0</v>
      </c>
      <c r="AZ77">
        <f t="shared" si="126"/>
        <v>0</v>
      </c>
      <c r="BA77" s="603">
        <f t="shared" si="168"/>
        <v>0</v>
      </c>
      <c r="BB77" s="603">
        <f t="shared" si="169"/>
        <v>0</v>
      </c>
      <c r="BC77" s="5">
        <f t="shared" si="127"/>
        <v>0</v>
      </c>
      <c r="BE77" s="157">
        <f t="shared" si="128"/>
        <v>71</v>
      </c>
      <c r="BF77" s="489">
        <f t="shared" si="170"/>
        <v>2161</v>
      </c>
      <c r="BG77" s="146">
        <f t="shared" si="129"/>
        <v>0</v>
      </c>
      <c r="BH77" s="147">
        <f t="shared" si="130"/>
        <v>0</v>
      </c>
      <c r="BI77" s="154" t="e">
        <f t="shared" si="131"/>
        <v>#NUM!</v>
      </c>
      <c r="BJ77" s="277" t="e">
        <f t="shared" si="63"/>
        <v>#NUM!</v>
      </c>
      <c r="BK77" s="147" t="e">
        <f t="shared" si="64"/>
        <v>#NUM!</v>
      </c>
      <c r="BL77" s="132" t="e">
        <f t="shared" si="65"/>
        <v>#NUM!</v>
      </c>
      <c r="BN77" s="497">
        <f t="shared" si="132"/>
        <v>71</v>
      </c>
      <c r="BO77" s="497">
        <f t="shared" si="133"/>
        <v>2161</v>
      </c>
      <c r="BP77">
        <f t="shared" si="134"/>
        <v>0</v>
      </c>
      <c r="BQ77">
        <f t="shared" si="135"/>
        <v>0</v>
      </c>
      <c r="BR77" s="499" t="e">
        <f t="shared" si="136"/>
        <v>#NUM!</v>
      </c>
      <c r="BS77" s="277" t="e">
        <f t="shared" si="180"/>
        <v>#NUM!</v>
      </c>
      <c r="BT77" s="5" t="e">
        <f t="shared" si="137"/>
        <v>#NUM!</v>
      </c>
      <c r="BU77" s="5" t="e">
        <f t="shared" si="138"/>
        <v>#NUM!</v>
      </c>
      <c r="BW77" s="5"/>
      <c r="BX77" s="5"/>
      <c r="BY77" s="5"/>
      <c r="BZ77" s="5"/>
      <c r="CA77" s="130" t="e">
        <f t="shared" si="139"/>
        <v>#NUM!</v>
      </c>
      <c r="CB77" s="5"/>
      <c r="CC77" s="5" t="e">
        <f t="shared" si="140"/>
        <v>#NUM!</v>
      </c>
      <c r="CD77" s="5" t="e">
        <f t="shared" si="141"/>
        <v>#NUM!</v>
      </c>
      <c r="CE77" s="5"/>
      <c r="CI77" s="130">
        <f t="shared" si="142"/>
        <v>2.3641530687391303</v>
      </c>
      <c r="CJ77" s="130">
        <f t="shared" si="143"/>
        <v>2.3640942394909752</v>
      </c>
      <c r="CK77" s="296">
        <f t="shared" si="171"/>
        <v>2.5096424436073206</v>
      </c>
      <c r="CL77" s="130">
        <f t="shared" si="144"/>
        <v>2.5096424436073206</v>
      </c>
      <c r="CM77" s="5">
        <f t="shared" si="172"/>
        <v>0</v>
      </c>
      <c r="CN77" s="5">
        <f t="shared" si="145"/>
        <v>0</v>
      </c>
      <c r="DE77" s="130" t="e">
        <f t="shared" si="146"/>
        <v>#NUM!</v>
      </c>
      <c r="DF77" s="130" t="e">
        <f t="shared" si="147"/>
        <v>#NUM!</v>
      </c>
      <c r="DG77" s="130" t="e">
        <f t="shared" si="173"/>
        <v>#NUM!</v>
      </c>
      <c r="DH77" s="130" t="e">
        <f t="shared" si="148"/>
        <v>#NUM!</v>
      </c>
      <c r="DJ77" s="130" t="e">
        <f t="shared" si="149"/>
        <v>#NUM!</v>
      </c>
      <c r="DK77" s="130" t="e">
        <f t="shared" si="150"/>
        <v>#NUM!</v>
      </c>
      <c r="DL77" s="130" t="e">
        <f t="shared" si="174"/>
        <v>#NUM!</v>
      </c>
      <c r="DO77" s="130" t="e">
        <f t="shared" si="151"/>
        <v>#NUM!</v>
      </c>
      <c r="DP77" s="130" t="e">
        <f t="shared" si="152"/>
        <v>#NUM!</v>
      </c>
      <c r="DQ77" s="130" t="e">
        <f t="shared" si="175"/>
        <v>#NUM!</v>
      </c>
    </row>
    <row r="78" spans="2:121" hidden="1">
      <c r="B78" s="231">
        <v>72</v>
      </c>
      <c r="C78" s="280"/>
      <c r="D78" s="475"/>
      <c r="E78" s="318">
        <f t="shared" si="153"/>
        <v>42535</v>
      </c>
      <c r="F78" s="542">
        <f t="shared" si="118"/>
        <v>0</v>
      </c>
      <c r="G78" s="239"/>
      <c r="H78" s="685">
        <f t="shared" si="154"/>
        <v>0</v>
      </c>
      <c r="I78" s="234"/>
      <c r="J78" s="597">
        <f t="shared" si="155"/>
        <v>0</v>
      </c>
      <c r="K78" s="478">
        <f t="shared" si="156"/>
        <v>0</v>
      </c>
      <c r="L78" s="234"/>
      <c r="M78" s="235">
        <f t="shared" si="157"/>
        <v>0</v>
      </c>
      <c r="N78" s="479">
        <f t="shared" si="158"/>
        <v>0</v>
      </c>
      <c r="O78" s="234"/>
      <c r="P78" s="235">
        <f t="shared" si="159"/>
        <v>0</v>
      </c>
      <c r="Q78" s="651">
        <f t="shared" si="160"/>
        <v>0</v>
      </c>
      <c r="R78" s="479">
        <f>IF(J78&gt;0,IF(OR(ManualMode=FALSE,ISBLANK(S78)),'Pricing - Advanced'!$F$16*J78+'Pricing - Advanced'!$F$17,"N/A"),0)</f>
        <v>0</v>
      </c>
      <c r="S78" s="234"/>
      <c r="T78" s="235">
        <f t="shared" si="161"/>
        <v>0</v>
      </c>
      <c r="U78" s="599">
        <f>IF(OR(ManualMode=FALSE,ISBLANK(V78)),SUM(K78:L78)*'Pricing - Advanced'!$F$19+SUM(N78,O78)*'Pricing - Advanced'!$F$18,"N/A")</f>
        <v>0</v>
      </c>
      <c r="V78" s="234"/>
      <c r="W78" s="236">
        <f t="shared" si="162"/>
        <v>0</v>
      </c>
      <c r="X78" s="237">
        <f>'Pricing - Advanced'!$F$20*SUM(H78:I78)+IF(J78&gt;1,'Pricing - Advanced'!$F$21,0)</f>
        <v>0</v>
      </c>
      <c r="Y78" s="688">
        <f>IF(AND(FullTerm&gt;=B78,AB77&gt;0),AB77*'Pricing - Advanced'!$I$128,0)</f>
        <v>0</v>
      </c>
      <c r="Z78" s="233">
        <f t="shared" si="163"/>
        <v>0</v>
      </c>
      <c r="AA78" s="234"/>
      <c r="AB78" s="597">
        <f t="shared" si="164"/>
        <v>0</v>
      </c>
      <c r="AC78" s="236">
        <f t="shared" si="121"/>
        <v>0</v>
      </c>
      <c r="AF78" s="762" t="e">
        <f t="shared" si="165"/>
        <v>#N/A</v>
      </c>
      <c r="AG78" s="759" t="e">
        <f t="shared" si="122"/>
        <v>#N/A</v>
      </c>
      <c r="AH78" s="759">
        <f>IF(J78=0,0,J78-SUM($N$6:N78)-AB77)</f>
        <v>0</v>
      </c>
      <c r="AI78" s="759">
        <f t="shared" si="123"/>
        <v>0</v>
      </c>
      <c r="AJ78" s="760">
        <f t="shared" si="176"/>
        <v>3.0000000000000001E-3</v>
      </c>
      <c r="AK78" s="760">
        <f t="shared" si="177"/>
        <v>3.0000000000000001E-3</v>
      </c>
      <c r="AN78" s="1" t="b">
        <f t="shared" si="178"/>
        <v>1</v>
      </c>
      <c r="AQ78" s="15">
        <f>IF(J77&gt;1,IF(int_method=2,$AG$229*J77,$AG$229*'Pricing - Advanced'!$E$4),0)</f>
        <v>0</v>
      </c>
      <c r="AR78" s="5">
        <f t="shared" si="166"/>
        <v>0</v>
      </c>
      <c r="AS78" s="204">
        <f t="shared" si="179"/>
        <v>42535</v>
      </c>
      <c r="AT78" s="1">
        <f>IF($AT$4=FALSE,B78*'Pricing - Advanced'!$K$5,AT77+E78-E77)</f>
        <v>2192</v>
      </c>
      <c r="AW78">
        <f t="shared" si="167"/>
        <v>0</v>
      </c>
      <c r="AX78">
        <f t="shared" si="124"/>
        <v>0</v>
      </c>
      <c r="AY78">
        <f t="shared" si="125"/>
        <v>0</v>
      </c>
      <c r="AZ78">
        <f t="shared" si="126"/>
        <v>0</v>
      </c>
      <c r="BA78" s="603">
        <f t="shared" si="168"/>
        <v>0</v>
      </c>
      <c r="BB78" s="603">
        <f t="shared" si="169"/>
        <v>0</v>
      </c>
      <c r="BC78" s="5">
        <f t="shared" si="127"/>
        <v>0</v>
      </c>
      <c r="BE78" s="157">
        <f t="shared" si="128"/>
        <v>72</v>
      </c>
      <c r="BF78" s="489">
        <f t="shared" si="170"/>
        <v>2192</v>
      </c>
      <c r="BG78" s="146">
        <f t="shared" si="129"/>
        <v>0</v>
      </c>
      <c r="BH78" s="147">
        <f t="shared" si="130"/>
        <v>0</v>
      </c>
      <c r="BI78" s="154" t="e">
        <f t="shared" si="131"/>
        <v>#NUM!</v>
      </c>
      <c r="BJ78" s="277" t="e">
        <f t="shared" si="63"/>
        <v>#NUM!</v>
      </c>
      <c r="BK78" s="147" t="e">
        <f t="shared" si="64"/>
        <v>#NUM!</v>
      </c>
      <c r="BL78" s="132" t="e">
        <f t="shared" si="65"/>
        <v>#NUM!</v>
      </c>
      <c r="BN78" s="497">
        <f t="shared" si="132"/>
        <v>72</v>
      </c>
      <c r="BO78" s="497">
        <f t="shared" si="133"/>
        <v>2192</v>
      </c>
      <c r="BP78">
        <f t="shared" si="134"/>
        <v>0</v>
      </c>
      <c r="BQ78">
        <f t="shared" si="135"/>
        <v>0</v>
      </c>
      <c r="BR78" s="499" t="e">
        <f t="shared" si="136"/>
        <v>#NUM!</v>
      </c>
      <c r="BS78" s="277" t="e">
        <f t="shared" si="180"/>
        <v>#NUM!</v>
      </c>
      <c r="BT78" s="5" t="e">
        <f t="shared" si="137"/>
        <v>#NUM!</v>
      </c>
      <c r="BU78" s="5" t="e">
        <f t="shared" si="138"/>
        <v>#NUM!</v>
      </c>
      <c r="BW78" s="5"/>
      <c r="BX78" s="5"/>
      <c r="BY78" s="5"/>
      <c r="BZ78" s="5"/>
      <c r="CA78" s="130" t="e">
        <f t="shared" si="139"/>
        <v>#NUM!</v>
      </c>
      <c r="CB78" s="5"/>
      <c r="CC78" s="5" t="e">
        <f t="shared" si="140"/>
        <v>#NUM!</v>
      </c>
      <c r="CD78" s="5" t="e">
        <f t="shared" si="141"/>
        <v>#NUM!</v>
      </c>
      <c r="CE78" s="5"/>
      <c r="CI78" s="130">
        <f t="shared" si="142"/>
        <v>2.3929775724549014</v>
      </c>
      <c r="CJ78" s="130">
        <f t="shared" si="143"/>
        <v>2.3934539979062088</v>
      </c>
      <c r="CK78" s="296">
        <f t="shared" si="171"/>
        <v>2.5423783791354446</v>
      </c>
      <c r="CL78" s="130">
        <f t="shared" si="144"/>
        <v>2.5423783791354446</v>
      </c>
      <c r="CM78" s="5">
        <f t="shared" si="172"/>
        <v>0</v>
      </c>
      <c r="CN78" s="5">
        <f t="shared" si="145"/>
        <v>0</v>
      </c>
      <c r="DE78" s="130" t="e">
        <f t="shared" si="146"/>
        <v>#NUM!</v>
      </c>
      <c r="DF78" s="130" t="e">
        <f t="shared" si="147"/>
        <v>#NUM!</v>
      </c>
      <c r="DG78" s="130" t="e">
        <f t="shared" si="173"/>
        <v>#NUM!</v>
      </c>
      <c r="DH78" s="130" t="e">
        <f t="shared" si="148"/>
        <v>#NUM!</v>
      </c>
      <c r="DJ78" s="130" t="e">
        <f t="shared" si="149"/>
        <v>#NUM!</v>
      </c>
      <c r="DK78" s="130" t="e">
        <f t="shared" si="150"/>
        <v>#NUM!</v>
      </c>
      <c r="DL78" s="130" t="e">
        <f t="shared" si="174"/>
        <v>#NUM!</v>
      </c>
      <c r="DO78" s="130" t="e">
        <f t="shared" si="151"/>
        <v>#NUM!</v>
      </c>
      <c r="DP78" s="130" t="e">
        <f t="shared" si="152"/>
        <v>#NUM!</v>
      </c>
      <c r="DQ78" s="130" t="e">
        <f t="shared" si="175"/>
        <v>#NUM!</v>
      </c>
    </row>
    <row r="79" spans="2:121" hidden="1">
      <c r="B79" s="231">
        <v>73</v>
      </c>
      <c r="C79" s="280"/>
      <c r="D79" s="475"/>
      <c r="E79" s="318">
        <f t="shared" si="153"/>
        <v>42565</v>
      </c>
      <c r="F79" s="542">
        <f t="shared" si="118"/>
        <v>0</v>
      </c>
      <c r="G79" s="239"/>
      <c r="H79" s="685">
        <f t="shared" si="154"/>
        <v>0</v>
      </c>
      <c r="I79" s="234"/>
      <c r="J79" s="597">
        <f t="shared" si="155"/>
        <v>0</v>
      </c>
      <c r="K79" s="478">
        <f t="shared" si="156"/>
        <v>0</v>
      </c>
      <c r="L79" s="234"/>
      <c r="M79" s="235">
        <f t="shared" si="157"/>
        <v>0</v>
      </c>
      <c r="N79" s="479">
        <f t="shared" si="158"/>
        <v>0</v>
      </c>
      <c r="O79" s="234"/>
      <c r="P79" s="235">
        <f t="shared" si="159"/>
        <v>0</v>
      </c>
      <c r="Q79" s="651">
        <f t="shared" si="160"/>
        <v>0</v>
      </c>
      <c r="R79" s="479">
        <f>IF(J79&gt;0,IF(OR(ManualMode=FALSE,ISBLANK(S79)),'Pricing - Advanced'!$F$16*J79+'Pricing - Advanced'!$F$17,"N/A"),0)</f>
        <v>0</v>
      </c>
      <c r="S79" s="234"/>
      <c r="T79" s="235">
        <f t="shared" si="161"/>
        <v>0</v>
      </c>
      <c r="U79" s="599">
        <f>IF(OR(ManualMode=FALSE,ISBLANK(V79)),SUM(K79:L79)*'Pricing - Advanced'!$F$19+SUM(N79,O79)*'Pricing - Advanced'!$F$18,"N/A")</f>
        <v>0</v>
      </c>
      <c r="V79" s="234"/>
      <c r="W79" s="236">
        <f t="shared" si="162"/>
        <v>0</v>
      </c>
      <c r="X79" s="237">
        <f>'Pricing - Advanced'!$F$20*SUM(H79:I79)+IF(J79&gt;1,'Pricing - Advanced'!$F$21,0)</f>
        <v>0</v>
      </c>
      <c r="Y79" s="688">
        <f>IF(AND(FullTerm&gt;=B79,AB78&gt;0),AB78*'Pricing - Advanced'!$I$128,0)</f>
        <v>0</v>
      </c>
      <c r="Z79" s="233">
        <f t="shared" si="163"/>
        <v>0</v>
      </c>
      <c r="AA79" s="234"/>
      <c r="AB79" s="597">
        <f t="shared" si="164"/>
        <v>0</v>
      </c>
      <c r="AC79" s="236">
        <f t="shared" si="121"/>
        <v>0</v>
      </c>
      <c r="AF79" s="762" t="e">
        <f t="shared" si="165"/>
        <v>#N/A</v>
      </c>
      <c r="AG79" s="759" t="e">
        <f t="shared" si="122"/>
        <v>#N/A</v>
      </c>
      <c r="AH79" s="759">
        <f>IF(J79=0,0,J79-SUM($N$6:N79)-AB78)</f>
        <v>0</v>
      </c>
      <c r="AI79" s="759">
        <f t="shared" si="123"/>
        <v>0</v>
      </c>
      <c r="AJ79" s="760">
        <f t="shared" si="176"/>
        <v>3.0000000000000001E-3</v>
      </c>
      <c r="AK79" s="760">
        <f t="shared" si="177"/>
        <v>3.0000000000000001E-3</v>
      </c>
      <c r="AN79" s="1" t="b">
        <f t="shared" si="178"/>
        <v>1</v>
      </c>
      <c r="AQ79" s="15">
        <f>IF(J78&gt;1,IF(int_method=2,$AG$229*J78,$AG$229*'Pricing - Advanced'!$E$4),0)</f>
        <v>0</v>
      </c>
      <c r="AR79" s="5">
        <f t="shared" si="166"/>
        <v>0</v>
      </c>
      <c r="AS79" s="204">
        <f t="shared" si="179"/>
        <v>42565</v>
      </c>
      <c r="AT79" s="1">
        <f>IF($AT$4=FALSE,B79*'Pricing - Advanced'!$K$5,AT78+E79-E78)</f>
        <v>2222</v>
      </c>
      <c r="AW79">
        <f t="shared" si="167"/>
        <v>0</v>
      </c>
      <c r="AX79">
        <f t="shared" si="124"/>
        <v>0</v>
      </c>
      <c r="AY79">
        <f t="shared" si="125"/>
        <v>0</v>
      </c>
      <c r="AZ79">
        <f t="shared" si="126"/>
        <v>0</v>
      </c>
      <c r="BA79" s="603">
        <f t="shared" si="168"/>
        <v>0</v>
      </c>
      <c r="BB79" s="603">
        <f t="shared" si="169"/>
        <v>0</v>
      </c>
      <c r="BC79" s="5">
        <f t="shared" si="127"/>
        <v>0</v>
      </c>
      <c r="BE79" s="157">
        <f t="shared" si="128"/>
        <v>73</v>
      </c>
      <c r="BF79" s="489">
        <f t="shared" si="170"/>
        <v>2222</v>
      </c>
      <c r="BG79" s="146">
        <f t="shared" si="129"/>
        <v>0</v>
      </c>
      <c r="BH79" s="147">
        <f t="shared" si="130"/>
        <v>0</v>
      </c>
      <c r="BI79" s="154" t="e">
        <f t="shared" si="131"/>
        <v>#NUM!</v>
      </c>
      <c r="BJ79" s="277" t="e">
        <f t="shared" si="63"/>
        <v>#NUM!</v>
      </c>
      <c r="BK79" s="147" t="e">
        <f t="shared" si="64"/>
        <v>#NUM!</v>
      </c>
      <c r="BL79" s="132" t="e">
        <f t="shared" si="65"/>
        <v>#NUM!</v>
      </c>
      <c r="BN79" s="497">
        <f t="shared" si="132"/>
        <v>73</v>
      </c>
      <c r="BO79" s="497">
        <f t="shared" si="133"/>
        <v>2222</v>
      </c>
      <c r="BP79">
        <f t="shared" si="134"/>
        <v>0</v>
      </c>
      <c r="BQ79">
        <f t="shared" si="135"/>
        <v>0</v>
      </c>
      <c r="BR79" s="499" t="e">
        <f t="shared" si="136"/>
        <v>#NUM!</v>
      </c>
      <c r="BS79" s="277" t="e">
        <f t="shared" si="180"/>
        <v>#NUM!</v>
      </c>
      <c r="BT79" s="5" t="e">
        <f t="shared" si="137"/>
        <v>#NUM!</v>
      </c>
      <c r="BU79" s="5" t="e">
        <f t="shared" si="138"/>
        <v>#NUM!</v>
      </c>
      <c r="BW79" s="5"/>
      <c r="BX79" s="5"/>
      <c r="BY79" s="5"/>
      <c r="BZ79" s="5"/>
      <c r="CA79" s="130" t="e">
        <f t="shared" si="139"/>
        <v>#NUM!</v>
      </c>
      <c r="CB79" s="5"/>
      <c r="CC79" s="5" t="e">
        <f t="shared" si="140"/>
        <v>#NUM!</v>
      </c>
      <c r="CD79" s="5" t="e">
        <f t="shared" si="141"/>
        <v>#NUM!</v>
      </c>
      <c r="CE79" s="5"/>
      <c r="CI79" s="130">
        <f t="shared" si="142"/>
        <v>2.422153513658138</v>
      </c>
      <c r="CJ79" s="130">
        <f t="shared" si="143"/>
        <v>2.4222137876809517</v>
      </c>
      <c r="CK79" s="296">
        <f t="shared" si="171"/>
        <v>2.5755413242870437</v>
      </c>
      <c r="CL79" s="130">
        <f t="shared" si="144"/>
        <v>2.5755413242870437</v>
      </c>
      <c r="CM79" s="5">
        <f t="shared" si="172"/>
        <v>0</v>
      </c>
      <c r="CN79" s="5">
        <f t="shared" si="145"/>
        <v>0</v>
      </c>
      <c r="DE79" s="130" t="e">
        <f t="shared" si="146"/>
        <v>#NUM!</v>
      </c>
      <c r="DF79" s="130" t="e">
        <f t="shared" si="147"/>
        <v>#NUM!</v>
      </c>
      <c r="DG79" s="130" t="e">
        <f t="shared" si="173"/>
        <v>#NUM!</v>
      </c>
      <c r="DH79" s="130" t="e">
        <f t="shared" si="148"/>
        <v>#NUM!</v>
      </c>
      <c r="DJ79" s="130" t="e">
        <f t="shared" si="149"/>
        <v>#NUM!</v>
      </c>
      <c r="DK79" s="130" t="e">
        <f t="shared" si="150"/>
        <v>#NUM!</v>
      </c>
      <c r="DL79" s="130" t="e">
        <f t="shared" si="174"/>
        <v>#NUM!</v>
      </c>
      <c r="DO79" s="130" t="e">
        <f t="shared" si="151"/>
        <v>#NUM!</v>
      </c>
      <c r="DP79" s="130" t="e">
        <f t="shared" si="152"/>
        <v>#NUM!</v>
      </c>
      <c r="DQ79" s="130" t="e">
        <f t="shared" si="175"/>
        <v>#NUM!</v>
      </c>
    </row>
    <row r="80" spans="2:121" hidden="1">
      <c r="B80" s="231">
        <v>74</v>
      </c>
      <c r="C80" s="280"/>
      <c r="D80" s="475"/>
      <c r="E80" s="318">
        <f t="shared" si="153"/>
        <v>42596</v>
      </c>
      <c r="F80" s="542">
        <f t="shared" si="118"/>
        <v>0</v>
      </c>
      <c r="G80" s="239"/>
      <c r="H80" s="685">
        <f t="shared" si="154"/>
        <v>0</v>
      </c>
      <c r="I80" s="234"/>
      <c r="J80" s="597">
        <f t="shared" si="155"/>
        <v>0</v>
      </c>
      <c r="K80" s="478">
        <f t="shared" si="156"/>
        <v>0</v>
      </c>
      <c r="L80" s="234"/>
      <c r="M80" s="235">
        <f t="shared" si="157"/>
        <v>0</v>
      </c>
      <c r="N80" s="479">
        <f t="shared" si="158"/>
        <v>0</v>
      </c>
      <c r="O80" s="234"/>
      <c r="P80" s="235">
        <f t="shared" si="159"/>
        <v>0</v>
      </c>
      <c r="Q80" s="651">
        <f t="shared" si="160"/>
        <v>0</v>
      </c>
      <c r="R80" s="479">
        <f>IF(J80&gt;0,IF(OR(ManualMode=FALSE,ISBLANK(S80)),'Pricing - Advanced'!$F$16*J80+'Pricing - Advanced'!$F$17,"N/A"),0)</f>
        <v>0</v>
      </c>
      <c r="S80" s="234"/>
      <c r="T80" s="235">
        <f t="shared" si="161"/>
        <v>0</v>
      </c>
      <c r="U80" s="599">
        <f>IF(OR(ManualMode=FALSE,ISBLANK(V80)),SUM(K80:L80)*'Pricing - Advanced'!$F$19+SUM(N80,O80)*'Pricing - Advanced'!$F$18,"N/A")</f>
        <v>0</v>
      </c>
      <c r="V80" s="234"/>
      <c r="W80" s="236">
        <f t="shared" si="162"/>
        <v>0</v>
      </c>
      <c r="X80" s="237">
        <f>'Pricing - Advanced'!$F$20*SUM(H80:I80)+IF(J80&gt;1,'Pricing - Advanced'!$F$21,0)</f>
        <v>0</v>
      </c>
      <c r="Y80" s="688">
        <f>IF(AND(FullTerm&gt;=B80,AB79&gt;0),AB79*'Pricing - Advanced'!$I$128,0)</f>
        <v>0</v>
      </c>
      <c r="Z80" s="233">
        <f t="shared" si="163"/>
        <v>0</v>
      </c>
      <c r="AA80" s="234"/>
      <c r="AB80" s="597">
        <f t="shared" si="164"/>
        <v>0</v>
      </c>
      <c r="AC80" s="236">
        <f t="shared" si="121"/>
        <v>0</v>
      </c>
      <c r="AF80" s="762" t="e">
        <f t="shared" si="165"/>
        <v>#N/A</v>
      </c>
      <c r="AG80" s="759" t="e">
        <f t="shared" si="122"/>
        <v>#N/A</v>
      </c>
      <c r="AH80" s="759">
        <f>IF(J80=0,0,J80-SUM($N$6:N80)-AB79)</f>
        <v>0</v>
      </c>
      <c r="AI80" s="759">
        <f t="shared" si="123"/>
        <v>0</v>
      </c>
      <c r="AJ80" s="760">
        <f t="shared" si="176"/>
        <v>3.0000000000000001E-3</v>
      </c>
      <c r="AK80" s="760">
        <f t="shared" si="177"/>
        <v>3.0000000000000001E-3</v>
      </c>
      <c r="AN80" s="1" t="b">
        <f t="shared" si="178"/>
        <v>1</v>
      </c>
      <c r="AQ80" s="15">
        <f>IF(J79&gt;1,IF(int_method=2,$AG$229*J79,$AG$229*'Pricing - Advanced'!$E$4),0)</f>
        <v>0</v>
      </c>
      <c r="AR80" s="5">
        <f t="shared" si="166"/>
        <v>0</v>
      </c>
      <c r="AS80" s="204">
        <f t="shared" si="179"/>
        <v>42596</v>
      </c>
      <c r="AT80" s="1">
        <f>IF($AT$4=FALSE,B80*'Pricing - Advanced'!$K$5,AT79+E80-E79)</f>
        <v>2253</v>
      </c>
      <c r="AW80">
        <f t="shared" si="167"/>
        <v>0</v>
      </c>
      <c r="AX80">
        <f t="shared" si="124"/>
        <v>0</v>
      </c>
      <c r="AY80">
        <f t="shared" si="125"/>
        <v>0</v>
      </c>
      <c r="AZ80">
        <f t="shared" si="126"/>
        <v>0</v>
      </c>
      <c r="BA80" s="603">
        <f t="shared" si="168"/>
        <v>0</v>
      </c>
      <c r="BB80" s="603">
        <f t="shared" si="169"/>
        <v>0</v>
      </c>
      <c r="BC80" s="5">
        <f t="shared" si="127"/>
        <v>0</v>
      </c>
      <c r="BE80" s="157">
        <f t="shared" si="128"/>
        <v>74</v>
      </c>
      <c r="BF80" s="489">
        <f t="shared" si="170"/>
        <v>2253</v>
      </c>
      <c r="BG80" s="146">
        <f t="shared" si="129"/>
        <v>0</v>
      </c>
      <c r="BH80" s="147">
        <f t="shared" si="130"/>
        <v>0</v>
      </c>
      <c r="BI80" s="154" t="e">
        <f t="shared" si="131"/>
        <v>#NUM!</v>
      </c>
      <c r="BJ80" s="277" t="e">
        <f t="shared" si="63"/>
        <v>#NUM!</v>
      </c>
      <c r="BK80" s="147" t="e">
        <f t="shared" si="64"/>
        <v>#NUM!</v>
      </c>
      <c r="BL80" s="132" t="e">
        <f t="shared" si="65"/>
        <v>#NUM!</v>
      </c>
      <c r="BN80" s="497">
        <f t="shared" si="132"/>
        <v>74</v>
      </c>
      <c r="BO80" s="497">
        <f t="shared" si="133"/>
        <v>2253</v>
      </c>
      <c r="BP80">
        <f t="shared" si="134"/>
        <v>0</v>
      </c>
      <c r="BQ80">
        <f t="shared" si="135"/>
        <v>0</v>
      </c>
      <c r="BR80" s="499" t="e">
        <f t="shared" si="136"/>
        <v>#NUM!</v>
      </c>
      <c r="BS80" s="277" t="e">
        <f t="shared" si="180"/>
        <v>#NUM!</v>
      </c>
      <c r="BT80" s="5" t="e">
        <f t="shared" si="137"/>
        <v>#NUM!</v>
      </c>
      <c r="BU80" s="5" t="e">
        <f t="shared" si="138"/>
        <v>#NUM!</v>
      </c>
      <c r="BW80" s="5"/>
      <c r="BX80" s="5"/>
      <c r="BY80" s="5"/>
      <c r="BZ80" s="5"/>
      <c r="CA80" s="130" t="e">
        <f t="shared" si="139"/>
        <v>#NUM!</v>
      </c>
      <c r="CB80" s="5"/>
      <c r="CC80" s="5" t="e">
        <f t="shared" si="140"/>
        <v>#NUM!</v>
      </c>
      <c r="CD80" s="5" t="e">
        <f t="shared" si="141"/>
        <v>#NUM!</v>
      </c>
      <c r="CE80" s="5"/>
      <c r="CI80" s="130">
        <f t="shared" si="142"/>
        <v>2.4516851771861026</v>
      </c>
      <c r="CJ80" s="130">
        <f t="shared" si="143"/>
        <v>2.4522953345365766</v>
      </c>
      <c r="CK80" s="296">
        <f t="shared" si="171"/>
        <v>2.609136849002784</v>
      </c>
      <c r="CL80" s="130">
        <f t="shared" si="144"/>
        <v>2.609136849002784</v>
      </c>
      <c r="CM80" s="5">
        <f t="shared" si="172"/>
        <v>0</v>
      </c>
      <c r="CN80" s="5">
        <f t="shared" si="145"/>
        <v>0</v>
      </c>
      <c r="DE80" s="130" t="e">
        <f t="shared" si="146"/>
        <v>#NUM!</v>
      </c>
      <c r="DF80" s="130" t="e">
        <f t="shared" si="147"/>
        <v>#NUM!</v>
      </c>
      <c r="DG80" s="130" t="e">
        <f t="shared" si="173"/>
        <v>#NUM!</v>
      </c>
      <c r="DH80" s="130" t="e">
        <f t="shared" si="148"/>
        <v>#NUM!</v>
      </c>
      <c r="DJ80" s="130" t="e">
        <f t="shared" si="149"/>
        <v>#NUM!</v>
      </c>
      <c r="DK80" s="130" t="e">
        <f t="shared" si="150"/>
        <v>#NUM!</v>
      </c>
      <c r="DL80" s="130" t="e">
        <f t="shared" si="174"/>
        <v>#NUM!</v>
      </c>
      <c r="DO80" s="130" t="e">
        <f t="shared" si="151"/>
        <v>#NUM!</v>
      </c>
      <c r="DP80" s="130" t="e">
        <f t="shared" si="152"/>
        <v>#NUM!</v>
      </c>
      <c r="DQ80" s="130" t="e">
        <f t="shared" si="175"/>
        <v>#NUM!</v>
      </c>
    </row>
    <row r="81" spans="2:121" hidden="1">
      <c r="B81" s="231">
        <v>75</v>
      </c>
      <c r="C81" s="280"/>
      <c r="D81" s="475"/>
      <c r="E81" s="318">
        <f t="shared" si="153"/>
        <v>42627</v>
      </c>
      <c r="F81" s="542">
        <f t="shared" si="118"/>
        <v>0</v>
      </c>
      <c r="G81" s="239"/>
      <c r="H81" s="685">
        <f t="shared" si="154"/>
        <v>0</v>
      </c>
      <c r="I81" s="234"/>
      <c r="J81" s="597">
        <f t="shared" si="155"/>
        <v>0</v>
      </c>
      <c r="K81" s="478">
        <f t="shared" si="156"/>
        <v>0</v>
      </c>
      <c r="L81" s="234"/>
      <c r="M81" s="235">
        <f t="shared" si="157"/>
        <v>0</v>
      </c>
      <c r="N81" s="479">
        <f t="shared" si="158"/>
        <v>0</v>
      </c>
      <c r="O81" s="234"/>
      <c r="P81" s="235">
        <f t="shared" si="159"/>
        <v>0</v>
      </c>
      <c r="Q81" s="651">
        <f t="shared" si="160"/>
        <v>0</v>
      </c>
      <c r="R81" s="479">
        <f>IF(J81&gt;0,IF(OR(ManualMode=FALSE,ISBLANK(S81)),'Pricing - Advanced'!$F$16*J81+'Pricing - Advanced'!$F$17,"N/A"),0)</f>
        <v>0</v>
      </c>
      <c r="S81" s="234"/>
      <c r="T81" s="235">
        <f t="shared" si="161"/>
        <v>0</v>
      </c>
      <c r="U81" s="599">
        <f>IF(OR(ManualMode=FALSE,ISBLANK(V81)),SUM(K81:L81)*'Pricing - Advanced'!$F$19+SUM(N81,O81)*'Pricing - Advanced'!$F$18,"N/A")</f>
        <v>0</v>
      </c>
      <c r="V81" s="234"/>
      <c r="W81" s="236">
        <f t="shared" si="162"/>
        <v>0</v>
      </c>
      <c r="X81" s="237">
        <f>'Pricing - Advanced'!$F$20*SUM(H81:I81)+IF(J81&gt;1,'Pricing - Advanced'!$F$21,0)</f>
        <v>0</v>
      </c>
      <c r="Y81" s="688">
        <f>IF(AND(FullTerm&gt;=B81,AB80&gt;0),AB80*'Pricing - Advanced'!$I$128,0)</f>
        <v>0</v>
      </c>
      <c r="Z81" s="233">
        <f t="shared" si="163"/>
        <v>0</v>
      </c>
      <c r="AA81" s="234"/>
      <c r="AB81" s="597">
        <f t="shared" si="164"/>
        <v>0</v>
      </c>
      <c r="AC81" s="236">
        <f t="shared" si="121"/>
        <v>0</v>
      </c>
      <c r="AF81" s="762" t="e">
        <f t="shared" si="165"/>
        <v>#N/A</v>
      </c>
      <c r="AG81" s="759" t="e">
        <f t="shared" si="122"/>
        <v>#N/A</v>
      </c>
      <c r="AH81" s="759">
        <f>IF(J81=0,0,J81-SUM($N$6:N81)-AB80)</f>
        <v>0</v>
      </c>
      <c r="AI81" s="759">
        <f t="shared" si="123"/>
        <v>0</v>
      </c>
      <c r="AJ81" s="760">
        <f t="shared" si="176"/>
        <v>3.0000000000000001E-3</v>
      </c>
      <c r="AK81" s="760">
        <f t="shared" si="177"/>
        <v>3.0000000000000001E-3</v>
      </c>
      <c r="AN81" s="1" t="b">
        <f t="shared" si="178"/>
        <v>1</v>
      </c>
      <c r="AQ81" s="15">
        <f>IF(J80&gt;1,IF(int_method=2,$AG$229*J80,$AG$229*'Pricing - Advanced'!$E$4),0)</f>
        <v>0</v>
      </c>
      <c r="AR81" s="5">
        <f t="shared" si="166"/>
        <v>0</v>
      </c>
      <c r="AS81" s="204">
        <f t="shared" si="179"/>
        <v>42627</v>
      </c>
      <c r="AT81" s="1">
        <f>IF($AT$4=FALSE,B81*'Pricing - Advanced'!$K$5,AT80+E81-E80)</f>
        <v>2284</v>
      </c>
      <c r="AW81">
        <f t="shared" si="167"/>
        <v>0</v>
      </c>
      <c r="AX81">
        <f t="shared" si="124"/>
        <v>0</v>
      </c>
      <c r="AY81">
        <f t="shared" si="125"/>
        <v>0</v>
      </c>
      <c r="AZ81">
        <f t="shared" si="126"/>
        <v>0</v>
      </c>
      <c r="BA81" s="603">
        <f t="shared" si="168"/>
        <v>0</v>
      </c>
      <c r="BB81" s="603">
        <f t="shared" si="169"/>
        <v>0</v>
      </c>
      <c r="BC81" s="5">
        <f t="shared" si="127"/>
        <v>0</v>
      </c>
      <c r="BE81" s="157">
        <f t="shared" si="128"/>
        <v>75</v>
      </c>
      <c r="BF81" s="489">
        <f t="shared" si="170"/>
        <v>2284</v>
      </c>
      <c r="BG81" s="146">
        <f t="shared" si="129"/>
        <v>0</v>
      </c>
      <c r="BH81" s="147">
        <f t="shared" si="130"/>
        <v>0</v>
      </c>
      <c r="BI81" s="154" t="e">
        <f t="shared" si="131"/>
        <v>#NUM!</v>
      </c>
      <c r="BJ81" s="277" t="e">
        <f t="shared" si="63"/>
        <v>#NUM!</v>
      </c>
      <c r="BK81" s="147" t="e">
        <f t="shared" si="64"/>
        <v>#NUM!</v>
      </c>
      <c r="BL81" s="132" t="e">
        <f t="shared" si="65"/>
        <v>#NUM!</v>
      </c>
      <c r="BN81" s="497">
        <f t="shared" si="132"/>
        <v>75</v>
      </c>
      <c r="BO81" s="497">
        <f t="shared" si="133"/>
        <v>2284</v>
      </c>
      <c r="BP81">
        <f t="shared" si="134"/>
        <v>0</v>
      </c>
      <c r="BQ81">
        <f t="shared" si="135"/>
        <v>0</v>
      </c>
      <c r="BR81" s="499" t="e">
        <f t="shared" si="136"/>
        <v>#NUM!</v>
      </c>
      <c r="BS81" s="277" t="e">
        <f t="shared" si="180"/>
        <v>#NUM!</v>
      </c>
      <c r="BT81" s="5" t="e">
        <f t="shared" si="137"/>
        <v>#NUM!</v>
      </c>
      <c r="BU81" s="5" t="e">
        <f t="shared" si="138"/>
        <v>#NUM!</v>
      </c>
      <c r="BW81" s="5"/>
      <c r="BX81" s="5"/>
      <c r="BY81" s="5"/>
      <c r="BZ81" s="5"/>
      <c r="CA81" s="130" t="e">
        <f t="shared" si="139"/>
        <v>#NUM!</v>
      </c>
      <c r="CB81" s="5"/>
      <c r="CC81" s="5" t="e">
        <f t="shared" si="140"/>
        <v>#NUM!</v>
      </c>
      <c r="CD81" s="5" t="e">
        <f t="shared" si="141"/>
        <v>#NUM!</v>
      </c>
      <c r="CE81" s="5"/>
      <c r="CI81" s="130">
        <f t="shared" si="142"/>
        <v>2.4815769001181511</v>
      </c>
      <c r="CJ81" s="130">
        <f t="shared" si="143"/>
        <v>2.4827504650394534</v>
      </c>
      <c r="CK81" s="296">
        <f t="shared" si="171"/>
        <v>2.6431705958779914</v>
      </c>
      <c r="CL81" s="130">
        <f t="shared" si="144"/>
        <v>2.6431705958779914</v>
      </c>
      <c r="CM81" s="5">
        <f t="shared" si="172"/>
        <v>0</v>
      </c>
      <c r="CN81" s="5">
        <f t="shared" si="145"/>
        <v>0</v>
      </c>
      <c r="DE81" s="130" t="e">
        <f t="shared" si="146"/>
        <v>#NUM!</v>
      </c>
      <c r="DF81" s="130" t="e">
        <f t="shared" si="147"/>
        <v>#NUM!</v>
      </c>
      <c r="DG81" s="130" t="e">
        <f t="shared" si="173"/>
        <v>#NUM!</v>
      </c>
      <c r="DH81" s="130" t="e">
        <f t="shared" si="148"/>
        <v>#NUM!</v>
      </c>
      <c r="DJ81" s="130" t="e">
        <f t="shared" si="149"/>
        <v>#NUM!</v>
      </c>
      <c r="DK81" s="130" t="e">
        <f t="shared" si="150"/>
        <v>#NUM!</v>
      </c>
      <c r="DL81" s="130" t="e">
        <f t="shared" si="174"/>
        <v>#NUM!</v>
      </c>
      <c r="DO81" s="130" t="e">
        <f t="shared" si="151"/>
        <v>#NUM!</v>
      </c>
      <c r="DP81" s="130" t="e">
        <f t="shared" si="152"/>
        <v>#NUM!</v>
      </c>
      <c r="DQ81" s="130" t="e">
        <f t="shared" si="175"/>
        <v>#NUM!</v>
      </c>
    </row>
    <row r="82" spans="2:121" hidden="1">
      <c r="B82" s="231">
        <v>76</v>
      </c>
      <c r="C82" s="280"/>
      <c r="D82" s="475"/>
      <c r="E82" s="318">
        <f t="shared" si="153"/>
        <v>42657</v>
      </c>
      <c r="F82" s="542">
        <f t="shared" si="118"/>
        <v>0</v>
      </c>
      <c r="G82" s="239"/>
      <c r="H82" s="685">
        <f t="shared" si="154"/>
        <v>0</v>
      </c>
      <c r="I82" s="234"/>
      <c r="J82" s="597">
        <f t="shared" si="155"/>
        <v>0</v>
      </c>
      <c r="K82" s="478">
        <f t="shared" si="156"/>
        <v>0</v>
      </c>
      <c r="L82" s="234"/>
      <c r="M82" s="235">
        <f t="shared" si="157"/>
        <v>0</v>
      </c>
      <c r="N82" s="479">
        <f t="shared" si="158"/>
        <v>0</v>
      </c>
      <c r="O82" s="234"/>
      <c r="P82" s="235">
        <f t="shared" si="159"/>
        <v>0</v>
      </c>
      <c r="Q82" s="651">
        <f t="shared" si="160"/>
        <v>0</v>
      </c>
      <c r="R82" s="479">
        <f>IF(J82&gt;0,IF(OR(ManualMode=FALSE,ISBLANK(S82)),'Pricing - Advanced'!$F$16*J82+'Pricing - Advanced'!$F$17,"N/A"),0)</f>
        <v>0</v>
      </c>
      <c r="S82" s="234"/>
      <c r="T82" s="235">
        <f t="shared" si="161"/>
        <v>0</v>
      </c>
      <c r="U82" s="599">
        <f>IF(OR(ManualMode=FALSE,ISBLANK(V82)),SUM(K82:L82)*'Pricing - Advanced'!$F$19+SUM(N82,O82)*'Pricing - Advanced'!$F$18,"N/A")</f>
        <v>0</v>
      </c>
      <c r="V82" s="234"/>
      <c r="W82" s="236">
        <f t="shared" si="162"/>
        <v>0</v>
      </c>
      <c r="X82" s="237">
        <f>'Pricing - Advanced'!$F$20*SUM(H82:I82)+IF(J82&gt;1,'Pricing - Advanced'!$F$21,0)</f>
        <v>0</v>
      </c>
      <c r="Y82" s="688">
        <f>IF(AND(FullTerm&gt;=B82,AB81&gt;0),AB81*'Pricing - Advanced'!$I$128,0)</f>
        <v>0</v>
      </c>
      <c r="Z82" s="233">
        <f t="shared" si="163"/>
        <v>0</v>
      </c>
      <c r="AA82" s="234"/>
      <c r="AB82" s="597">
        <f t="shared" si="164"/>
        <v>0</v>
      </c>
      <c r="AC82" s="236">
        <f t="shared" si="121"/>
        <v>0</v>
      </c>
      <c r="AF82" s="762" t="e">
        <f t="shared" si="165"/>
        <v>#N/A</v>
      </c>
      <c r="AG82" s="759" t="e">
        <f t="shared" si="122"/>
        <v>#N/A</v>
      </c>
      <c r="AH82" s="759">
        <f>IF(J82=0,0,J82-SUM($N$6:N82)-AB81)</f>
        <v>0</v>
      </c>
      <c r="AI82" s="759">
        <f t="shared" si="123"/>
        <v>0</v>
      </c>
      <c r="AJ82" s="760">
        <f t="shared" si="176"/>
        <v>3.0000000000000001E-3</v>
      </c>
      <c r="AK82" s="760">
        <f t="shared" si="177"/>
        <v>3.0000000000000001E-3</v>
      </c>
      <c r="AN82" s="1" t="b">
        <f t="shared" si="178"/>
        <v>1</v>
      </c>
      <c r="AQ82" s="15">
        <f>IF(J81&gt;1,IF(int_method=2,$AG$229*J81,$AG$229*'Pricing - Advanced'!$E$4),0)</f>
        <v>0</v>
      </c>
      <c r="AR82" s="5">
        <f t="shared" si="166"/>
        <v>0</v>
      </c>
      <c r="AS82" s="204">
        <f t="shared" si="179"/>
        <v>42657</v>
      </c>
      <c r="AT82" s="1">
        <f>IF($AT$4=FALSE,B82*'Pricing - Advanced'!$K$5,AT81+E82-E81)</f>
        <v>2314</v>
      </c>
      <c r="AW82">
        <f t="shared" si="167"/>
        <v>0</v>
      </c>
      <c r="AX82">
        <f t="shared" si="124"/>
        <v>0</v>
      </c>
      <c r="AY82">
        <f t="shared" si="125"/>
        <v>0</v>
      </c>
      <c r="AZ82">
        <f t="shared" si="126"/>
        <v>0</v>
      </c>
      <c r="BA82" s="603">
        <f t="shared" si="168"/>
        <v>0</v>
      </c>
      <c r="BB82" s="603">
        <f t="shared" si="169"/>
        <v>0</v>
      </c>
      <c r="BC82" s="5">
        <f t="shared" si="127"/>
        <v>0</v>
      </c>
      <c r="BE82" s="157">
        <f t="shared" si="128"/>
        <v>76</v>
      </c>
      <c r="BF82" s="489">
        <f t="shared" si="170"/>
        <v>2314</v>
      </c>
      <c r="BG82" s="146">
        <f t="shared" si="129"/>
        <v>0</v>
      </c>
      <c r="BH82" s="147">
        <f t="shared" si="130"/>
        <v>0</v>
      </c>
      <c r="BI82" s="154" t="e">
        <f t="shared" si="131"/>
        <v>#NUM!</v>
      </c>
      <c r="BJ82" s="277" t="e">
        <f t="shared" ref="BJ82:BJ125" si="181">BI82/BI81-1</f>
        <v>#NUM!</v>
      </c>
      <c r="BK82" s="147" t="e">
        <f t="shared" ref="BK82:BK125" si="182">BG82/$BI82</f>
        <v>#NUM!</v>
      </c>
      <c r="BL82" s="132" t="e">
        <f t="shared" ref="BL82:BL125" si="183">BH82/$BI82</f>
        <v>#NUM!</v>
      </c>
      <c r="BN82" s="497">
        <f t="shared" si="132"/>
        <v>76</v>
      </c>
      <c r="BO82" s="497">
        <f t="shared" si="133"/>
        <v>2314</v>
      </c>
      <c r="BP82">
        <f t="shared" si="134"/>
        <v>0</v>
      </c>
      <c r="BQ82">
        <f t="shared" si="135"/>
        <v>0</v>
      </c>
      <c r="BR82" s="499" t="e">
        <f t="shared" si="136"/>
        <v>#NUM!</v>
      </c>
      <c r="BS82" s="277" t="e">
        <f t="shared" si="180"/>
        <v>#NUM!</v>
      </c>
      <c r="BT82" s="5" t="e">
        <f t="shared" si="137"/>
        <v>#NUM!</v>
      </c>
      <c r="BU82" s="5" t="e">
        <f t="shared" si="138"/>
        <v>#NUM!</v>
      </c>
      <c r="BW82" s="5"/>
      <c r="BX82" s="5"/>
      <c r="BY82" s="5"/>
      <c r="BZ82" s="5"/>
      <c r="CA82" s="130" t="e">
        <f t="shared" si="139"/>
        <v>#NUM!</v>
      </c>
      <c r="CB82" s="5"/>
      <c r="CC82" s="5" t="e">
        <f t="shared" si="140"/>
        <v>#NUM!</v>
      </c>
      <c r="CD82" s="5" t="e">
        <f t="shared" si="141"/>
        <v>#NUM!</v>
      </c>
      <c r="CE82" s="5"/>
      <c r="CI82" s="130">
        <f t="shared" si="142"/>
        <v>2.5118330724126872</v>
      </c>
      <c r="CJ82" s="130">
        <f t="shared" si="143"/>
        <v>2.5125832428994599</v>
      </c>
      <c r="CK82" s="296">
        <f t="shared" si="171"/>
        <v>2.6776482811103639</v>
      </c>
      <c r="CL82" s="130">
        <f t="shared" si="144"/>
        <v>2.6776482811103639</v>
      </c>
      <c r="CM82" s="5">
        <f t="shared" si="172"/>
        <v>0</v>
      </c>
      <c r="CN82" s="5">
        <f t="shared" si="145"/>
        <v>0</v>
      </c>
      <c r="DE82" s="130" t="e">
        <f t="shared" si="146"/>
        <v>#NUM!</v>
      </c>
      <c r="DF82" s="130" t="e">
        <f t="shared" si="147"/>
        <v>#NUM!</v>
      </c>
      <c r="DG82" s="130" t="e">
        <f t="shared" si="173"/>
        <v>#NUM!</v>
      </c>
      <c r="DH82" s="130" t="e">
        <f t="shared" si="148"/>
        <v>#NUM!</v>
      </c>
      <c r="DJ82" s="130" t="e">
        <f t="shared" si="149"/>
        <v>#NUM!</v>
      </c>
      <c r="DK82" s="130" t="e">
        <f t="shared" si="150"/>
        <v>#NUM!</v>
      </c>
      <c r="DL82" s="130" t="e">
        <f t="shared" si="174"/>
        <v>#NUM!</v>
      </c>
      <c r="DO82" s="130" t="e">
        <f t="shared" si="151"/>
        <v>#NUM!</v>
      </c>
      <c r="DP82" s="130" t="e">
        <f t="shared" si="152"/>
        <v>#NUM!</v>
      </c>
      <c r="DQ82" s="130" t="e">
        <f t="shared" si="175"/>
        <v>#NUM!</v>
      </c>
    </row>
    <row r="83" spans="2:121" hidden="1">
      <c r="B83" s="231">
        <v>77</v>
      </c>
      <c r="C83" s="280"/>
      <c r="D83" s="475"/>
      <c r="E83" s="318">
        <f t="shared" si="153"/>
        <v>42688</v>
      </c>
      <c r="F83" s="542">
        <f t="shared" ref="F83:F114" si="184">IF(AN83="x",E83-E82,0)</f>
        <v>0</v>
      </c>
      <c r="G83" s="239"/>
      <c r="H83" s="685">
        <f t="shared" si="154"/>
        <v>0</v>
      </c>
      <c r="I83" s="234"/>
      <c r="J83" s="597">
        <f t="shared" si="155"/>
        <v>0</v>
      </c>
      <c r="K83" s="478">
        <f t="shared" si="156"/>
        <v>0</v>
      </c>
      <c r="L83" s="234"/>
      <c r="M83" s="235">
        <f t="shared" si="157"/>
        <v>0</v>
      </c>
      <c r="N83" s="479">
        <f t="shared" si="158"/>
        <v>0</v>
      </c>
      <c r="O83" s="234"/>
      <c r="P83" s="235">
        <f t="shared" si="159"/>
        <v>0</v>
      </c>
      <c r="Q83" s="651">
        <f t="shared" si="160"/>
        <v>0</v>
      </c>
      <c r="R83" s="479">
        <f>IF(J83&gt;0,IF(OR(ManualMode=FALSE,ISBLANK(S83)),'Pricing - Advanced'!$F$16*J83+'Pricing - Advanced'!$F$17,"N/A"),0)</f>
        <v>0</v>
      </c>
      <c r="S83" s="234"/>
      <c r="T83" s="235">
        <f t="shared" si="161"/>
        <v>0</v>
      </c>
      <c r="U83" s="599">
        <f>IF(OR(ManualMode=FALSE,ISBLANK(V83)),SUM(K83:L83)*'Pricing - Advanced'!$F$19+SUM(N83,O83)*'Pricing - Advanced'!$F$18,"N/A")</f>
        <v>0</v>
      </c>
      <c r="V83" s="234"/>
      <c r="W83" s="236">
        <f t="shared" si="162"/>
        <v>0</v>
      </c>
      <c r="X83" s="237">
        <f>'Pricing - Advanced'!$F$20*SUM(H83:I83)+IF(J83&gt;1,'Pricing - Advanced'!$F$21,0)</f>
        <v>0</v>
      </c>
      <c r="Y83" s="688">
        <f>IF(AND(FullTerm&gt;=B83,AB82&gt;0),AB82*'Pricing - Advanced'!$I$128,0)</f>
        <v>0</v>
      </c>
      <c r="Z83" s="233">
        <f t="shared" si="163"/>
        <v>0</v>
      </c>
      <c r="AA83" s="234"/>
      <c r="AB83" s="597">
        <f t="shared" si="164"/>
        <v>0</v>
      </c>
      <c r="AC83" s="236">
        <f t="shared" si="121"/>
        <v>0</v>
      </c>
      <c r="AF83" s="762" t="e">
        <f t="shared" si="165"/>
        <v>#N/A</v>
      </c>
      <c r="AG83" s="759" t="e">
        <f t="shared" si="122"/>
        <v>#N/A</v>
      </c>
      <c r="AH83" s="759">
        <f>IF(J83=0,0,J83-SUM($N$6:N83)-AB82)</f>
        <v>0</v>
      </c>
      <c r="AI83" s="759">
        <f t="shared" si="123"/>
        <v>0</v>
      </c>
      <c r="AJ83" s="760">
        <f t="shared" si="176"/>
        <v>3.0000000000000001E-3</v>
      </c>
      <c r="AK83" s="760">
        <f t="shared" si="177"/>
        <v>3.0000000000000001E-3</v>
      </c>
      <c r="AN83" s="1" t="b">
        <f t="shared" si="178"/>
        <v>1</v>
      </c>
      <c r="AQ83" s="15">
        <f>IF(J82&gt;1,IF(int_method=2,$AG$229*J82,$AG$229*'Pricing - Advanced'!$E$4),0)</f>
        <v>0</v>
      </c>
      <c r="AR83" s="5">
        <f t="shared" si="166"/>
        <v>0</v>
      </c>
      <c r="AS83" s="204">
        <f t="shared" si="179"/>
        <v>42688</v>
      </c>
      <c r="AT83" s="1">
        <f>IF($AT$4=FALSE,B83*'Pricing - Advanced'!$K$5,AT82+E83-E82)</f>
        <v>2345</v>
      </c>
      <c r="AW83">
        <f t="shared" si="167"/>
        <v>0</v>
      </c>
      <c r="AX83">
        <f t="shared" si="124"/>
        <v>0</v>
      </c>
      <c r="AY83">
        <f t="shared" si="125"/>
        <v>0</v>
      </c>
      <c r="AZ83">
        <f t="shared" si="126"/>
        <v>0</v>
      </c>
      <c r="BA83" s="603">
        <f t="shared" si="168"/>
        <v>0</v>
      </c>
      <c r="BB83" s="603">
        <f t="shared" si="169"/>
        <v>0</v>
      </c>
      <c r="BC83" s="5">
        <f t="shared" si="127"/>
        <v>0</v>
      </c>
      <c r="BE83" s="157">
        <f t="shared" si="128"/>
        <v>77</v>
      </c>
      <c r="BF83" s="489">
        <f t="shared" si="170"/>
        <v>2345</v>
      </c>
      <c r="BG83" s="146">
        <f t="shared" si="129"/>
        <v>0</v>
      </c>
      <c r="BH83" s="147">
        <f t="shared" si="130"/>
        <v>0</v>
      </c>
      <c r="BI83" s="154" t="e">
        <f t="shared" si="131"/>
        <v>#NUM!</v>
      </c>
      <c r="BJ83" s="277" t="e">
        <f t="shared" si="181"/>
        <v>#NUM!</v>
      </c>
      <c r="BK83" s="147" t="e">
        <f t="shared" si="182"/>
        <v>#NUM!</v>
      </c>
      <c r="BL83" s="132" t="e">
        <f t="shared" si="183"/>
        <v>#NUM!</v>
      </c>
      <c r="BN83" s="497">
        <f t="shared" si="132"/>
        <v>77</v>
      </c>
      <c r="BO83" s="497">
        <f t="shared" si="133"/>
        <v>2345</v>
      </c>
      <c r="BP83">
        <f t="shared" si="134"/>
        <v>0</v>
      </c>
      <c r="BQ83">
        <f t="shared" si="135"/>
        <v>0</v>
      </c>
      <c r="BR83" s="499" t="e">
        <f t="shared" si="136"/>
        <v>#NUM!</v>
      </c>
      <c r="BS83" s="277" t="e">
        <f t="shared" si="180"/>
        <v>#NUM!</v>
      </c>
      <c r="BT83" s="5" t="e">
        <f t="shared" si="137"/>
        <v>#NUM!</v>
      </c>
      <c r="BU83" s="5" t="e">
        <f t="shared" si="138"/>
        <v>#NUM!</v>
      </c>
      <c r="BW83" s="5"/>
      <c r="BX83" s="5"/>
      <c r="BY83" s="5"/>
      <c r="BZ83" s="5"/>
      <c r="CA83" s="130" t="e">
        <f t="shared" si="139"/>
        <v>#NUM!</v>
      </c>
      <c r="CB83" s="5"/>
      <c r="CC83" s="5" t="e">
        <f t="shared" si="140"/>
        <v>#NUM!</v>
      </c>
      <c r="CD83" s="5" t="e">
        <f t="shared" si="141"/>
        <v>#NUM!</v>
      </c>
      <c r="CE83" s="5"/>
      <c r="CI83" s="130">
        <f t="shared" si="142"/>
        <v>2.5424581375518795</v>
      </c>
      <c r="CJ83" s="130">
        <f t="shared" si="143"/>
        <v>2.5437870907738049</v>
      </c>
      <c r="CK83" s="296">
        <f t="shared" si="171"/>
        <v>2.7125756954600462</v>
      </c>
      <c r="CL83" s="130">
        <f t="shared" si="144"/>
        <v>2.7125756954600462</v>
      </c>
      <c r="CM83" s="5">
        <f t="shared" si="172"/>
        <v>0</v>
      </c>
      <c r="CN83" s="5">
        <f t="shared" si="145"/>
        <v>0</v>
      </c>
      <c r="DE83" s="130" t="e">
        <f t="shared" si="146"/>
        <v>#NUM!</v>
      </c>
      <c r="DF83" s="130" t="e">
        <f t="shared" si="147"/>
        <v>#NUM!</v>
      </c>
      <c r="DG83" s="130" t="e">
        <f t="shared" si="173"/>
        <v>#NUM!</v>
      </c>
      <c r="DH83" s="130" t="e">
        <f t="shared" si="148"/>
        <v>#NUM!</v>
      </c>
      <c r="DJ83" s="130" t="e">
        <f t="shared" si="149"/>
        <v>#NUM!</v>
      </c>
      <c r="DK83" s="130" t="e">
        <f t="shared" si="150"/>
        <v>#NUM!</v>
      </c>
      <c r="DL83" s="130" t="e">
        <f t="shared" si="174"/>
        <v>#NUM!</v>
      </c>
      <c r="DO83" s="130" t="e">
        <f t="shared" si="151"/>
        <v>#NUM!</v>
      </c>
      <c r="DP83" s="130" t="e">
        <f t="shared" si="152"/>
        <v>#NUM!</v>
      </c>
      <c r="DQ83" s="130" t="e">
        <f t="shared" si="175"/>
        <v>#NUM!</v>
      </c>
    </row>
    <row r="84" spans="2:121" hidden="1">
      <c r="B84" s="231">
        <v>78</v>
      </c>
      <c r="C84" s="280"/>
      <c r="D84" s="475"/>
      <c r="E84" s="318">
        <f t="shared" si="153"/>
        <v>42718</v>
      </c>
      <c r="F84" s="542">
        <f t="shared" si="184"/>
        <v>0</v>
      </c>
      <c r="G84" s="239"/>
      <c r="H84" s="685">
        <f t="shared" si="154"/>
        <v>0</v>
      </c>
      <c r="I84" s="234"/>
      <c r="J84" s="597">
        <f t="shared" si="155"/>
        <v>0</v>
      </c>
      <c r="K84" s="478">
        <f t="shared" si="156"/>
        <v>0</v>
      </c>
      <c r="L84" s="234"/>
      <c r="M84" s="235">
        <f t="shared" si="157"/>
        <v>0</v>
      </c>
      <c r="N84" s="479">
        <f t="shared" si="158"/>
        <v>0</v>
      </c>
      <c r="O84" s="234"/>
      <c r="P84" s="235">
        <f t="shared" si="159"/>
        <v>0</v>
      </c>
      <c r="Q84" s="651">
        <f t="shared" si="160"/>
        <v>0</v>
      </c>
      <c r="R84" s="479">
        <f>IF(J84&gt;0,IF(OR(ManualMode=FALSE,ISBLANK(S84)),'Pricing - Advanced'!$F$16*J84+'Pricing - Advanced'!$F$17,"N/A"),0)</f>
        <v>0</v>
      </c>
      <c r="S84" s="234"/>
      <c r="T84" s="235">
        <f t="shared" si="161"/>
        <v>0</v>
      </c>
      <c r="U84" s="599">
        <f>IF(OR(ManualMode=FALSE,ISBLANK(V84)),SUM(K84:L84)*'Pricing - Advanced'!$F$19+SUM(N84,O84)*'Pricing - Advanced'!$F$18,"N/A")</f>
        <v>0</v>
      </c>
      <c r="V84" s="234"/>
      <c r="W84" s="236">
        <f t="shared" si="162"/>
        <v>0</v>
      </c>
      <c r="X84" s="237">
        <f>'Pricing - Advanced'!$F$20*SUM(H84:I84)+IF(J84&gt;1,'Pricing - Advanced'!$F$21,0)</f>
        <v>0</v>
      </c>
      <c r="Y84" s="688">
        <f>IF(AND(FullTerm&gt;=B84,AB83&gt;0),AB83*'Pricing - Advanced'!$I$128,0)</f>
        <v>0</v>
      </c>
      <c r="Z84" s="233">
        <f t="shared" si="163"/>
        <v>0</v>
      </c>
      <c r="AA84" s="234"/>
      <c r="AB84" s="597">
        <f t="shared" si="164"/>
        <v>0</v>
      </c>
      <c r="AC84" s="236">
        <f t="shared" si="121"/>
        <v>0</v>
      </c>
      <c r="AF84" s="762" t="e">
        <f t="shared" si="165"/>
        <v>#N/A</v>
      </c>
      <c r="AG84" s="759" t="e">
        <f t="shared" si="122"/>
        <v>#N/A</v>
      </c>
      <c r="AH84" s="759">
        <f>IF(J84=0,0,J84-SUM($N$6:N84)-AB83)</f>
        <v>0</v>
      </c>
      <c r="AI84" s="759">
        <f t="shared" si="123"/>
        <v>0</v>
      </c>
      <c r="AJ84" s="760">
        <f t="shared" si="176"/>
        <v>3.0000000000000001E-3</v>
      </c>
      <c r="AK84" s="760">
        <f t="shared" si="177"/>
        <v>3.0000000000000001E-3</v>
      </c>
      <c r="AN84" s="1" t="b">
        <f t="shared" si="178"/>
        <v>1</v>
      </c>
      <c r="AQ84" s="15">
        <f>IF(J83&gt;1,IF(int_method=2,$AG$229*J83,$AG$229*'Pricing - Advanced'!$E$4),0)</f>
        <v>0</v>
      </c>
      <c r="AR84" s="5">
        <f t="shared" si="166"/>
        <v>0</v>
      </c>
      <c r="AS84" s="204">
        <f t="shared" si="179"/>
        <v>42718</v>
      </c>
      <c r="AT84" s="1">
        <f>IF($AT$4=FALSE,B84*'Pricing - Advanced'!$K$5,AT83+E84-E83)</f>
        <v>2375</v>
      </c>
      <c r="AW84">
        <f t="shared" si="167"/>
        <v>0</v>
      </c>
      <c r="AX84">
        <f t="shared" si="124"/>
        <v>0</v>
      </c>
      <c r="AY84">
        <f t="shared" si="125"/>
        <v>0</v>
      </c>
      <c r="AZ84">
        <f t="shared" si="126"/>
        <v>0</v>
      </c>
      <c r="BA84" s="603">
        <f t="shared" si="168"/>
        <v>0</v>
      </c>
      <c r="BB84" s="603">
        <f t="shared" si="169"/>
        <v>0</v>
      </c>
      <c r="BC84" s="5">
        <f t="shared" si="127"/>
        <v>0</v>
      </c>
      <c r="BE84" s="157">
        <f t="shared" si="128"/>
        <v>78</v>
      </c>
      <c r="BF84" s="489">
        <f t="shared" si="170"/>
        <v>2375</v>
      </c>
      <c r="BG84" s="146">
        <f t="shared" si="129"/>
        <v>0</v>
      </c>
      <c r="BH84" s="147">
        <f t="shared" si="130"/>
        <v>0</v>
      </c>
      <c r="BI84" s="154" t="e">
        <f t="shared" si="131"/>
        <v>#NUM!</v>
      </c>
      <c r="BJ84" s="277" t="e">
        <f t="shared" si="181"/>
        <v>#NUM!</v>
      </c>
      <c r="BK84" s="147" t="e">
        <f t="shared" si="182"/>
        <v>#NUM!</v>
      </c>
      <c r="BL84" s="132" t="e">
        <f t="shared" si="183"/>
        <v>#NUM!</v>
      </c>
      <c r="BN84" s="497">
        <f t="shared" si="132"/>
        <v>78</v>
      </c>
      <c r="BO84" s="497">
        <f t="shared" si="133"/>
        <v>2375</v>
      </c>
      <c r="BP84">
        <f t="shared" si="134"/>
        <v>0</v>
      </c>
      <c r="BQ84">
        <f t="shared" si="135"/>
        <v>0</v>
      </c>
      <c r="BR84" s="499" t="e">
        <f t="shared" si="136"/>
        <v>#NUM!</v>
      </c>
      <c r="BS84" s="277" t="e">
        <f t="shared" si="180"/>
        <v>#NUM!</v>
      </c>
      <c r="BT84" s="5" t="e">
        <f t="shared" si="137"/>
        <v>#NUM!</v>
      </c>
      <c r="BU84" s="5" t="e">
        <f t="shared" si="138"/>
        <v>#NUM!</v>
      </c>
      <c r="BW84" s="5"/>
      <c r="BX84" s="5"/>
      <c r="BY84" s="5"/>
      <c r="BZ84" s="5"/>
      <c r="CA84" s="130" t="e">
        <f t="shared" si="139"/>
        <v>#NUM!</v>
      </c>
      <c r="CB84" s="5"/>
      <c r="CC84" s="5" t="e">
        <f t="shared" si="140"/>
        <v>#NUM!</v>
      </c>
      <c r="CD84" s="5" t="e">
        <f t="shared" si="141"/>
        <v>#NUM!</v>
      </c>
      <c r="CE84" s="5"/>
      <c r="CI84" s="130">
        <f t="shared" si="142"/>
        <v>2.5734565931942388</v>
      </c>
      <c r="CJ84" s="130">
        <f t="shared" si="143"/>
        <v>2.5743532859153695</v>
      </c>
      <c r="CK84" s="296">
        <f t="shared" si="171"/>
        <v>2.7479587052222252</v>
      </c>
      <c r="CL84" s="130">
        <f t="shared" si="144"/>
        <v>2.7479587052222252</v>
      </c>
      <c r="CM84" s="5">
        <f t="shared" si="172"/>
        <v>0</v>
      </c>
      <c r="CN84" s="5">
        <f t="shared" si="145"/>
        <v>0</v>
      </c>
      <c r="DE84" s="130" t="e">
        <f t="shared" si="146"/>
        <v>#NUM!</v>
      </c>
      <c r="DF84" s="130" t="e">
        <f t="shared" si="147"/>
        <v>#NUM!</v>
      </c>
      <c r="DG84" s="130" t="e">
        <f t="shared" si="173"/>
        <v>#NUM!</v>
      </c>
      <c r="DH84" s="130" t="e">
        <f t="shared" si="148"/>
        <v>#NUM!</v>
      </c>
      <c r="DJ84" s="130" t="e">
        <f t="shared" si="149"/>
        <v>#NUM!</v>
      </c>
      <c r="DK84" s="130" t="e">
        <f t="shared" si="150"/>
        <v>#NUM!</v>
      </c>
      <c r="DL84" s="130" t="e">
        <f t="shared" si="174"/>
        <v>#NUM!</v>
      </c>
      <c r="DO84" s="130" t="e">
        <f t="shared" si="151"/>
        <v>#NUM!</v>
      </c>
      <c r="DP84" s="130" t="e">
        <f t="shared" si="152"/>
        <v>#NUM!</v>
      </c>
      <c r="DQ84" s="130" t="e">
        <f t="shared" si="175"/>
        <v>#NUM!</v>
      </c>
    </row>
    <row r="85" spans="2:121" hidden="1">
      <c r="B85" s="231">
        <v>79</v>
      </c>
      <c r="C85" s="280"/>
      <c r="D85" s="475"/>
      <c r="E85" s="318">
        <f t="shared" si="153"/>
        <v>42749</v>
      </c>
      <c r="F85" s="542">
        <f t="shared" si="184"/>
        <v>0</v>
      </c>
      <c r="G85" s="239"/>
      <c r="H85" s="685">
        <f t="shared" si="154"/>
        <v>0</v>
      </c>
      <c r="I85" s="234"/>
      <c r="J85" s="597">
        <f t="shared" si="155"/>
        <v>0</v>
      </c>
      <c r="K85" s="478">
        <f t="shared" si="156"/>
        <v>0</v>
      </c>
      <c r="L85" s="234"/>
      <c r="M85" s="235">
        <f t="shared" si="157"/>
        <v>0</v>
      </c>
      <c r="N85" s="479">
        <f t="shared" si="158"/>
        <v>0</v>
      </c>
      <c r="O85" s="234"/>
      <c r="P85" s="235">
        <f t="shared" si="159"/>
        <v>0</v>
      </c>
      <c r="Q85" s="651">
        <f t="shared" si="160"/>
        <v>0</v>
      </c>
      <c r="R85" s="479">
        <f>IF(J85&gt;0,IF(OR(ManualMode=FALSE,ISBLANK(S85)),'Pricing - Advanced'!$F$16*J85+'Pricing - Advanced'!$F$17,"N/A"),0)</f>
        <v>0</v>
      </c>
      <c r="S85" s="234"/>
      <c r="T85" s="235">
        <f t="shared" si="161"/>
        <v>0</v>
      </c>
      <c r="U85" s="599">
        <f>IF(OR(ManualMode=FALSE,ISBLANK(V85)),SUM(K85:L85)*'Pricing - Advanced'!$F$19+SUM(N85,O85)*'Pricing - Advanced'!$F$18,"N/A")</f>
        <v>0</v>
      </c>
      <c r="V85" s="234"/>
      <c r="W85" s="236">
        <f t="shared" si="162"/>
        <v>0</v>
      </c>
      <c r="X85" s="237">
        <f>'Pricing - Advanced'!$F$20*SUM(H85:I85)+IF(J85&gt;1,'Pricing - Advanced'!$F$21,0)</f>
        <v>0</v>
      </c>
      <c r="Y85" s="688">
        <f>IF(AND(FullTerm&gt;=B85,AB84&gt;0),AB84*'Pricing - Advanced'!$I$128,0)</f>
        <v>0</v>
      </c>
      <c r="Z85" s="233">
        <f t="shared" si="163"/>
        <v>0</v>
      </c>
      <c r="AA85" s="234"/>
      <c r="AB85" s="597">
        <f t="shared" si="164"/>
        <v>0</v>
      </c>
      <c r="AC85" s="236">
        <f t="shared" si="121"/>
        <v>0</v>
      </c>
      <c r="AF85" s="762" t="e">
        <f t="shared" si="165"/>
        <v>#N/A</v>
      </c>
      <c r="AG85" s="759" t="e">
        <f t="shared" si="122"/>
        <v>#N/A</v>
      </c>
      <c r="AH85" s="759">
        <f>IF(J85=0,0,J85-SUM($N$6:N85)-AB84)</f>
        <v>0</v>
      </c>
      <c r="AI85" s="759">
        <f t="shared" si="123"/>
        <v>0</v>
      </c>
      <c r="AJ85" s="760">
        <f t="shared" si="176"/>
        <v>3.0000000000000001E-3</v>
      </c>
      <c r="AK85" s="760">
        <f t="shared" si="177"/>
        <v>3.0000000000000001E-3</v>
      </c>
      <c r="AN85" s="1" t="b">
        <f t="shared" si="178"/>
        <v>1</v>
      </c>
      <c r="AQ85" s="15">
        <f>IF(J84&gt;1,IF(int_method=2,$AG$229*J84,$AG$229*'Pricing - Advanced'!$E$4),0)</f>
        <v>0</v>
      </c>
      <c r="AR85" s="5">
        <f t="shared" si="166"/>
        <v>0</v>
      </c>
      <c r="AS85" s="204">
        <f t="shared" si="179"/>
        <v>42749</v>
      </c>
      <c r="AT85" s="1">
        <f>IF($AT$4=FALSE,B85*'Pricing - Advanced'!$K$5,AT84+E85-E84)</f>
        <v>2406</v>
      </c>
      <c r="AW85">
        <f t="shared" si="167"/>
        <v>0</v>
      </c>
      <c r="AX85">
        <f t="shared" si="124"/>
        <v>0</v>
      </c>
      <c r="AY85">
        <f t="shared" si="125"/>
        <v>0</v>
      </c>
      <c r="AZ85">
        <f t="shared" si="126"/>
        <v>0</v>
      </c>
      <c r="BA85" s="603">
        <f t="shared" si="168"/>
        <v>0</v>
      </c>
      <c r="BB85" s="603">
        <f t="shared" si="169"/>
        <v>0</v>
      </c>
      <c r="BC85" s="5">
        <f t="shared" si="127"/>
        <v>0</v>
      </c>
      <c r="BE85" s="157">
        <f t="shared" si="128"/>
        <v>79</v>
      </c>
      <c r="BF85" s="489">
        <f t="shared" si="170"/>
        <v>2406</v>
      </c>
      <c r="BG85" s="146">
        <f t="shared" si="129"/>
        <v>0</v>
      </c>
      <c r="BH85" s="147">
        <f t="shared" si="130"/>
        <v>0</v>
      </c>
      <c r="BI85" s="154" t="e">
        <f t="shared" si="131"/>
        <v>#NUM!</v>
      </c>
      <c r="BJ85" s="277" t="e">
        <f t="shared" si="181"/>
        <v>#NUM!</v>
      </c>
      <c r="BK85" s="147" t="e">
        <f t="shared" si="182"/>
        <v>#NUM!</v>
      </c>
      <c r="BL85" s="132" t="e">
        <f t="shared" si="183"/>
        <v>#NUM!</v>
      </c>
      <c r="BN85" s="497">
        <f t="shared" si="132"/>
        <v>79</v>
      </c>
      <c r="BO85" s="497">
        <f t="shared" si="133"/>
        <v>2406</v>
      </c>
      <c r="BP85">
        <f t="shared" si="134"/>
        <v>0</v>
      </c>
      <c r="BQ85">
        <f t="shared" si="135"/>
        <v>0</v>
      </c>
      <c r="BR85" s="499" t="e">
        <f t="shared" si="136"/>
        <v>#NUM!</v>
      </c>
      <c r="BS85" s="277" t="e">
        <f t="shared" si="180"/>
        <v>#NUM!</v>
      </c>
      <c r="BT85" s="5" t="e">
        <f t="shared" si="137"/>
        <v>#NUM!</v>
      </c>
      <c r="BU85" s="5" t="e">
        <f t="shared" si="138"/>
        <v>#NUM!</v>
      </c>
      <c r="BW85" s="5"/>
      <c r="BX85" s="5"/>
      <c r="BY85" s="5"/>
      <c r="BZ85" s="5"/>
      <c r="CA85" s="130" t="e">
        <f t="shared" si="139"/>
        <v>#NUM!</v>
      </c>
      <c r="CB85" s="5"/>
      <c r="CC85" s="5" t="e">
        <f t="shared" si="140"/>
        <v>#NUM!</v>
      </c>
      <c r="CD85" s="5" t="e">
        <f t="shared" si="141"/>
        <v>#NUM!</v>
      </c>
      <c r="CE85" s="5"/>
      <c r="CI85" s="130">
        <f t="shared" si="142"/>
        <v>2.6048329918351545</v>
      </c>
      <c r="CJ85" s="130">
        <f t="shared" si="143"/>
        <v>2.6063242578366124</v>
      </c>
      <c r="CK85" s="296">
        <f t="shared" si="171"/>
        <v>2.7838032532124162</v>
      </c>
      <c r="CL85" s="130">
        <f t="shared" si="144"/>
        <v>2.7838032532124162</v>
      </c>
      <c r="CM85" s="5">
        <f t="shared" si="172"/>
        <v>0</v>
      </c>
      <c r="CN85" s="5">
        <f t="shared" si="145"/>
        <v>0</v>
      </c>
      <c r="DE85" s="130" t="e">
        <f t="shared" si="146"/>
        <v>#NUM!</v>
      </c>
      <c r="DF85" s="130" t="e">
        <f t="shared" si="147"/>
        <v>#NUM!</v>
      </c>
      <c r="DG85" s="130" t="e">
        <f t="shared" si="173"/>
        <v>#NUM!</v>
      </c>
      <c r="DH85" s="130" t="e">
        <f t="shared" si="148"/>
        <v>#NUM!</v>
      </c>
      <c r="DJ85" s="130" t="e">
        <f t="shared" si="149"/>
        <v>#NUM!</v>
      </c>
      <c r="DK85" s="130" t="e">
        <f t="shared" si="150"/>
        <v>#NUM!</v>
      </c>
      <c r="DL85" s="130" t="e">
        <f t="shared" si="174"/>
        <v>#NUM!</v>
      </c>
      <c r="DO85" s="130" t="e">
        <f t="shared" si="151"/>
        <v>#NUM!</v>
      </c>
      <c r="DP85" s="130" t="e">
        <f t="shared" si="152"/>
        <v>#NUM!</v>
      </c>
      <c r="DQ85" s="130" t="e">
        <f t="shared" si="175"/>
        <v>#NUM!</v>
      </c>
    </row>
    <row r="86" spans="2:121" hidden="1">
      <c r="B86" s="231">
        <v>80</v>
      </c>
      <c r="C86" s="280"/>
      <c r="D86" s="475"/>
      <c r="E86" s="318">
        <f t="shared" si="153"/>
        <v>42780</v>
      </c>
      <c r="F86" s="542">
        <f t="shared" si="184"/>
        <v>0</v>
      </c>
      <c r="G86" s="239"/>
      <c r="H86" s="685">
        <f t="shared" si="154"/>
        <v>0</v>
      </c>
      <c r="I86" s="234"/>
      <c r="J86" s="597">
        <f t="shared" si="155"/>
        <v>0</v>
      </c>
      <c r="K86" s="478">
        <f t="shared" si="156"/>
        <v>0</v>
      </c>
      <c r="L86" s="234"/>
      <c r="M86" s="235">
        <f t="shared" si="157"/>
        <v>0</v>
      </c>
      <c r="N86" s="479">
        <f t="shared" si="158"/>
        <v>0</v>
      </c>
      <c r="O86" s="234"/>
      <c r="P86" s="235">
        <f t="shared" si="159"/>
        <v>0</v>
      </c>
      <c r="Q86" s="651">
        <f t="shared" si="160"/>
        <v>0</v>
      </c>
      <c r="R86" s="479">
        <f>IF(J86&gt;0,IF(OR(ManualMode=FALSE,ISBLANK(S86)),'Pricing - Advanced'!$F$16*J86+'Pricing - Advanced'!$F$17,"N/A"),0)</f>
        <v>0</v>
      </c>
      <c r="S86" s="234"/>
      <c r="T86" s="235">
        <f t="shared" si="161"/>
        <v>0</v>
      </c>
      <c r="U86" s="599">
        <f>IF(OR(ManualMode=FALSE,ISBLANK(V86)),SUM(K86:L86)*'Pricing - Advanced'!$F$19+SUM(N86,O86)*'Pricing - Advanced'!$F$18,"N/A")</f>
        <v>0</v>
      </c>
      <c r="V86" s="234"/>
      <c r="W86" s="236">
        <f t="shared" si="162"/>
        <v>0</v>
      </c>
      <c r="X86" s="237">
        <f>'Pricing - Advanced'!$F$20*SUM(H86:I86)+IF(J86&gt;1,'Pricing - Advanced'!$F$21,0)</f>
        <v>0</v>
      </c>
      <c r="Y86" s="688">
        <f>IF(AND(FullTerm&gt;=B86,AB85&gt;0),AB85*'Pricing - Advanced'!$I$128,0)</f>
        <v>0</v>
      </c>
      <c r="Z86" s="233">
        <f t="shared" si="163"/>
        <v>0</v>
      </c>
      <c r="AA86" s="234"/>
      <c r="AB86" s="597">
        <f t="shared" si="164"/>
        <v>0</v>
      </c>
      <c r="AC86" s="236">
        <f t="shared" si="121"/>
        <v>0</v>
      </c>
      <c r="AF86" s="762" t="e">
        <f t="shared" si="165"/>
        <v>#N/A</v>
      </c>
      <c r="AG86" s="759" t="e">
        <f t="shared" si="122"/>
        <v>#N/A</v>
      </c>
      <c r="AH86" s="759">
        <f>IF(J86=0,0,J86-SUM($N$6:N86)-AB85)</f>
        <v>0</v>
      </c>
      <c r="AI86" s="759">
        <f t="shared" si="123"/>
        <v>0</v>
      </c>
      <c r="AJ86" s="760">
        <f t="shared" si="176"/>
        <v>3.0000000000000001E-3</v>
      </c>
      <c r="AK86" s="760">
        <f t="shared" si="177"/>
        <v>3.0000000000000001E-3</v>
      </c>
      <c r="AN86" s="1" t="b">
        <f t="shared" si="178"/>
        <v>1</v>
      </c>
      <c r="AQ86" s="15">
        <f>IF(J85&gt;1,IF(int_method=2,$AG$229*J85,$AG$229*'Pricing - Advanced'!$E$4),0)</f>
        <v>0</v>
      </c>
      <c r="AR86" s="5">
        <f t="shared" si="166"/>
        <v>0</v>
      </c>
      <c r="AS86" s="204">
        <f t="shared" si="179"/>
        <v>42780</v>
      </c>
      <c r="AT86" s="1">
        <f>IF($AT$4=FALSE,B86*'Pricing - Advanced'!$K$5,AT85+E86-E85)</f>
        <v>2437</v>
      </c>
      <c r="AW86">
        <f t="shared" si="167"/>
        <v>0</v>
      </c>
      <c r="AX86">
        <f t="shared" si="124"/>
        <v>0</v>
      </c>
      <c r="AY86">
        <f t="shared" si="125"/>
        <v>0</v>
      </c>
      <c r="AZ86">
        <f t="shared" si="126"/>
        <v>0</v>
      </c>
      <c r="BA86" s="603">
        <f t="shared" si="168"/>
        <v>0</v>
      </c>
      <c r="BB86" s="603">
        <f t="shared" si="169"/>
        <v>0</v>
      </c>
      <c r="BC86" s="5">
        <f t="shared" si="127"/>
        <v>0</v>
      </c>
      <c r="BE86" s="157">
        <f t="shared" si="128"/>
        <v>80</v>
      </c>
      <c r="BF86" s="489">
        <f t="shared" si="170"/>
        <v>2437</v>
      </c>
      <c r="BG86" s="146">
        <f t="shared" si="129"/>
        <v>0</v>
      </c>
      <c r="BH86" s="147">
        <f t="shared" si="130"/>
        <v>0</v>
      </c>
      <c r="BI86" s="154" t="e">
        <f t="shared" si="131"/>
        <v>#NUM!</v>
      </c>
      <c r="BJ86" s="277" t="e">
        <f t="shared" si="181"/>
        <v>#NUM!</v>
      </c>
      <c r="BK86" s="147" t="e">
        <f t="shared" si="182"/>
        <v>#NUM!</v>
      </c>
      <c r="BL86" s="132" t="e">
        <f t="shared" si="183"/>
        <v>#NUM!</v>
      </c>
      <c r="BN86" s="497">
        <f t="shared" si="132"/>
        <v>80</v>
      </c>
      <c r="BO86" s="497">
        <f t="shared" si="133"/>
        <v>2437</v>
      </c>
      <c r="BP86">
        <f t="shared" si="134"/>
        <v>0</v>
      </c>
      <c r="BQ86">
        <f t="shared" si="135"/>
        <v>0</v>
      </c>
      <c r="BR86" s="499" t="e">
        <f t="shared" si="136"/>
        <v>#NUM!</v>
      </c>
      <c r="BS86" s="277" t="e">
        <f t="shared" si="180"/>
        <v>#NUM!</v>
      </c>
      <c r="BT86" s="5" t="e">
        <f t="shared" si="137"/>
        <v>#NUM!</v>
      </c>
      <c r="BU86" s="5" t="e">
        <f t="shared" si="138"/>
        <v>#NUM!</v>
      </c>
      <c r="BW86" s="5"/>
      <c r="BX86" s="5"/>
      <c r="BY86" s="5"/>
      <c r="BZ86" s="5"/>
      <c r="CA86" s="130" t="e">
        <f t="shared" si="139"/>
        <v>#NUM!</v>
      </c>
      <c r="CB86" s="5"/>
      <c r="CC86" s="5" t="e">
        <f t="shared" si="140"/>
        <v>#NUM!</v>
      </c>
      <c r="CD86" s="5" t="e">
        <f t="shared" si="141"/>
        <v>#NUM!</v>
      </c>
      <c r="CE86" s="5"/>
      <c r="CI86" s="130">
        <f t="shared" si="142"/>
        <v>2.6365919414754839</v>
      </c>
      <c r="CJ86" s="130">
        <f t="shared" si="143"/>
        <v>2.6386922782325852</v>
      </c>
      <c r="CK86" s="296">
        <f t="shared" si="171"/>
        <v>2.8201153597645967</v>
      </c>
      <c r="CL86" s="130">
        <f t="shared" si="144"/>
        <v>2.8201153597645967</v>
      </c>
      <c r="CM86" s="5">
        <f t="shared" si="172"/>
        <v>0</v>
      </c>
      <c r="CN86" s="5">
        <f t="shared" si="145"/>
        <v>0</v>
      </c>
      <c r="DE86" s="130" t="e">
        <f t="shared" si="146"/>
        <v>#NUM!</v>
      </c>
      <c r="DF86" s="130" t="e">
        <f t="shared" si="147"/>
        <v>#NUM!</v>
      </c>
      <c r="DG86" s="130" t="e">
        <f t="shared" si="173"/>
        <v>#NUM!</v>
      </c>
      <c r="DH86" s="130" t="e">
        <f t="shared" si="148"/>
        <v>#NUM!</v>
      </c>
      <c r="DJ86" s="130" t="e">
        <f t="shared" si="149"/>
        <v>#NUM!</v>
      </c>
      <c r="DK86" s="130" t="e">
        <f t="shared" si="150"/>
        <v>#NUM!</v>
      </c>
      <c r="DL86" s="130" t="e">
        <f t="shared" si="174"/>
        <v>#NUM!</v>
      </c>
      <c r="DO86" s="130" t="e">
        <f t="shared" si="151"/>
        <v>#NUM!</v>
      </c>
      <c r="DP86" s="130" t="e">
        <f t="shared" si="152"/>
        <v>#NUM!</v>
      </c>
      <c r="DQ86" s="130" t="e">
        <f t="shared" si="175"/>
        <v>#NUM!</v>
      </c>
    </row>
    <row r="87" spans="2:121" hidden="1">
      <c r="B87" s="231">
        <v>81</v>
      </c>
      <c r="C87" s="280"/>
      <c r="D87" s="475"/>
      <c r="E87" s="318">
        <f t="shared" si="153"/>
        <v>42808</v>
      </c>
      <c r="F87" s="542">
        <f t="shared" si="184"/>
        <v>0</v>
      </c>
      <c r="G87" s="239"/>
      <c r="H87" s="685">
        <f t="shared" si="154"/>
        <v>0</v>
      </c>
      <c r="I87" s="234"/>
      <c r="J87" s="597">
        <f t="shared" si="155"/>
        <v>0</v>
      </c>
      <c r="K87" s="478">
        <f t="shared" si="156"/>
        <v>0</v>
      </c>
      <c r="L87" s="234"/>
      <c r="M87" s="235">
        <f t="shared" si="157"/>
        <v>0</v>
      </c>
      <c r="N87" s="479">
        <f t="shared" si="158"/>
        <v>0</v>
      </c>
      <c r="O87" s="234"/>
      <c r="P87" s="235">
        <f t="shared" si="159"/>
        <v>0</v>
      </c>
      <c r="Q87" s="651">
        <f t="shared" si="160"/>
        <v>0</v>
      </c>
      <c r="R87" s="479">
        <f>IF(J87&gt;0,IF(OR(ManualMode=FALSE,ISBLANK(S87)),'Pricing - Advanced'!$F$16*J87+'Pricing - Advanced'!$F$17,"N/A"),0)</f>
        <v>0</v>
      </c>
      <c r="S87" s="234"/>
      <c r="T87" s="235">
        <f t="shared" si="161"/>
        <v>0</v>
      </c>
      <c r="U87" s="599">
        <f>IF(OR(ManualMode=FALSE,ISBLANK(V87)),SUM(K87:L87)*'Pricing - Advanced'!$F$19+SUM(N87,O87)*'Pricing - Advanced'!$F$18,"N/A")</f>
        <v>0</v>
      </c>
      <c r="V87" s="234"/>
      <c r="W87" s="236">
        <f t="shared" si="162"/>
        <v>0</v>
      </c>
      <c r="X87" s="237">
        <f>'Pricing - Advanced'!$F$20*SUM(H87:I87)+IF(J87&gt;1,'Pricing - Advanced'!$F$21,0)</f>
        <v>0</v>
      </c>
      <c r="Y87" s="688">
        <f>IF(AND(FullTerm&gt;=B87,AB86&gt;0),AB86*'Pricing - Advanced'!$I$128,0)</f>
        <v>0</v>
      </c>
      <c r="Z87" s="233">
        <f t="shared" si="163"/>
        <v>0</v>
      </c>
      <c r="AA87" s="234"/>
      <c r="AB87" s="597">
        <f t="shared" si="164"/>
        <v>0</v>
      </c>
      <c r="AC87" s="236">
        <f t="shared" si="121"/>
        <v>0</v>
      </c>
      <c r="AF87" s="762" t="e">
        <f t="shared" si="165"/>
        <v>#N/A</v>
      </c>
      <c r="AG87" s="759" t="e">
        <f t="shared" si="122"/>
        <v>#N/A</v>
      </c>
      <c r="AH87" s="759">
        <f>IF(J87=0,0,J87-SUM($N$6:N87)-AB86)</f>
        <v>0</v>
      </c>
      <c r="AI87" s="759">
        <f t="shared" si="123"/>
        <v>0</v>
      </c>
      <c r="AJ87" s="760">
        <f t="shared" si="176"/>
        <v>3.0000000000000001E-3</v>
      </c>
      <c r="AK87" s="760">
        <f t="shared" si="177"/>
        <v>3.0000000000000001E-3</v>
      </c>
      <c r="AN87" s="1" t="b">
        <f t="shared" si="178"/>
        <v>1</v>
      </c>
      <c r="AQ87" s="15">
        <f>IF(J86&gt;1,IF(int_method=2,$AG$229*J86,$AG$229*'Pricing - Advanced'!$E$4),0)</f>
        <v>0</v>
      </c>
      <c r="AR87" s="5">
        <f t="shared" si="166"/>
        <v>0</v>
      </c>
      <c r="AS87" s="204">
        <f t="shared" si="179"/>
        <v>42808</v>
      </c>
      <c r="AT87" s="1">
        <f>IF($AT$4=FALSE,B87*'Pricing - Advanced'!$K$5,AT86+E87-E86)</f>
        <v>2465</v>
      </c>
      <c r="AW87">
        <f t="shared" si="167"/>
        <v>0</v>
      </c>
      <c r="AX87">
        <f t="shared" si="124"/>
        <v>0</v>
      </c>
      <c r="AY87">
        <f t="shared" si="125"/>
        <v>0</v>
      </c>
      <c r="AZ87">
        <f t="shared" si="126"/>
        <v>0</v>
      </c>
      <c r="BA87" s="603">
        <f t="shared" si="168"/>
        <v>0</v>
      </c>
      <c r="BB87" s="603">
        <f t="shared" si="169"/>
        <v>0</v>
      </c>
      <c r="BC87" s="5">
        <f t="shared" si="127"/>
        <v>0</v>
      </c>
      <c r="BE87" s="157">
        <f t="shared" si="128"/>
        <v>81</v>
      </c>
      <c r="BF87" s="489">
        <f t="shared" si="170"/>
        <v>2465</v>
      </c>
      <c r="BG87" s="146">
        <f t="shared" si="129"/>
        <v>0</v>
      </c>
      <c r="BH87" s="147">
        <f t="shared" si="130"/>
        <v>0</v>
      </c>
      <c r="BI87" s="154" t="e">
        <f t="shared" si="131"/>
        <v>#NUM!</v>
      </c>
      <c r="BJ87" s="277" t="e">
        <f t="shared" si="181"/>
        <v>#NUM!</v>
      </c>
      <c r="BK87" s="147" t="e">
        <f t="shared" si="182"/>
        <v>#NUM!</v>
      </c>
      <c r="BL87" s="132" t="e">
        <f t="shared" si="183"/>
        <v>#NUM!</v>
      </c>
      <c r="BN87" s="497">
        <f t="shared" si="132"/>
        <v>81</v>
      </c>
      <c r="BO87" s="497">
        <f t="shared" si="133"/>
        <v>2465</v>
      </c>
      <c r="BP87">
        <f t="shared" si="134"/>
        <v>0</v>
      </c>
      <c r="BQ87">
        <f t="shared" si="135"/>
        <v>0</v>
      </c>
      <c r="BR87" s="499" t="e">
        <f t="shared" si="136"/>
        <v>#NUM!</v>
      </c>
      <c r="BS87" s="277" t="e">
        <f t="shared" si="180"/>
        <v>#NUM!</v>
      </c>
      <c r="BT87" s="5" t="e">
        <f t="shared" si="137"/>
        <v>#NUM!</v>
      </c>
      <c r="BU87" s="5" t="e">
        <f t="shared" si="138"/>
        <v>#NUM!</v>
      </c>
      <c r="BW87" s="5"/>
      <c r="BX87" s="5"/>
      <c r="BY87" s="5"/>
      <c r="BZ87" s="5"/>
      <c r="CA87" s="130" t="e">
        <f t="shared" si="139"/>
        <v>#NUM!</v>
      </c>
      <c r="CB87" s="5"/>
      <c r="CC87" s="5" t="e">
        <f t="shared" si="140"/>
        <v>#NUM!</v>
      </c>
      <c r="CD87" s="5" t="e">
        <f t="shared" si="141"/>
        <v>#NUM!</v>
      </c>
      <c r="CE87" s="5"/>
      <c r="CI87" s="130">
        <f t="shared" si="142"/>
        <v>2.6687381062982909</v>
      </c>
      <c r="CJ87" s="130">
        <f t="shared" si="143"/>
        <v>2.6682732815074841</v>
      </c>
      <c r="CK87" s="296">
        <f t="shared" si="171"/>
        <v>2.856901123742364</v>
      </c>
      <c r="CL87" s="130">
        <f t="shared" si="144"/>
        <v>2.856901123742364</v>
      </c>
      <c r="CM87" s="5">
        <f t="shared" si="172"/>
        <v>0</v>
      </c>
      <c r="CN87" s="5">
        <f t="shared" si="145"/>
        <v>0</v>
      </c>
      <c r="DE87" s="130" t="e">
        <f t="shared" si="146"/>
        <v>#NUM!</v>
      </c>
      <c r="DF87" s="130" t="e">
        <f t="shared" si="147"/>
        <v>#NUM!</v>
      </c>
      <c r="DG87" s="130" t="e">
        <f t="shared" si="173"/>
        <v>#NUM!</v>
      </c>
      <c r="DH87" s="130" t="e">
        <f t="shared" si="148"/>
        <v>#NUM!</v>
      </c>
      <c r="DJ87" s="130" t="e">
        <f t="shared" si="149"/>
        <v>#NUM!</v>
      </c>
      <c r="DK87" s="130" t="e">
        <f t="shared" si="150"/>
        <v>#NUM!</v>
      </c>
      <c r="DL87" s="130" t="e">
        <f t="shared" si="174"/>
        <v>#NUM!</v>
      </c>
      <c r="DO87" s="130" t="e">
        <f t="shared" si="151"/>
        <v>#NUM!</v>
      </c>
      <c r="DP87" s="130" t="e">
        <f t="shared" si="152"/>
        <v>#NUM!</v>
      </c>
      <c r="DQ87" s="130" t="e">
        <f t="shared" si="175"/>
        <v>#NUM!</v>
      </c>
    </row>
    <row r="88" spans="2:121" hidden="1">
      <c r="B88" s="231">
        <v>82</v>
      </c>
      <c r="C88" s="280"/>
      <c r="D88" s="475"/>
      <c r="E88" s="318">
        <f t="shared" si="153"/>
        <v>42839</v>
      </c>
      <c r="F88" s="542">
        <f t="shared" si="184"/>
        <v>0</v>
      </c>
      <c r="G88" s="239"/>
      <c r="H88" s="685">
        <f t="shared" si="154"/>
        <v>0</v>
      </c>
      <c r="I88" s="234"/>
      <c r="J88" s="597">
        <f t="shared" si="155"/>
        <v>0</v>
      </c>
      <c r="K88" s="478">
        <f t="shared" si="156"/>
        <v>0</v>
      </c>
      <c r="L88" s="234"/>
      <c r="M88" s="235">
        <f t="shared" si="157"/>
        <v>0</v>
      </c>
      <c r="N88" s="479">
        <f t="shared" si="158"/>
        <v>0</v>
      </c>
      <c r="O88" s="234"/>
      <c r="P88" s="235">
        <f t="shared" si="159"/>
        <v>0</v>
      </c>
      <c r="Q88" s="651">
        <f t="shared" si="160"/>
        <v>0</v>
      </c>
      <c r="R88" s="479">
        <f>IF(J88&gt;0,IF(OR(ManualMode=FALSE,ISBLANK(S88)),'Pricing - Advanced'!$F$16*J88+'Pricing - Advanced'!$F$17,"N/A"),0)</f>
        <v>0</v>
      </c>
      <c r="S88" s="234"/>
      <c r="T88" s="235">
        <f t="shared" si="161"/>
        <v>0</v>
      </c>
      <c r="U88" s="599">
        <f>IF(OR(ManualMode=FALSE,ISBLANK(V88)),SUM(K88:L88)*'Pricing - Advanced'!$F$19+SUM(N88,O88)*'Pricing - Advanced'!$F$18,"N/A")</f>
        <v>0</v>
      </c>
      <c r="V88" s="234"/>
      <c r="W88" s="236">
        <f t="shared" si="162"/>
        <v>0</v>
      </c>
      <c r="X88" s="237">
        <f>'Pricing - Advanced'!$F$20*SUM(H88:I88)+IF(J88&gt;1,'Pricing - Advanced'!$F$21,0)</f>
        <v>0</v>
      </c>
      <c r="Y88" s="688">
        <f>IF(AND(FullTerm&gt;=B88,AB87&gt;0),AB87*'Pricing - Advanced'!$I$128,0)</f>
        <v>0</v>
      </c>
      <c r="Z88" s="233">
        <f t="shared" si="163"/>
        <v>0</v>
      </c>
      <c r="AA88" s="234"/>
      <c r="AB88" s="597">
        <f t="shared" si="164"/>
        <v>0</v>
      </c>
      <c r="AC88" s="236">
        <f t="shared" si="121"/>
        <v>0</v>
      </c>
      <c r="AF88" s="762" t="e">
        <f t="shared" si="165"/>
        <v>#N/A</v>
      </c>
      <c r="AG88" s="759" t="e">
        <f t="shared" si="122"/>
        <v>#N/A</v>
      </c>
      <c r="AH88" s="759">
        <f>IF(J88=0,0,J88-SUM($N$6:N88)-AB87)</f>
        <v>0</v>
      </c>
      <c r="AI88" s="759">
        <f t="shared" si="123"/>
        <v>0</v>
      </c>
      <c r="AJ88" s="760">
        <f t="shared" si="176"/>
        <v>3.0000000000000001E-3</v>
      </c>
      <c r="AK88" s="760">
        <f t="shared" si="177"/>
        <v>3.0000000000000001E-3</v>
      </c>
      <c r="AN88" s="1" t="b">
        <f t="shared" si="178"/>
        <v>1</v>
      </c>
      <c r="AQ88" s="15">
        <f>IF(J87&gt;1,IF(int_method=2,$AG$229*J87,$AG$229*'Pricing - Advanced'!$E$4),0)</f>
        <v>0</v>
      </c>
      <c r="AR88" s="5">
        <f t="shared" si="166"/>
        <v>0</v>
      </c>
      <c r="AS88" s="204">
        <f t="shared" si="179"/>
        <v>42839</v>
      </c>
      <c r="AT88" s="1">
        <f>IF($AT$4=FALSE,B88*'Pricing - Advanced'!$K$5,AT87+E88-E87)</f>
        <v>2496</v>
      </c>
      <c r="AW88">
        <f t="shared" si="167"/>
        <v>0</v>
      </c>
      <c r="AX88">
        <f t="shared" si="124"/>
        <v>0</v>
      </c>
      <c r="AY88">
        <f t="shared" si="125"/>
        <v>0</v>
      </c>
      <c r="AZ88">
        <f t="shared" si="126"/>
        <v>0</v>
      </c>
      <c r="BA88" s="603">
        <f t="shared" si="168"/>
        <v>0</v>
      </c>
      <c r="BB88" s="603">
        <f t="shared" si="169"/>
        <v>0</v>
      </c>
      <c r="BC88" s="5">
        <f t="shared" si="127"/>
        <v>0</v>
      </c>
      <c r="BE88" s="157">
        <f t="shared" si="128"/>
        <v>82</v>
      </c>
      <c r="BF88" s="489">
        <f t="shared" si="170"/>
        <v>2496</v>
      </c>
      <c r="BG88" s="146">
        <f t="shared" si="129"/>
        <v>0</v>
      </c>
      <c r="BH88" s="147">
        <f t="shared" si="130"/>
        <v>0</v>
      </c>
      <c r="BI88" s="154" t="e">
        <f t="shared" si="131"/>
        <v>#NUM!</v>
      </c>
      <c r="BJ88" s="277" t="e">
        <f t="shared" si="181"/>
        <v>#NUM!</v>
      </c>
      <c r="BK88" s="147" t="e">
        <f t="shared" si="182"/>
        <v>#NUM!</v>
      </c>
      <c r="BL88" s="132" t="e">
        <f t="shared" si="183"/>
        <v>#NUM!</v>
      </c>
      <c r="BN88" s="497">
        <f t="shared" si="132"/>
        <v>82</v>
      </c>
      <c r="BO88" s="497">
        <f t="shared" si="133"/>
        <v>2496</v>
      </c>
      <c r="BP88">
        <f t="shared" si="134"/>
        <v>0</v>
      </c>
      <c r="BQ88">
        <f t="shared" si="135"/>
        <v>0</v>
      </c>
      <c r="BR88" s="499" t="e">
        <f t="shared" si="136"/>
        <v>#NUM!</v>
      </c>
      <c r="BS88" s="277" t="e">
        <f t="shared" si="180"/>
        <v>#NUM!</v>
      </c>
      <c r="BT88" s="5" t="e">
        <f t="shared" si="137"/>
        <v>#NUM!</v>
      </c>
      <c r="BU88" s="5" t="e">
        <f t="shared" si="138"/>
        <v>#NUM!</v>
      </c>
      <c r="BW88" s="5"/>
      <c r="BX88" s="5"/>
      <c r="BY88" s="5"/>
      <c r="BZ88" s="5"/>
      <c r="CA88" s="130" t="e">
        <f t="shared" si="139"/>
        <v>#NUM!</v>
      </c>
      <c r="CB88" s="5"/>
      <c r="CC88" s="5" t="e">
        <f t="shared" si="140"/>
        <v>#NUM!</v>
      </c>
      <c r="CD88" s="5" t="e">
        <f t="shared" si="141"/>
        <v>#NUM!</v>
      </c>
      <c r="CE88" s="5"/>
      <c r="CI88" s="130">
        <f t="shared" si="142"/>
        <v>2.7012762073538381</v>
      </c>
      <c r="CJ88" s="130">
        <f t="shared" si="143"/>
        <v>2.7014106487165637</v>
      </c>
      <c r="CK88" s="296">
        <f t="shared" si="171"/>
        <v>2.8941667235632798</v>
      </c>
      <c r="CL88" s="130">
        <f t="shared" si="144"/>
        <v>2.8941667235632798</v>
      </c>
      <c r="CM88" s="5">
        <f t="shared" si="172"/>
        <v>0</v>
      </c>
      <c r="CN88" s="5">
        <f t="shared" si="145"/>
        <v>0</v>
      </c>
      <c r="DE88" s="130" t="e">
        <f t="shared" si="146"/>
        <v>#NUM!</v>
      </c>
      <c r="DF88" s="130" t="e">
        <f t="shared" si="147"/>
        <v>#NUM!</v>
      </c>
      <c r="DG88" s="130" t="e">
        <f t="shared" si="173"/>
        <v>#NUM!</v>
      </c>
      <c r="DH88" s="130" t="e">
        <f t="shared" si="148"/>
        <v>#NUM!</v>
      </c>
      <c r="DJ88" s="130" t="e">
        <f t="shared" si="149"/>
        <v>#NUM!</v>
      </c>
      <c r="DK88" s="130" t="e">
        <f t="shared" si="150"/>
        <v>#NUM!</v>
      </c>
      <c r="DL88" s="130" t="e">
        <f t="shared" si="174"/>
        <v>#NUM!</v>
      </c>
      <c r="DO88" s="130" t="e">
        <f t="shared" si="151"/>
        <v>#NUM!</v>
      </c>
      <c r="DP88" s="130" t="e">
        <f t="shared" si="152"/>
        <v>#NUM!</v>
      </c>
      <c r="DQ88" s="130" t="e">
        <f t="shared" si="175"/>
        <v>#NUM!</v>
      </c>
    </row>
    <row r="89" spans="2:121" hidden="1">
      <c r="B89" s="231">
        <v>83</v>
      </c>
      <c r="C89" s="280"/>
      <c r="D89" s="475"/>
      <c r="E89" s="318">
        <f t="shared" si="153"/>
        <v>42869</v>
      </c>
      <c r="F89" s="542">
        <f t="shared" si="184"/>
        <v>0</v>
      </c>
      <c r="G89" s="239"/>
      <c r="H89" s="685">
        <f t="shared" si="154"/>
        <v>0</v>
      </c>
      <c r="I89" s="234"/>
      <c r="J89" s="597">
        <f t="shared" si="155"/>
        <v>0</v>
      </c>
      <c r="K89" s="478">
        <f t="shared" si="156"/>
        <v>0</v>
      </c>
      <c r="L89" s="234"/>
      <c r="M89" s="235">
        <f t="shared" si="157"/>
        <v>0</v>
      </c>
      <c r="N89" s="479">
        <f t="shared" si="158"/>
        <v>0</v>
      </c>
      <c r="O89" s="234"/>
      <c r="P89" s="235">
        <f t="shared" si="159"/>
        <v>0</v>
      </c>
      <c r="Q89" s="651">
        <f t="shared" si="160"/>
        <v>0</v>
      </c>
      <c r="R89" s="479">
        <f>IF(J89&gt;0,IF(OR(ManualMode=FALSE,ISBLANK(S89)),'Pricing - Advanced'!$F$16*J89+'Pricing - Advanced'!$F$17,"N/A"),0)</f>
        <v>0</v>
      </c>
      <c r="S89" s="234"/>
      <c r="T89" s="235">
        <f t="shared" si="161"/>
        <v>0</v>
      </c>
      <c r="U89" s="599">
        <f>IF(OR(ManualMode=FALSE,ISBLANK(V89)),SUM(K89:L89)*'Pricing - Advanced'!$F$19+SUM(N89,O89)*'Pricing - Advanced'!$F$18,"N/A")</f>
        <v>0</v>
      </c>
      <c r="V89" s="234"/>
      <c r="W89" s="236">
        <f t="shared" si="162"/>
        <v>0</v>
      </c>
      <c r="X89" s="237">
        <f>'Pricing - Advanced'!$F$20*SUM(H89:I89)+IF(J89&gt;1,'Pricing - Advanced'!$F$21,0)</f>
        <v>0</v>
      </c>
      <c r="Y89" s="688">
        <f>IF(AND(FullTerm&gt;=B89,AB88&gt;0),AB88*'Pricing - Advanced'!$I$128,0)</f>
        <v>0</v>
      </c>
      <c r="Z89" s="233">
        <f t="shared" si="163"/>
        <v>0</v>
      </c>
      <c r="AA89" s="234"/>
      <c r="AB89" s="597">
        <f t="shared" si="164"/>
        <v>0</v>
      </c>
      <c r="AC89" s="236">
        <f t="shared" si="121"/>
        <v>0</v>
      </c>
      <c r="AF89" s="762" t="e">
        <f t="shared" si="165"/>
        <v>#N/A</v>
      </c>
      <c r="AG89" s="759" t="e">
        <f t="shared" si="122"/>
        <v>#N/A</v>
      </c>
      <c r="AH89" s="759">
        <f>IF(J89=0,0,J89-SUM($N$6:N89)-AB88)</f>
        <v>0</v>
      </c>
      <c r="AI89" s="759">
        <f t="shared" si="123"/>
        <v>0</v>
      </c>
      <c r="AJ89" s="760">
        <f t="shared" si="176"/>
        <v>3.0000000000000001E-3</v>
      </c>
      <c r="AK89" s="760">
        <f t="shared" si="177"/>
        <v>3.0000000000000001E-3</v>
      </c>
      <c r="AN89" s="1" t="b">
        <f t="shared" si="178"/>
        <v>1</v>
      </c>
      <c r="AQ89" s="15">
        <f>IF(J88&gt;1,IF(int_method=2,$AG$229*J88,$AG$229*'Pricing - Advanced'!$E$4),0)</f>
        <v>0</v>
      </c>
      <c r="AR89" s="5">
        <f t="shared" si="166"/>
        <v>0</v>
      </c>
      <c r="AS89" s="204">
        <f t="shared" si="179"/>
        <v>42869</v>
      </c>
      <c r="AT89" s="1">
        <f>IF($AT$4=FALSE,B89*'Pricing - Advanced'!$K$5,AT88+E89-E88)</f>
        <v>2526</v>
      </c>
      <c r="AW89">
        <f t="shared" si="167"/>
        <v>0</v>
      </c>
      <c r="AX89">
        <f t="shared" si="124"/>
        <v>0</v>
      </c>
      <c r="AY89">
        <f t="shared" si="125"/>
        <v>0</v>
      </c>
      <c r="AZ89">
        <f t="shared" si="126"/>
        <v>0</v>
      </c>
      <c r="BA89" s="603">
        <f t="shared" si="168"/>
        <v>0</v>
      </c>
      <c r="BB89" s="603">
        <f t="shared" si="169"/>
        <v>0</v>
      </c>
      <c r="BC89" s="5">
        <f t="shared" si="127"/>
        <v>0</v>
      </c>
      <c r="BE89" s="157">
        <f t="shared" si="128"/>
        <v>83</v>
      </c>
      <c r="BF89" s="489">
        <f t="shared" si="170"/>
        <v>2526</v>
      </c>
      <c r="BG89" s="146">
        <f t="shared" si="129"/>
        <v>0</v>
      </c>
      <c r="BH89" s="147">
        <f t="shared" si="130"/>
        <v>0</v>
      </c>
      <c r="BI89" s="154" t="e">
        <f t="shared" si="131"/>
        <v>#NUM!</v>
      </c>
      <c r="BJ89" s="277" t="e">
        <f t="shared" si="181"/>
        <v>#NUM!</v>
      </c>
      <c r="BK89" s="147" t="e">
        <f t="shared" si="182"/>
        <v>#NUM!</v>
      </c>
      <c r="BL89" s="132" t="e">
        <f t="shared" si="183"/>
        <v>#NUM!</v>
      </c>
      <c r="BN89" s="497">
        <f t="shared" si="132"/>
        <v>83</v>
      </c>
      <c r="BO89" s="497">
        <f t="shared" si="133"/>
        <v>2526</v>
      </c>
      <c r="BP89">
        <f t="shared" si="134"/>
        <v>0</v>
      </c>
      <c r="BQ89">
        <f t="shared" si="135"/>
        <v>0</v>
      </c>
      <c r="BR89" s="499" t="e">
        <f t="shared" si="136"/>
        <v>#NUM!</v>
      </c>
      <c r="BS89" s="277" t="e">
        <f t="shared" si="180"/>
        <v>#NUM!</v>
      </c>
      <c r="BT89" s="5" t="e">
        <f t="shared" si="137"/>
        <v>#NUM!</v>
      </c>
      <c r="BU89" s="5" t="e">
        <f t="shared" si="138"/>
        <v>#NUM!</v>
      </c>
      <c r="BW89" s="5"/>
      <c r="BX89" s="5"/>
      <c r="BY89" s="5"/>
      <c r="BZ89" s="5"/>
      <c r="CA89" s="130" t="e">
        <f t="shared" si="139"/>
        <v>#NUM!</v>
      </c>
      <c r="CB89" s="5"/>
      <c r="CC89" s="5" t="e">
        <f t="shared" si="140"/>
        <v>#NUM!</v>
      </c>
      <c r="CD89" s="5" t="e">
        <f t="shared" si="141"/>
        <v>#NUM!</v>
      </c>
      <c r="CE89" s="5"/>
      <c r="CI89" s="130">
        <f t="shared" si="142"/>
        <v>2.73421102325293</v>
      </c>
      <c r="CJ89" s="130">
        <f t="shared" si="143"/>
        <v>2.7338708515950421</v>
      </c>
      <c r="CK89" s="296">
        <f t="shared" si="171"/>
        <v>2.9319184182365765</v>
      </c>
      <c r="CL89" s="130">
        <f t="shared" si="144"/>
        <v>2.9319184182365765</v>
      </c>
      <c r="CM89" s="5">
        <f t="shared" si="172"/>
        <v>0</v>
      </c>
      <c r="CN89" s="5">
        <f t="shared" si="145"/>
        <v>0</v>
      </c>
      <c r="DE89" s="130" t="e">
        <f t="shared" si="146"/>
        <v>#NUM!</v>
      </c>
      <c r="DF89" s="130" t="e">
        <f t="shared" si="147"/>
        <v>#NUM!</v>
      </c>
      <c r="DG89" s="130" t="e">
        <f t="shared" si="173"/>
        <v>#NUM!</v>
      </c>
      <c r="DH89" s="130" t="e">
        <f t="shared" si="148"/>
        <v>#NUM!</v>
      </c>
      <c r="DJ89" s="130" t="e">
        <f t="shared" si="149"/>
        <v>#NUM!</v>
      </c>
      <c r="DK89" s="130" t="e">
        <f t="shared" si="150"/>
        <v>#NUM!</v>
      </c>
      <c r="DL89" s="130" t="e">
        <f t="shared" si="174"/>
        <v>#NUM!</v>
      </c>
      <c r="DO89" s="130" t="e">
        <f t="shared" si="151"/>
        <v>#NUM!</v>
      </c>
      <c r="DP89" s="130" t="e">
        <f t="shared" si="152"/>
        <v>#NUM!</v>
      </c>
      <c r="DQ89" s="130" t="e">
        <f t="shared" si="175"/>
        <v>#NUM!</v>
      </c>
    </row>
    <row r="90" spans="2:121" hidden="1">
      <c r="B90" s="231">
        <v>84</v>
      </c>
      <c r="C90" s="280"/>
      <c r="D90" s="475"/>
      <c r="E90" s="318">
        <f t="shared" si="153"/>
        <v>42900</v>
      </c>
      <c r="F90" s="542">
        <f t="shared" si="184"/>
        <v>0</v>
      </c>
      <c r="G90" s="239"/>
      <c r="H90" s="685">
        <f t="shared" si="154"/>
        <v>0</v>
      </c>
      <c r="I90" s="234"/>
      <c r="J90" s="597">
        <f t="shared" si="155"/>
        <v>0</v>
      </c>
      <c r="K90" s="478">
        <f t="shared" si="156"/>
        <v>0</v>
      </c>
      <c r="L90" s="234"/>
      <c r="M90" s="235">
        <f t="shared" si="157"/>
        <v>0</v>
      </c>
      <c r="N90" s="479">
        <f t="shared" si="158"/>
        <v>0</v>
      </c>
      <c r="O90" s="234"/>
      <c r="P90" s="235">
        <f t="shared" si="159"/>
        <v>0</v>
      </c>
      <c r="Q90" s="651">
        <f t="shared" si="160"/>
        <v>0</v>
      </c>
      <c r="R90" s="479">
        <f>IF(J90&gt;0,IF(OR(ManualMode=FALSE,ISBLANK(S90)),'Pricing - Advanced'!$F$16*J90+'Pricing - Advanced'!$F$17,"N/A"),0)</f>
        <v>0</v>
      </c>
      <c r="S90" s="234"/>
      <c r="T90" s="235">
        <f t="shared" si="161"/>
        <v>0</v>
      </c>
      <c r="U90" s="599">
        <f>IF(OR(ManualMode=FALSE,ISBLANK(V90)),SUM(K90:L90)*'Pricing - Advanced'!$F$19+SUM(N90,O90)*'Pricing - Advanced'!$F$18,"N/A")</f>
        <v>0</v>
      </c>
      <c r="V90" s="234"/>
      <c r="W90" s="236">
        <f t="shared" si="162"/>
        <v>0</v>
      </c>
      <c r="X90" s="237">
        <f>'Pricing - Advanced'!$F$20*SUM(H90:I90)+IF(J90&gt;1,'Pricing - Advanced'!$F$21,0)</f>
        <v>0</v>
      </c>
      <c r="Y90" s="688">
        <f>IF(AND(FullTerm&gt;=B90,AB89&gt;0),AB89*'Pricing - Advanced'!$I$128,0)</f>
        <v>0</v>
      </c>
      <c r="Z90" s="233">
        <f t="shared" si="163"/>
        <v>0</v>
      </c>
      <c r="AA90" s="234"/>
      <c r="AB90" s="597">
        <f t="shared" si="164"/>
        <v>0</v>
      </c>
      <c r="AC90" s="236">
        <f t="shared" si="121"/>
        <v>0</v>
      </c>
      <c r="AF90" s="762" t="e">
        <f t="shared" si="165"/>
        <v>#N/A</v>
      </c>
      <c r="AG90" s="759" t="e">
        <f t="shared" si="122"/>
        <v>#N/A</v>
      </c>
      <c r="AH90" s="759">
        <f>IF(J90=0,0,J90-SUM($N$6:N90)-AB89)</f>
        <v>0</v>
      </c>
      <c r="AI90" s="759">
        <f t="shared" si="123"/>
        <v>0</v>
      </c>
      <c r="AJ90" s="760">
        <f t="shared" si="176"/>
        <v>3.0000000000000001E-3</v>
      </c>
      <c r="AK90" s="760">
        <f t="shared" si="177"/>
        <v>3.0000000000000001E-3</v>
      </c>
      <c r="AN90" s="1" t="b">
        <f t="shared" si="178"/>
        <v>1</v>
      </c>
      <c r="AQ90" s="15">
        <f>IF(J89&gt;1,IF(int_method=2,$AG$229*J89,$AG$229*'Pricing - Advanced'!$E$4),0)</f>
        <v>0</v>
      </c>
      <c r="AR90" s="5">
        <f t="shared" si="166"/>
        <v>0</v>
      </c>
      <c r="AS90" s="204">
        <f t="shared" si="179"/>
        <v>42900</v>
      </c>
      <c r="AT90" s="1">
        <f>IF($AT$4=FALSE,B90*'Pricing - Advanced'!$K$5,AT89+E90-E89)</f>
        <v>2557</v>
      </c>
      <c r="AW90">
        <f t="shared" si="167"/>
        <v>0</v>
      </c>
      <c r="AX90">
        <f t="shared" si="124"/>
        <v>0</v>
      </c>
      <c r="AY90">
        <f t="shared" si="125"/>
        <v>0</v>
      </c>
      <c r="AZ90">
        <f t="shared" si="126"/>
        <v>0</v>
      </c>
      <c r="BA90" s="603">
        <f t="shared" si="168"/>
        <v>0</v>
      </c>
      <c r="BB90" s="603">
        <f t="shared" si="169"/>
        <v>0</v>
      </c>
      <c r="BC90" s="5">
        <f t="shared" si="127"/>
        <v>0</v>
      </c>
      <c r="BE90" s="157">
        <f t="shared" si="128"/>
        <v>84</v>
      </c>
      <c r="BF90" s="489">
        <f t="shared" si="170"/>
        <v>2557</v>
      </c>
      <c r="BG90" s="146">
        <f t="shared" si="129"/>
        <v>0</v>
      </c>
      <c r="BH90" s="147">
        <f t="shared" si="130"/>
        <v>0</v>
      </c>
      <c r="BI90" s="154" t="e">
        <f t="shared" si="131"/>
        <v>#NUM!</v>
      </c>
      <c r="BJ90" s="277" t="e">
        <f t="shared" si="181"/>
        <v>#NUM!</v>
      </c>
      <c r="BK90" s="147" t="e">
        <f t="shared" si="182"/>
        <v>#NUM!</v>
      </c>
      <c r="BL90" s="132" t="e">
        <f t="shared" si="183"/>
        <v>#NUM!</v>
      </c>
      <c r="BN90" s="497">
        <f t="shared" si="132"/>
        <v>84</v>
      </c>
      <c r="BO90" s="497">
        <f t="shared" si="133"/>
        <v>2557</v>
      </c>
      <c r="BP90">
        <f t="shared" si="134"/>
        <v>0</v>
      </c>
      <c r="BQ90">
        <f t="shared" si="135"/>
        <v>0</v>
      </c>
      <c r="BR90" s="499" t="e">
        <f t="shared" si="136"/>
        <v>#NUM!</v>
      </c>
      <c r="BS90" s="277" t="e">
        <f t="shared" si="180"/>
        <v>#NUM!</v>
      </c>
      <c r="BT90" s="5" t="e">
        <f t="shared" si="137"/>
        <v>#NUM!</v>
      </c>
      <c r="BU90" s="5" t="e">
        <f t="shared" si="138"/>
        <v>#NUM!</v>
      </c>
      <c r="BW90" s="5"/>
      <c r="BX90" s="5"/>
      <c r="BY90" s="5"/>
      <c r="BZ90" s="5"/>
      <c r="CA90" s="130" t="e">
        <f t="shared" si="139"/>
        <v>#NUM!</v>
      </c>
      <c r="CB90" s="5"/>
      <c r="CC90" s="5" t="e">
        <f t="shared" si="140"/>
        <v>#NUM!</v>
      </c>
      <c r="CD90" s="5" t="e">
        <f t="shared" si="141"/>
        <v>#NUM!</v>
      </c>
      <c r="CE90" s="5"/>
      <c r="CI90" s="130">
        <f t="shared" si="142"/>
        <v>2.7675473908687067</v>
      </c>
      <c r="CJ90" s="130">
        <f t="shared" si="143"/>
        <v>2.7678228770263802</v>
      </c>
      <c r="CK90" s="296">
        <f t="shared" si="171"/>
        <v>2.9701625484144012</v>
      </c>
      <c r="CL90" s="130">
        <f t="shared" si="144"/>
        <v>2.9701625484144012</v>
      </c>
      <c r="CM90" s="5">
        <f t="shared" si="172"/>
        <v>0</v>
      </c>
      <c r="CN90" s="5">
        <f t="shared" si="145"/>
        <v>0</v>
      </c>
      <c r="DE90" s="130" t="e">
        <f t="shared" si="146"/>
        <v>#NUM!</v>
      </c>
      <c r="DF90" s="130" t="e">
        <f t="shared" si="147"/>
        <v>#NUM!</v>
      </c>
      <c r="DG90" s="130" t="e">
        <f t="shared" si="173"/>
        <v>#NUM!</v>
      </c>
      <c r="DH90" s="130" t="e">
        <f t="shared" si="148"/>
        <v>#NUM!</v>
      </c>
      <c r="DJ90" s="130" t="e">
        <f t="shared" si="149"/>
        <v>#NUM!</v>
      </c>
      <c r="DK90" s="130" t="e">
        <f t="shared" si="150"/>
        <v>#NUM!</v>
      </c>
      <c r="DL90" s="130" t="e">
        <f t="shared" si="174"/>
        <v>#NUM!</v>
      </c>
      <c r="DO90" s="130" t="e">
        <f t="shared" si="151"/>
        <v>#NUM!</v>
      </c>
      <c r="DP90" s="130" t="e">
        <f t="shared" si="152"/>
        <v>#NUM!</v>
      </c>
      <c r="DQ90" s="130" t="e">
        <f t="shared" si="175"/>
        <v>#NUM!</v>
      </c>
    </row>
    <row r="91" spans="2:121" hidden="1">
      <c r="B91" s="231">
        <v>85</v>
      </c>
      <c r="C91" s="280"/>
      <c r="D91" s="475"/>
      <c r="E91" s="318">
        <f t="shared" si="153"/>
        <v>42930</v>
      </c>
      <c r="F91" s="542">
        <f t="shared" si="184"/>
        <v>0</v>
      </c>
      <c r="G91" s="239"/>
      <c r="H91" s="685">
        <f t="shared" si="154"/>
        <v>0</v>
      </c>
      <c r="I91" s="234"/>
      <c r="J91" s="597">
        <f t="shared" si="155"/>
        <v>0</v>
      </c>
      <c r="K91" s="478">
        <f t="shared" si="156"/>
        <v>0</v>
      </c>
      <c r="L91" s="234"/>
      <c r="M91" s="235">
        <f t="shared" si="157"/>
        <v>0</v>
      </c>
      <c r="N91" s="479">
        <f t="shared" si="158"/>
        <v>0</v>
      </c>
      <c r="O91" s="234"/>
      <c r="P91" s="235">
        <f t="shared" si="159"/>
        <v>0</v>
      </c>
      <c r="Q91" s="651">
        <f t="shared" si="160"/>
        <v>0</v>
      </c>
      <c r="R91" s="479">
        <f>IF(J91&gt;0,IF(OR(ManualMode=FALSE,ISBLANK(S91)),'Pricing - Advanced'!$F$16*J91+'Pricing - Advanced'!$F$17,"N/A"),0)</f>
        <v>0</v>
      </c>
      <c r="S91" s="234"/>
      <c r="T91" s="235">
        <f t="shared" si="161"/>
        <v>0</v>
      </c>
      <c r="U91" s="599">
        <f>IF(OR(ManualMode=FALSE,ISBLANK(V91)),SUM(K91:L91)*'Pricing - Advanced'!$F$19+SUM(N91,O91)*'Pricing - Advanced'!$F$18,"N/A")</f>
        <v>0</v>
      </c>
      <c r="V91" s="234"/>
      <c r="W91" s="236">
        <f t="shared" si="162"/>
        <v>0</v>
      </c>
      <c r="X91" s="237">
        <f>'Pricing - Advanced'!$F$20*SUM(H91:I91)+IF(J91&gt;1,'Pricing - Advanced'!$F$21,0)</f>
        <v>0</v>
      </c>
      <c r="Y91" s="688">
        <f>IF(AND(FullTerm&gt;=B91,AB90&gt;0),AB90*'Pricing - Advanced'!$I$128,0)</f>
        <v>0</v>
      </c>
      <c r="Z91" s="233">
        <f t="shared" si="163"/>
        <v>0</v>
      </c>
      <c r="AA91" s="234"/>
      <c r="AB91" s="597">
        <f t="shared" si="164"/>
        <v>0</v>
      </c>
      <c r="AC91" s="236">
        <f t="shared" si="121"/>
        <v>0</v>
      </c>
      <c r="AF91" s="762" t="e">
        <f t="shared" si="165"/>
        <v>#N/A</v>
      </c>
      <c r="AG91" s="759" t="e">
        <f t="shared" si="122"/>
        <v>#N/A</v>
      </c>
      <c r="AH91" s="759">
        <f>IF(J91=0,0,J91-SUM($N$6:N91)-AB90)</f>
        <v>0</v>
      </c>
      <c r="AI91" s="759">
        <f t="shared" si="123"/>
        <v>0</v>
      </c>
      <c r="AJ91" s="760">
        <f t="shared" si="176"/>
        <v>3.0000000000000001E-3</v>
      </c>
      <c r="AK91" s="760">
        <f t="shared" si="177"/>
        <v>3.0000000000000001E-3</v>
      </c>
      <c r="AN91" s="1" t="b">
        <f t="shared" si="178"/>
        <v>1</v>
      </c>
      <c r="AQ91" s="15">
        <f>IF(J90&gt;1,IF(int_method=2,$AG$229*J90,$AG$229*'Pricing - Advanced'!$E$4),0)</f>
        <v>0</v>
      </c>
      <c r="AR91" s="5">
        <f t="shared" si="166"/>
        <v>0</v>
      </c>
      <c r="AS91" s="204">
        <f t="shared" si="179"/>
        <v>42930</v>
      </c>
      <c r="AT91" s="1">
        <f>IF($AT$4=FALSE,B91*'Pricing - Advanced'!$K$5,AT90+E91-E90)</f>
        <v>2587</v>
      </c>
      <c r="AW91">
        <f t="shared" si="167"/>
        <v>0</v>
      </c>
      <c r="AX91">
        <f t="shared" si="124"/>
        <v>0</v>
      </c>
      <c r="AY91">
        <f t="shared" si="125"/>
        <v>0</v>
      </c>
      <c r="AZ91">
        <f t="shared" si="126"/>
        <v>0</v>
      </c>
      <c r="BA91" s="603">
        <f t="shared" si="168"/>
        <v>0</v>
      </c>
      <c r="BB91" s="603">
        <f t="shared" si="169"/>
        <v>0</v>
      </c>
      <c r="BC91" s="5">
        <f t="shared" si="127"/>
        <v>0</v>
      </c>
      <c r="BE91" s="157">
        <f t="shared" si="128"/>
        <v>85</v>
      </c>
      <c r="BF91" s="489">
        <f t="shared" si="170"/>
        <v>2587</v>
      </c>
      <c r="BG91" s="146">
        <f t="shared" si="129"/>
        <v>0</v>
      </c>
      <c r="BH91" s="147">
        <f t="shared" si="130"/>
        <v>0</v>
      </c>
      <c r="BI91" s="154" t="e">
        <f t="shared" si="131"/>
        <v>#NUM!</v>
      </c>
      <c r="BJ91" s="277" t="e">
        <f t="shared" si="181"/>
        <v>#NUM!</v>
      </c>
      <c r="BK91" s="147" t="e">
        <f t="shared" si="182"/>
        <v>#NUM!</v>
      </c>
      <c r="BL91" s="132" t="e">
        <f t="shared" si="183"/>
        <v>#NUM!</v>
      </c>
      <c r="BN91" s="497">
        <f t="shared" si="132"/>
        <v>85</v>
      </c>
      <c r="BO91" s="497">
        <f t="shared" si="133"/>
        <v>2587</v>
      </c>
      <c r="BP91">
        <f t="shared" si="134"/>
        <v>0</v>
      </c>
      <c r="BQ91">
        <f t="shared" si="135"/>
        <v>0</v>
      </c>
      <c r="BR91" s="499" t="e">
        <f t="shared" si="136"/>
        <v>#NUM!</v>
      </c>
      <c r="BS91" s="277" t="e">
        <f t="shared" si="180"/>
        <v>#NUM!</v>
      </c>
      <c r="BT91" s="5" t="e">
        <f t="shared" si="137"/>
        <v>#NUM!</v>
      </c>
      <c r="BU91" s="5" t="e">
        <f t="shared" si="138"/>
        <v>#NUM!</v>
      </c>
      <c r="BW91" s="5"/>
      <c r="BX91" s="5"/>
      <c r="BY91" s="5"/>
      <c r="BZ91" s="5"/>
      <c r="CA91" s="130" t="e">
        <f t="shared" si="139"/>
        <v>#NUM!</v>
      </c>
      <c r="CB91" s="5"/>
      <c r="CC91" s="5" t="e">
        <f t="shared" si="140"/>
        <v>#NUM!</v>
      </c>
      <c r="CD91" s="5" t="e">
        <f t="shared" si="141"/>
        <v>#NUM!</v>
      </c>
      <c r="CE91" s="5"/>
      <c r="CI91" s="130">
        <f t="shared" si="142"/>
        <v>2.8012902060470046</v>
      </c>
      <c r="CJ91" s="130">
        <f t="shared" si="143"/>
        <v>2.8010810905314818</v>
      </c>
      <c r="CK91" s="296">
        <f t="shared" si="171"/>
        <v>3.0089055374567701</v>
      </c>
      <c r="CL91" s="130">
        <f t="shared" si="144"/>
        <v>3.0089055374567701</v>
      </c>
      <c r="CM91" s="5">
        <f t="shared" si="172"/>
        <v>0</v>
      </c>
      <c r="CN91" s="5">
        <f t="shared" si="145"/>
        <v>0</v>
      </c>
      <c r="DE91" s="130" t="e">
        <f t="shared" si="146"/>
        <v>#NUM!</v>
      </c>
      <c r="DF91" s="130" t="e">
        <f t="shared" si="147"/>
        <v>#NUM!</v>
      </c>
      <c r="DG91" s="130" t="e">
        <f t="shared" si="173"/>
        <v>#NUM!</v>
      </c>
      <c r="DH91" s="130" t="e">
        <f t="shared" si="148"/>
        <v>#NUM!</v>
      </c>
      <c r="DJ91" s="130" t="e">
        <f t="shared" si="149"/>
        <v>#NUM!</v>
      </c>
      <c r="DK91" s="130" t="e">
        <f t="shared" si="150"/>
        <v>#NUM!</v>
      </c>
      <c r="DL91" s="130" t="e">
        <f t="shared" si="174"/>
        <v>#NUM!</v>
      </c>
      <c r="DO91" s="130" t="e">
        <f t="shared" si="151"/>
        <v>#NUM!</v>
      </c>
      <c r="DP91" s="130" t="e">
        <f t="shared" si="152"/>
        <v>#NUM!</v>
      </c>
      <c r="DQ91" s="130" t="e">
        <f t="shared" si="175"/>
        <v>#NUM!</v>
      </c>
    </row>
    <row r="92" spans="2:121" hidden="1">
      <c r="B92" s="231">
        <v>86</v>
      </c>
      <c r="C92" s="280"/>
      <c r="D92" s="475"/>
      <c r="E92" s="318">
        <f t="shared" si="153"/>
        <v>42961</v>
      </c>
      <c r="F92" s="542">
        <f t="shared" si="184"/>
        <v>0</v>
      </c>
      <c r="G92" s="239"/>
      <c r="H92" s="685">
        <f t="shared" si="154"/>
        <v>0</v>
      </c>
      <c r="I92" s="234"/>
      <c r="J92" s="597">
        <f t="shared" si="155"/>
        <v>0</v>
      </c>
      <c r="K92" s="478">
        <f t="shared" si="156"/>
        <v>0</v>
      </c>
      <c r="L92" s="234"/>
      <c r="M92" s="235">
        <f t="shared" si="157"/>
        <v>0</v>
      </c>
      <c r="N92" s="479">
        <f t="shared" si="158"/>
        <v>0</v>
      </c>
      <c r="O92" s="234"/>
      <c r="P92" s="235">
        <f t="shared" si="159"/>
        <v>0</v>
      </c>
      <c r="Q92" s="651">
        <f t="shared" si="160"/>
        <v>0</v>
      </c>
      <c r="R92" s="479">
        <f>IF(J92&gt;0,IF(OR(ManualMode=FALSE,ISBLANK(S92)),'Pricing - Advanced'!$F$16*J92+'Pricing - Advanced'!$F$17,"N/A"),0)</f>
        <v>0</v>
      </c>
      <c r="S92" s="234"/>
      <c r="T92" s="235">
        <f t="shared" si="161"/>
        <v>0</v>
      </c>
      <c r="U92" s="599">
        <f>IF(OR(ManualMode=FALSE,ISBLANK(V92)),SUM(K92:L92)*'Pricing - Advanced'!$F$19+SUM(N92,O92)*'Pricing - Advanced'!$F$18,"N/A")</f>
        <v>0</v>
      </c>
      <c r="V92" s="234"/>
      <c r="W92" s="236">
        <f t="shared" si="162"/>
        <v>0</v>
      </c>
      <c r="X92" s="237">
        <f>'Pricing - Advanced'!$F$20*SUM(H92:I92)+IF(J92&gt;1,'Pricing - Advanced'!$F$21,0)</f>
        <v>0</v>
      </c>
      <c r="Y92" s="688">
        <f>IF(AND(FullTerm&gt;=B92,AB91&gt;0),AB91*'Pricing - Advanced'!$I$128,0)</f>
        <v>0</v>
      </c>
      <c r="Z92" s="233">
        <f t="shared" si="163"/>
        <v>0</v>
      </c>
      <c r="AA92" s="234"/>
      <c r="AB92" s="597">
        <f t="shared" si="164"/>
        <v>0</v>
      </c>
      <c r="AC92" s="236">
        <f t="shared" si="121"/>
        <v>0</v>
      </c>
      <c r="AF92" s="762" t="e">
        <f t="shared" si="165"/>
        <v>#N/A</v>
      </c>
      <c r="AG92" s="759" t="e">
        <f t="shared" si="122"/>
        <v>#N/A</v>
      </c>
      <c r="AH92" s="759">
        <f>IF(J92=0,0,J92-SUM($N$6:N92)-AB91)</f>
        <v>0</v>
      </c>
      <c r="AI92" s="759">
        <f t="shared" si="123"/>
        <v>0</v>
      </c>
      <c r="AJ92" s="760">
        <f t="shared" si="176"/>
        <v>3.0000000000000001E-3</v>
      </c>
      <c r="AK92" s="760">
        <f t="shared" si="177"/>
        <v>3.0000000000000001E-3</v>
      </c>
      <c r="AN92" s="1" t="b">
        <f t="shared" si="178"/>
        <v>1</v>
      </c>
      <c r="AQ92" s="15">
        <f>IF(J91&gt;1,IF(int_method=2,$AG$229*J91,$AG$229*'Pricing - Advanced'!$E$4),0)</f>
        <v>0</v>
      </c>
      <c r="AR92" s="5">
        <f t="shared" si="166"/>
        <v>0</v>
      </c>
      <c r="AS92" s="204">
        <f t="shared" si="179"/>
        <v>42961</v>
      </c>
      <c r="AT92" s="1">
        <f>IF($AT$4=FALSE,B92*'Pricing - Advanced'!$K$5,AT91+E92-E91)</f>
        <v>2618</v>
      </c>
      <c r="AW92">
        <f t="shared" si="167"/>
        <v>0</v>
      </c>
      <c r="AX92">
        <f t="shared" si="124"/>
        <v>0</v>
      </c>
      <c r="AY92">
        <f t="shared" si="125"/>
        <v>0</v>
      </c>
      <c r="AZ92">
        <f t="shared" si="126"/>
        <v>0</v>
      </c>
      <c r="BA92" s="603">
        <f t="shared" si="168"/>
        <v>0</v>
      </c>
      <c r="BB92" s="603">
        <f t="shared" si="169"/>
        <v>0</v>
      </c>
      <c r="BC92" s="5">
        <f t="shared" si="127"/>
        <v>0</v>
      </c>
      <c r="BE92" s="157">
        <f t="shared" si="128"/>
        <v>86</v>
      </c>
      <c r="BF92" s="489">
        <f t="shared" si="170"/>
        <v>2618</v>
      </c>
      <c r="BG92" s="146">
        <f t="shared" si="129"/>
        <v>0</v>
      </c>
      <c r="BH92" s="147">
        <f t="shared" si="130"/>
        <v>0</v>
      </c>
      <c r="BI92" s="154" t="e">
        <f t="shared" si="131"/>
        <v>#NUM!</v>
      </c>
      <c r="BJ92" s="277" t="e">
        <f t="shared" si="181"/>
        <v>#NUM!</v>
      </c>
      <c r="BK92" s="147" t="e">
        <f t="shared" si="182"/>
        <v>#NUM!</v>
      </c>
      <c r="BL92" s="132" t="e">
        <f t="shared" si="183"/>
        <v>#NUM!</v>
      </c>
      <c r="BN92" s="497">
        <f t="shared" si="132"/>
        <v>86</v>
      </c>
      <c r="BO92" s="497">
        <f t="shared" si="133"/>
        <v>2618</v>
      </c>
      <c r="BP92">
        <f t="shared" si="134"/>
        <v>0</v>
      </c>
      <c r="BQ92">
        <f t="shared" si="135"/>
        <v>0</v>
      </c>
      <c r="BR92" s="499" t="e">
        <f t="shared" si="136"/>
        <v>#NUM!</v>
      </c>
      <c r="BS92" s="277" t="e">
        <f t="shared" si="180"/>
        <v>#NUM!</v>
      </c>
      <c r="BT92" s="5" t="e">
        <f t="shared" si="137"/>
        <v>#NUM!</v>
      </c>
      <c r="BU92" s="5" t="e">
        <f t="shared" si="138"/>
        <v>#NUM!</v>
      </c>
      <c r="BW92" s="5"/>
      <c r="BX92" s="5"/>
      <c r="BY92" s="5"/>
      <c r="BZ92" s="5"/>
      <c r="CA92" s="130" t="e">
        <f t="shared" si="139"/>
        <v>#NUM!</v>
      </c>
      <c r="CB92" s="5"/>
      <c r="CC92" s="5" t="e">
        <f t="shared" si="140"/>
        <v>#NUM!</v>
      </c>
      <c r="CD92" s="5" t="e">
        <f t="shared" si="141"/>
        <v>#NUM!</v>
      </c>
      <c r="CE92" s="5"/>
      <c r="CI92" s="130">
        <f t="shared" si="142"/>
        <v>2.8354444243253583</v>
      </c>
      <c r="CJ92" s="130">
        <f t="shared" si="143"/>
        <v>2.8358678019686661</v>
      </c>
      <c r="CK92" s="296">
        <f t="shared" si="171"/>
        <v>3.0481538925104164</v>
      </c>
      <c r="CL92" s="130">
        <f t="shared" si="144"/>
        <v>3.0481538925104164</v>
      </c>
      <c r="CM92" s="5">
        <f t="shared" si="172"/>
        <v>0</v>
      </c>
      <c r="CN92" s="5">
        <f t="shared" si="145"/>
        <v>0</v>
      </c>
      <c r="DE92" s="130" t="e">
        <f t="shared" si="146"/>
        <v>#NUM!</v>
      </c>
      <c r="DF92" s="130" t="e">
        <f t="shared" si="147"/>
        <v>#NUM!</v>
      </c>
      <c r="DG92" s="130" t="e">
        <f t="shared" si="173"/>
        <v>#NUM!</v>
      </c>
      <c r="DH92" s="130" t="e">
        <f t="shared" si="148"/>
        <v>#NUM!</v>
      </c>
      <c r="DJ92" s="130" t="e">
        <f t="shared" si="149"/>
        <v>#NUM!</v>
      </c>
      <c r="DK92" s="130" t="e">
        <f t="shared" si="150"/>
        <v>#NUM!</v>
      </c>
      <c r="DL92" s="130" t="e">
        <f t="shared" si="174"/>
        <v>#NUM!</v>
      </c>
      <c r="DO92" s="130" t="e">
        <f t="shared" si="151"/>
        <v>#NUM!</v>
      </c>
      <c r="DP92" s="130" t="e">
        <f t="shared" si="152"/>
        <v>#NUM!</v>
      </c>
      <c r="DQ92" s="130" t="e">
        <f t="shared" si="175"/>
        <v>#NUM!</v>
      </c>
    </row>
    <row r="93" spans="2:121" hidden="1">
      <c r="B93" s="231">
        <v>87</v>
      </c>
      <c r="C93" s="280"/>
      <c r="D93" s="475"/>
      <c r="E93" s="318">
        <f t="shared" si="153"/>
        <v>42992</v>
      </c>
      <c r="F93" s="542">
        <f t="shared" si="184"/>
        <v>0</v>
      </c>
      <c r="G93" s="239"/>
      <c r="H93" s="685">
        <f t="shared" si="154"/>
        <v>0</v>
      </c>
      <c r="I93" s="234"/>
      <c r="J93" s="597">
        <f t="shared" si="155"/>
        <v>0</v>
      </c>
      <c r="K93" s="478">
        <f t="shared" si="156"/>
        <v>0</v>
      </c>
      <c r="L93" s="234"/>
      <c r="M93" s="235">
        <f t="shared" si="157"/>
        <v>0</v>
      </c>
      <c r="N93" s="479">
        <f t="shared" si="158"/>
        <v>0</v>
      </c>
      <c r="O93" s="234"/>
      <c r="P93" s="235">
        <f t="shared" si="159"/>
        <v>0</v>
      </c>
      <c r="Q93" s="651">
        <f t="shared" si="160"/>
        <v>0</v>
      </c>
      <c r="R93" s="479">
        <f>IF(J93&gt;0,IF(OR(ManualMode=FALSE,ISBLANK(S93)),'Pricing - Advanced'!$F$16*J93+'Pricing - Advanced'!$F$17,"N/A"),0)</f>
        <v>0</v>
      </c>
      <c r="S93" s="234"/>
      <c r="T93" s="235">
        <f t="shared" si="161"/>
        <v>0</v>
      </c>
      <c r="U93" s="599">
        <f>IF(OR(ManualMode=FALSE,ISBLANK(V93)),SUM(K93:L93)*'Pricing - Advanced'!$F$19+SUM(N93,O93)*'Pricing - Advanced'!$F$18,"N/A")</f>
        <v>0</v>
      </c>
      <c r="V93" s="234"/>
      <c r="W93" s="236">
        <f t="shared" si="162"/>
        <v>0</v>
      </c>
      <c r="X93" s="237">
        <f>'Pricing - Advanced'!$F$20*SUM(H93:I93)+IF(J93&gt;1,'Pricing - Advanced'!$F$21,0)</f>
        <v>0</v>
      </c>
      <c r="Y93" s="688">
        <f>IF(AND(FullTerm&gt;=B93,AB92&gt;0),AB92*'Pricing - Advanced'!$I$128,0)</f>
        <v>0</v>
      </c>
      <c r="Z93" s="233">
        <f t="shared" si="163"/>
        <v>0</v>
      </c>
      <c r="AA93" s="234"/>
      <c r="AB93" s="597">
        <f t="shared" si="164"/>
        <v>0</v>
      </c>
      <c r="AC93" s="236">
        <f t="shared" si="121"/>
        <v>0</v>
      </c>
      <c r="AF93" s="762" t="e">
        <f t="shared" si="165"/>
        <v>#N/A</v>
      </c>
      <c r="AG93" s="759" t="e">
        <f t="shared" si="122"/>
        <v>#N/A</v>
      </c>
      <c r="AH93" s="759">
        <f>IF(J93=0,0,J93-SUM($N$6:N93)-AB92)</f>
        <v>0</v>
      </c>
      <c r="AI93" s="759">
        <f t="shared" si="123"/>
        <v>0</v>
      </c>
      <c r="AJ93" s="760">
        <f t="shared" si="176"/>
        <v>3.0000000000000001E-3</v>
      </c>
      <c r="AK93" s="760">
        <f t="shared" si="177"/>
        <v>3.0000000000000001E-3</v>
      </c>
      <c r="AN93" s="1" t="b">
        <f t="shared" si="178"/>
        <v>1</v>
      </c>
      <c r="AQ93" s="15">
        <f>IF(J92&gt;1,IF(int_method=2,$AG$229*J92,$AG$229*'Pricing - Advanced'!$E$4),0)</f>
        <v>0</v>
      </c>
      <c r="AR93" s="5">
        <f t="shared" si="166"/>
        <v>0</v>
      </c>
      <c r="AS93" s="204">
        <f t="shared" si="179"/>
        <v>42992</v>
      </c>
      <c r="AT93" s="1">
        <f>IF($AT$4=FALSE,B93*'Pricing - Advanced'!$K$5,AT92+E93-E92)</f>
        <v>2649</v>
      </c>
      <c r="AW93">
        <f t="shared" si="167"/>
        <v>0</v>
      </c>
      <c r="AX93">
        <f t="shared" si="124"/>
        <v>0</v>
      </c>
      <c r="AY93">
        <f t="shared" si="125"/>
        <v>0</v>
      </c>
      <c r="AZ93">
        <f t="shared" si="126"/>
        <v>0</v>
      </c>
      <c r="BA93" s="603">
        <f t="shared" si="168"/>
        <v>0</v>
      </c>
      <c r="BB93" s="603">
        <f t="shared" si="169"/>
        <v>0</v>
      </c>
      <c r="BC93" s="5">
        <f t="shared" si="127"/>
        <v>0</v>
      </c>
      <c r="BE93" s="157">
        <f t="shared" si="128"/>
        <v>87</v>
      </c>
      <c r="BF93" s="489">
        <f t="shared" si="170"/>
        <v>2649</v>
      </c>
      <c r="BG93" s="146">
        <f t="shared" si="129"/>
        <v>0</v>
      </c>
      <c r="BH93" s="147">
        <f t="shared" si="130"/>
        <v>0</v>
      </c>
      <c r="BI93" s="154" t="e">
        <f t="shared" si="131"/>
        <v>#NUM!</v>
      </c>
      <c r="BJ93" s="277" t="e">
        <f t="shared" si="181"/>
        <v>#NUM!</v>
      </c>
      <c r="BK93" s="147" t="e">
        <f t="shared" si="182"/>
        <v>#NUM!</v>
      </c>
      <c r="BL93" s="132" t="e">
        <f t="shared" si="183"/>
        <v>#NUM!</v>
      </c>
      <c r="BN93" s="497">
        <f t="shared" si="132"/>
        <v>87</v>
      </c>
      <c r="BO93" s="497">
        <f t="shared" si="133"/>
        <v>2649</v>
      </c>
      <c r="BP93">
        <f t="shared" si="134"/>
        <v>0</v>
      </c>
      <c r="BQ93">
        <f t="shared" si="135"/>
        <v>0</v>
      </c>
      <c r="BR93" s="499" t="e">
        <f t="shared" si="136"/>
        <v>#NUM!</v>
      </c>
      <c r="BS93" s="277" t="e">
        <f t="shared" si="180"/>
        <v>#NUM!</v>
      </c>
      <c r="BT93" s="5" t="e">
        <f t="shared" si="137"/>
        <v>#NUM!</v>
      </c>
      <c r="BU93" s="5" t="e">
        <f t="shared" si="138"/>
        <v>#NUM!</v>
      </c>
      <c r="BW93" s="5"/>
      <c r="BX93" s="5"/>
      <c r="BY93" s="5"/>
      <c r="BZ93" s="5"/>
      <c r="CA93" s="130" t="e">
        <f t="shared" si="139"/>
        <v>#NUM!</v>
      </c>
      <c r="CB93" s="5"/>
      <c r="CC93" s="5" t="e">
        <f t="shared" si="140"/>
        <v>#NUM!</v>
      </c>
      <c r="CD93" s="5" t="e">
        <f t="shared" si="141"/>
        <v>#NUM!</v>
      </c>
      <c r="CE93" s="5"/>
      <c r="CI93" s="130">
        <f t="shared" si="142"/>
        <v>2.8700150616607907</v>
      </c>
      <c r="CJ93" s="130">
        <f t="shared" si="143"/>
        <v>2.8710865306354503</v>
      </c>
      <c r="CK93" s="296">
        <f t="shared" si="171"/>
        <v>3.0879142056017082</v>
      </c>
      <c r="CL93" s="130">
        <f t="shared" si="144"/>
        <v>3.0879142056017082</v>
      </c>
      <c r="CM93" s="5">
        <f t="shared" si="172"/>
        <v>0</v>
      </c>
      <c r="CN93" s="5">
        <f t="shared" si="145"/>
        <v>0</v>
      </c>
      <c r="DE93" s="130" t="e">
        <f t="shared" si="146"/>
        <v>#NUM!</v>
      </c>
      <c r="DF93" s="130" t="e">
        <f t="shared" si="147"/>
        <v>#NUM!</v>
      </c>
      <c r="DG93" s="130" t="e">
        <f t="shared" si="173"/>
        <v>#NUM!</v>
      </c>
      <c r="DH93" s="130" t="e">
        <f t="shared" si="148"/>
        <v>#NUM!</v>
      </c>
      <c r="DJ93" s="130" t="e">
        <f t="shared" si="149"/>
        <v>#NUM!</v>
      </c>
      <c r="DK93" s="130" t="e">
        <f t="shared" si="150"/>
        <v>#NUM!</v>
      </c>
      <c r="DL93" s="130" t="e">
        <f t="shared" si="174"/>
        <v>#NUM!</v>
      </c>
      <c r="DO93" s="130" t="e">
        <f t="shared" si="151"/>
        <v>#NUM!</v>
      </c>
      <c r="DP93" s="130" t="e">
        <f t="shared" si="152"/>
        <v>#NUM!</v>
      </c>
      <c r="DQ93" s="130" t="e">
        <f t="shared" si="175"/>
        <v>#NUM!</v>
      </c>
    </row>
    <row r="94" spans="2:121" hidden="1">
      <c r="B94" s="231">
        <v>88</v>
      </c>
      <c r="C94" s="280"/>
      <c r="D94" s="475"/>
      <c r="E94" s="318">
        <f t="shared" si="153"/>
        <v>43022</v>
      </c>
      <c r="F94" s="542">
        <f t="shared" si="184"/>
        <v>0</v>
      </c>
      <c r="G94" s="239"/>
      <c r="H94" s="685">
        <f t="shared" si="154"/>
        <v>0</v>
      </c>
      <c r="I94" s="234"/>
      <c r="J94" s="597">
        <f t="shared" si="155"/>
        <v>0</v>
      </c>
      <c r="K94" s="478">
        <f t="shared" si="156"/>
        <v>0</v>
      </c>
      <c r="L94" s="234"/>
      <c r="M94" s="235">
        <f t="shared" si="157"/>
        <v>0</v>
      </c>
      <c r="N94" s="479">
        <f t="shared" si="158"/>
        <v>0</v>
      </c>
      <c r="O94" s="234"/>
      <c r="P94" s="235">
        <f t="shared" si="159"/>
        <v>0</v>
      </c>
      <c r="Q94" s="651">
        <f t="shared" si="160"/>
        <v>0</v>
      </c>
      <c r="R94" s="479">
        <f>IF(J94&gt;0,IF(OR(ManualMode=FALSE,ISBLANK(S94)),'Pricing - Advanced'!$F$16*J94+'Pricing - Advanced'!$F$17,"N/A"),0)</f>
        <v>0</v>
      </c>
      <c r="S94" s="234"/>
      <c r="T94" s="235">
        <f t="shared" si="161"/>
        <v>0</v>
      </c>
      <c r="U94" s="599">
        <f>IF(OR(ManualMode=FALSE,ISBLANK(V94)),SUM(K94:L94)*'Pricing - Advanced'!$F$19+SUM(N94,O94)*'Pricing - Advanced'!$F$18,"N/A")</f>
        <v>0</v>
      </c>
      <c r="V94" s="234"/>
      <c r="W94" s="236">
        <f t="shared" si="162"/>
        <v>0</v>
      </c>
      <c r="X94" s="237">
        <f>'Pricing - Advanced'!$F$20*SUM(H94:I94)+IF(J94&gt;1,'Pricing - Advanced'!$F$21,0)</f>
        <v>0</v>
      </c>
      <c r="Y94" s="688">
        <f>IF(AND(FullTerm&gt;=B94,AB93&gt;0),AB93*'Pricing - Advanced'!$I$128,0)</f>
        <v>0</v>
      </c>
      <c r="Z94" s="233">
        <f t="shared" si="163"/>
        <v>0</v>
      </c>
      <c r="AA94" s="234"/>
      <c r="AB94" s="597">
        <f t="shared" si="164"/>
        <v>0</v>
      </c>
      <c r="AC94" s="236">
        <f t="shared" si="121"/>
        <v>0</v>
      </c>
      <c r="AF94" s="762" t="e">
        <f t="shared" si="165"/>
        <v>#N/A</v>
      </c>
      <c r="AG94" s="759" t="e">
        <f t="shared" si="122"/>
        <v>#N/A</v>
      </c>
      <c r="AH94" s="759">
        <f>IF(J94=0,0,J94-SUM($N$6:N94)-AB93)</f>
        <v>0</v>
      </c>
      <c r="AI94" s="759">
        <f t="shared" si="123"/>
        <v>0</v>
      </c>
      <c r="AJ94" s="760">
        <f t="shared" si="176"/>
        <v>3.0000000000000001E-3</v>
      </c>
      <c r="AK94" s="760">
        <f t="shared" si="177"/>
        <v>3.0000000000000001E-3</v>
      </c>
      <c r="AN94" s="1" t="b">
        <f t="shared" si="178"/>
        <v>1</v>
      </c>
      <c r="AQ94" s="15">
        <f>IF(J93&gt;1,IF(int_method=2,$AG$229*J93,$AG$229*'Pricing - Advanced'!$E$4),0)</f>
        <v>0</v>
      </c>
      <c r="AR94" s="5">
        <f t="shared" si="166"/>
        <v>0</v>
      </c>
      <c r="AS94" s="204">
        <f t="shared" si="179"/>
        <v>43022</v>
      </c>
      <c r="AT94" s="1">
        <f>IF($AT$4=FALSE,B94*'Pricing - Advanced'!$K$5,AT93+E94-E93)</f>
        <v>2679</v>
      </c>
      <c r="AW94">
        <f t="shared" si="167"/>
        <v>0</v>
      </c>
      <c r="AX94">
        <f t="shared" si="124"/>
        <v>0</v>
      </c>
      <c r="AY94">
        <f t="shared" si="125"/>
        <v>0</v>
      </c>
      <c r="AZ94">
        <f t="shared" si="126"/>
        <v>0</v>
      </c>
      <c r="BA94" s="603">
        <f t="shared" si="168"/>
        <v>0</v>
      </c>
      <c r="BB94" s="603">
        <f t="shared" si="169"/>
        <v>0</v>
      </c>
      <c r="BC94" s="5">
        <f t="shared" si="127"/>
        <v>0</v>
      </c>
      <c r="BE94" s="157">
        <f t="shared" si="128"/>
        <v>88</v>
      </c>
      <c r="BF94" s="489">
        <f t="shared" si="170"/>
        <v>2679</v>
      </c>
      <c r="BG94" s="146">
        <f t="shared" si="129"/>
        <v>0</v>
      </c>
      <c r="BH94" s="147">
        <f t="shared" si="130"/>
        <v>0</v>
      </c>
      <c r="BI94" s="154" t="e">
        <f t="shared" si="131"/>
        <v>#NUM!</v>
      </c>
      <c r="BJ94" s="277" t="e">
        <f t="shared" si="181"/>
        <v>#NUM!</v>
      </c>
      <c r="BK94" s="147" t="e">
        <f t="shared" si="182"/>
        <v>#NUM!</v>
      </c>
      <c r="BL94" s="132" t="e">
        <f t="shared" si="183"/>
        <v>#NUM!</v>
      </c>
      <c r="BN94" s="497">
        <f t="shared" si="132"/>
        <v>88</v>
      </c>
      <c r="BO94" s="497">
        <f t="shared" si="133"/>
        <v>2679</v>
      </c>
      <c r="BP94">
        <f t="shared" si="134"/>
        <v>0</v>
      </c>
      <c r="BQ94">
        <f t="shared" si="135"/>
        <v>0</v>
      </c>
      <c r="BR94" s="499" t="e">
        <f t="shared" si="136"/>
        <v>#NUM!</v>
      </c>
      <c r="BS94" s="277" t="e">
        <f t="shared" si="180"/>
        <v>#NUM!</v>
      </c>
      <c r="BT94" s="5" t="e">
        <f t="shared" si="137"/>
        <v>#NUM!</v>
      </c>
      <c r="BU94" s="5" t="e">
        <f t="shared" si="138"/>
        <v>#NUM!</v>
      </c>
      <c r="BW94" s="5"/>
      <c r="BX94" s="5"/>
      <c r="BY94" s="5"/>
      <c r="BZ94" s="5"/>
      <c r="CA94" s="130" t="e">
        <f t="shared" si="139"/>
        <v>#NUM!</v>
      </c>
      <c r="CB94" s="5"/>
      <c r="CC94" s="5" t="e">
        <f t="shared" si="140"/>
        <v>#NUM!</v>
      </c>
      <c r="CD94" s="5" t="e">
        <f t="shared" si="141"/>
        <v>#NUM!</v>
      </c>
      <c r="CE94" s="5"/>
      <c r="CI94" s="130">
        <f t="shared" si="142"/>
        <v>2.9050071951664616</v>
      </c>
      <c r="CJ94" s="130">
        <f t="shared" si="143"/>
        <v>2.9055855622100717</v>
      </c>
      <c r="CK94" s="296">
        <f t="shared" si="171"/>
        <v>3.1281931547438249</v>
      </c>
      <c r="CL94" s="130">
        <f t="shared" si="144"/>
        <v>3.1281931547438249</v>
      </c>
      <c r="CM94" s="5">
        <f t="shared" si="172"/>
        <v>0</v>
      </c>
      <c r="CN94" s="5">
        <f t="shared" si="145"/>
        <v>0</v>
      </c>
      <c r="DE94" s="130" t="e">
        <f t="shared" si="146"/>
        <v>#NUM!</v>
      </c>
      <c r="DF94" s="130" t="e">
        <f t="shared" si="147"/>
        <v>#NUM!</v>
      </c>
      <c r="DG94" s="130" t="e">
        <f t="shared" si="173"/>
        <v>#NUM!</v>
      </c>
      <c r="DH94" s="130" t="e">
        <f t="shared" si="148"/>
        <v>#NUM!</v>
      </c>
      <c r="DJ94" s="130" t="e">
        <f t="shared" si="149"/>
        <v>#NUM!</v>
      </c>
      <c r="DK94" s="130" t="e">
        <f t="shared" si="150"/>
        <v>#NUM!</v>
      </c>
      <c r="DL94" s="130" t="e">
        <f t="shared" si="174"/>
        <v>#NUM!</v>
      </c>
      <c r="DO94" s="130" t="e">
        <f t="shared" si="151"/>
        <v>#NUM!</v>
      </c>
      <c r="DP94" s="130" t="e">
        <f t="shared" si="152"/>
        <v>#NUM!</v>
      </c>
      <c r="DQ94" s="130" t="e">
        <f t="shared" si="175"/>
        <v>#NUM!</v>
      </c>
    </row>
    <row r="95" spans="2:121" hidden="1">
      <c r="B95" s="231">
        <v>89</v>
      </c>
      <c r="C95" s="280"/>
      <c r="D95" s="475"/>
      <c r="E95" s="318">
        <f t="shared" si="153"/>
        <v>43053</v>
      </c>
      <c r="F95" s="542">
        <f t="shared" si="184"/>
        <v>0</v>
      </c>
      <c r="G95" s="239"/>
      <c r="H95" s="685">
        <f t="shared" si="154"/>
        <v>0</v>
      </c>
      <c r="I95" s="234"/>
      <c r="J95" s="597">
        <f t="shared" si="155"/>
        <v>0</v>
      </c>
      <c r="K95" s="478">
        <f t="shared" si="156"/>
        <v>0</v>
      </c>
      <c r="L95" s="234"/>
      <c r="M95" s="235">
        <f t="shared" si="157"/>
        <v>0</v>
      </c>
      <c r="N95" s="479">
        <f t="shared" si="158"/>
        <v>0</v>
      </c>
      <c r="O95" s="234"/>
      <c r="P95" s="235">
        <f t="shared" si="159"/>
        <v>0</v>
      </c>
      <c r="Q95" s="651">
        <f t="shared" si="160"/>
        <v>0</v>
      </c>
      <c r="R95" s="479">
        <f>IF(J95&gt;0,IF(OR(ManualMode=FALSE,ISBLANK(S95)),'Pricing - Advanced'!$F$16*J95+'Pricing - Advanced'!$F$17,"N/A"),0)</f>
        <v>0</v>
      </c>
      <c r="S95" s="234"/>
      <c r="T95" s="235">
        <f t="shared" si="161"/>
        <v>0</v>
      </c>
      <c r="U95" s="599">
        <f>IF(OR(ManualMode=FALSE,ISBLANK(V95)),SUM(K95:L95)*'Pricing - Advanced'!$F$19+SUM(N95,O95)*'Pricing - Advanced'!$F$18,"N/A")</f>
        <v>0</v>
      </c>
      <c r="V95" s="234"/>
      <c r="W95" s="236">
        <f t="shared" si="162"/>
        <v>0</v>
      </c>
      <c r="X95" s="237">
        <f>'Pricing - Advanced'!$F$20*SUM(H95:I95)+IF(J95&gt;1,'Pricing - Advanced'!$F$21,0)</f>
        <v>0</v>
      </c>
      <c r="Y95" s="688">
        <f>IF(AND(FullTerm&gt;=B95,AB94&gt;0),AB94*'Pricing - Advanced'!$I$128,0)</f>
        <v>0</v>
      </c>
      <c r="Z95" s="233">
        <f t="shared" si="163"/>
        <v>0</v>
      </c>
      <c r="AA95" s="234"/>
      <c r="AB95" s="597">
        <f t="shared" si="164"/>
        <v>0</v>
      </c>
      <c r="AC95" s="236">
        <f t="shared" si="121"/>
        <v>0</v>
      </c>
      <c r="AF95" s="762" t="e">
        <f t="shared" si="165"/>
        <v>#N/A</v>
      </c>
      <c r="AG95" s="759" t="e">
        <f t="shared" si="122"/>
        <v>#N/A</v>
      </c>
      <c r="AH95" s="759">
        <f>IF(J95=0,0,J95-SUM($N$6:N95)-AB94)</f>
        <v>0</v>
      </c>
      <c r="AI95" s="759">
        <f t="shared" si="123"/>
        <v>0</v>
      </c>
      <c r="AJ95" s="760">
        <f t="shared" si="176"/>
        <v>3.0000000000000001E-3</v>
      </c>
      <c r="AK95" s="760">
        <f t="shared" si="177"/>
        <v>3.0000000000000001E-3</v>
      </c>
      <c r="AN95" s="1" t="b">
        <f t="shared" si="178"/>
        <v>1</v>
      </c>
      <c r="AQ95" s="15">
        <f>IF(J94&gt;1,IF(int_method=2,$AG$229*J94,$AG$229*'Pricing - Advanced'!$E$4),0)</f>
        <v>0</v>
      </c>
      <c r="AR95" s="5">
        <f t="shared" si="166"/>
        <v>0</v>
      </c>
      <c r="AS95" s="204">
        <f t="shared" si="179"/>
        <v>43053</v>
      </c>
      <c r="AT95" s="1">
        <f>IF($AT$4=FALSE,B95*'Pricing - Advanced'!$K$5,AT94+E95-E94)</f>
        <v>2710</v>
      </c>
      <c r="AW95">
        <f t="shared" si="167"/>
        <v>0</v>
      </c>
      <c r="AX95">
        <f t="shared" si="124"/>
        <v>0</v>
      </c>
      <c r="AY95">
        <f t="shared" si="125"/>
        <v>0</v>
      </c>
      <c r="AZ95">
        <f t="shared" si="126"/>
        <v>0</v>
      </c>
      <c r="BA95" s="603">
        <f t="shared" si="168"/>
        <v>0</v>
      </c>
      <c r="BB95" s="603">
        <f t="shared" si="169"/>
        <v>0</v>
      </c>
      <c r="BC95" s="5">
        <f t="shared" si="127"/>
        <v>0</v>
      </c>
      <c r="BE95" s="157">
        <f t="shared" si="128"/>
        <v>89</v>
      </c>
      <c r="BF95" s="489">
        <f t="shared" si="170"/>
        <v>2710</v>
      </c>
      <c r="BG95" s="146">
        <f t="shared" si="129"/>
        <v>0</v>
      </c>
      <c r="BH95" s="147">
        <f t="shared" si="130"/>
        <v>0</v>
      </c>
      <c r="BI95" s="154" t="e">
        <f t="shared" si="131"/>
        <v>#NUM!</v>
      </c>
      <c r="BJ95" s="277" t="e">
        <f t="shared" si="181"/>
        <v>#NUM!</v>
      </c>
      <c r="BK95" s="147" t="e">
        <f t="shared" si="182"/>
        <v>#NUM!</v>
      </c>
      <c r="BL95" s="132" t="e">
        <f t="shared" si="183"/>
        <v>#NUM!</v>
      </c>
      <c r="BN95" s="497">
        <f t="shared" si="132"/>
        <v>89</v>
      </c>
      <c r="BO95" s="497">
        <f t="shared" si="133"/>
        <v>2710</v>
      </c>
      <c r="BP95">
        <f t="shared" si="134"/>
        <v>0</v>
      </c>
      <c r="BQ95">
        <f t="shared" si="135"/>
        <v>0</v>
      </c>
      <c r="BR95" s="499" t="e">
        <f t="shared" si="136"/>
        <v>#NUM!</v>
      </c>
      <c r="BS95" s="277" t="e">
        <f t="shared" si="180"/>
        <v>#NUM!</v>
      </c>
      <c r="BT95" s="5" t="e">
        <f t="shared" si="137"/>
        <v>#NUM!</v>
      </c>
      <c r="BU95" s="5" t="e">
        <f t="shared" si="138"/>
        <v>#NUM!</v>
      </c>
      <c r="BW95" s="5"/>
      <c r="BX95" s="5"/>
      <c r="BY95" s="5"/>
      <c r="BZ95" s="5"/>
      <c r="CA95" s="130" t="e">
        <f t="shared" si="139"/>
        <v>#NUM!</v>
      </c>
      <c r="CB95" s="5"/>
      <c r="CC95" s="5" t="e">
        <f t="shared" si="140"/>
        <v>#NUM!</v>
      </c>
      <c r="CD95" s="5" t="e">
        <f t="shared" si="141"/>
        <v>#NUM!</v>
      </c>
      <c r="CE95" s="5"/>
      <c r="CI95" s="130">
        <f t="shared" si="142"/>
        <v>2.9404259638573049</v>
      </c>
      <c r="CJ95" s="130">
        <f t="shared" si="143"/>
        <v>2.9416701178662148</v>
      </c>
      <c r="CK95" s="296">
        <f t="shared" si="171"/>
        <v>3.1689975050583739</v>
      </c>
      <c r="CL95" s="130">
        <f t="shared" si="144"/>
        <v>3.1689975050583739</v>
      </c>
      <c r="CM95" s="5">
        <f t="shared" si="172"/>
        <v>0</v>
      </c>
      <c r="CN95" s="5">
        <f t="shared" si="145"/>
        <v>0</v>
      </c>
      <c r="DE95" s="130" t="e">
        <f t="shared" si="146"/>
        <v>#NUM!</v>
      </c>
      <c r="DF95" s="130" t="e">
        <f t="shared" si="147"/>
        <v>#NUM!</v>
      </c>
      <c r="DG95" s="130" t="e">
        <f t="shared" si="173"/>
        <v>#NUM!</v>
      </c>
      <c r="DH95" s="130" t="e">
        <f t="shared" si="148"/>
        <v>#NUM!</v>
      </c>
      <c r="DJ95" s="130" t="e">
        <f t="shared" si="149"/>
        <v>#NUM!</v>
      </c>
      <c r="DK95" s="130" t="e">
        <f t="shared" si="150"/>
        <v>#NUM!</v>
      </c>
      <c r="DL95" s="130" t="e">
        <f t="shared" si="174"/>
        <v>#NUM!</v>
      </c>
      <c r="DO95" s="130" t="e">
        <f t="shared" si="151"/>
        <v>#NUM!</v>
      </c>
      <c r="DP95" s="130" t="e">
        <f t="shared" si="152"/>
        <v>#NUM!</v>
      </c>
      <c r="DQ95" s="130" t="e">
        <f t="shared" si="175"/>
        <v>#NUM!</v>
      </c>
    </row>
    <row r="96" spans="2:121" hidden="1">
      <c r="B96" s="231">
        <v>90</v>
      </c>
      <c r="C96" s="280"/>
      <c r="D96" s="475"/>
      <c r="E96" s="318">
        <f t="shared" si="153"/>
        <v>43083</v>
      </c>
      <c r="F96" s="542">
        <f t="shared" si="184"/>
        <v>0</v>
      </c>
      <c r="G96" s="239"/>
      <c r="H96" s="685">
        <f t="shared" si="154"/>
        <v>0</v>
      </c>
      <c r="I96" s="234"/>
      <c r="J96" s="597">
        <f t="shared" si="155"/>
        <v>0</v>
      </c>
      <c r="K96" s="478">
        <f t="shared" si="156"/>
        <v>0</v>
      </c>
      <c r="L96" s="234"/>
      <c r="M96" s="235">
        <f t="shared" si="157"/>
        <v>0</v>
      </c>
      <c r="N96" s="479">
        <f t="shared" si="158"/>
        <v>0</v>
      </c>
      <c r="O96" s="234"/>
      <c r="P96" s="235">
        <f t="shared" si="159"/>
        <v>0</v>
      </c>
      <c r="Q96" s="651">
        <f t="shared" si="160"/>
        <v>0</v>
      </c>
      <c r="R96" s="479">
        <f>IF(J96&gt;0,IF(OR(ManualMode=FALSE,ISBLANK(S96)),'Pricing - Advanced'!$F$16*J96+'Pricing - Advanced'!$F$17,"N/A"),0)</f>
        <v>0</v>
      </c>
      <c r="S96" s="234"/>
      <c r="T96" s="235">
        <f t="shared" si="161"/>
        <v>0</v>
      </c>
      <c r="U96" s="599">
        <f>IF(OR(ManualMode=FALSE,ISBLANK(V96)),SUM(K96:L96)*'Pricing - Advanced'!$F$19+SUM(N96,O96)*'Pricing - Advanced'!$F$18,"N/A")</f>
        <v>0</v>
      </c>
      <c r="V96" s="234"/>
      <c r="W96" s="236">
        <f t="shared" si="162"/>
        <v>0</v>
      </c>
      <c r="X96" s="237">
        <f>'Pricing - Advanced'!$F$20*SUM(H96:I96)+IF(J96&gt;1,'Pricing - Advanced'!$F$21,0)</f>
        <v>0</v>
      </c>
      <c r="Y96" s="688">
        <f>IF(AND(FullTerm&gt;=B96,AB95&gt;0),AB95*'Pricing - Advanced'!$I$128,0)</f>
        <v>0</v>
      </c>
      <c r="Z96" s="233">
        <f t="shared" si="163"/>
        <v>0</v>
      </c>
      <c r="AA96" s="234"/>
      <c r="AB96" s="597">
        <f t="shared" si="164"/>
        <v>0</v>
      </c>
      <c r="AC96" s="236">
        <f t="shared" si="121"/>
        <v>0</v>
      </c>
      <c r="AF96" s="762" t="e">
        <f t="shared" si="165"/>
        <v>#N/A</v>
      </c>
      <c r="AG96" s="759" t="e">
        <f t="shared" si="122"/>
        <v>#N/A</v>
      </c>
      <c r="AH96" s="759">
        <f>IF(J96=0,0,J96-SUM($N$6:N96)-AB95)</f>
        <v>0</v>
      </c>
      <c r="AI96" s="759">
        <f t="shared" si="123"/>
        <v>0</v>
      </c>
      <c r="AJ96" s="760">
        <f t="shared" si="176"/>
        <v>3.0000000000000001E-3</v>
      </c>
      <c r="AK96" s="760">
        <f t="shared" si="177"/>
        <v>3.0000000000000001E-3</v>
      </c>
      <c r="AN96" s="1" t="b">
        <f t="shared" si="178"/>
        <v>1</v>
      </c>
      <c r="AQ96" s="15">
        <f>IF(J95&gt;1,IF(int_method=2,$AG$229*J95,$AG$229*'Pricing - Advanced'!$E$4),0)</f>
        <v>0</v>
      </c>
      <c r="AR96" s="5">
        <f t="shared" si="166"/>
        <v>0</v>
      </c>
      <c r="AS96" s="204">
        <f t="shared" si="179"/>
        <v>43083</v>
      </c>
      <c r="AT96" s="1">
        <f>IF($AT$4=FALSE,B96*'Pricing - Advanced'!$K$5,AT95+E96-E95)</f>
        <v>2740</v>
      </c>
      <c r="AW96">
        <f t="shared" si="167"/>
        <v>0</v>
      </c>
      <c r="AX96">
        <f t="shared" si="124"/>
        <v>0</v>
      </c>
      <c r="AY96">
        <f t="shared" si="125"/>
        <v>0</v>
      </c>
      <c r="AZ96">
        <f t="shared" si="126"/>
        <v>0</v>
      </c>
      <c r="BA96" s="603">
        <f t="shared" si="168"/>
        <v>0</v>
      </c>
      <c r="BB96" s="603">
        <f t="shared" si="169"/>
        <v>0</v>
      </c>
      <c r="BC96" s="5">
        <f t="shared" si="127"/>
        <v>0</v>
      </c>
      <c r="BE96" s="157">
        <f t="shared" si="128"/>
        <v>90</v>
      </c>
      <c r="BF96" s="489">
        <f t="shared" si="170"/>
        <v>2740</v>
      </c>
      <c r="BG96" s="146">
        <f t="shared" si="129"/>
        <v>0</v>
      </c>
      <c r="BH96" s="147">
        <f t="shared" si="130"/>
        <v>0</v>
      </c>
      <c r="BI96" s="154" t="e">
        <f t="shared" si="131"/>
        <v>#NUM!</v>
      </c>
      <c r="BJ96" s="277" t="e">
        <f t="shared" si="181"/>
        <v>#NUM!</v>
      </c>
      <c r="BK96" s="147" t="e">
        <f t="shared" si="182"/>
        <v>#NUM!</v>
      </c>
      <c r="BL96" s="132" t="e">
        <f t="shared" si="183"/>
        <v>#NUM!</v>
      </c>
      <c r="BN96" s="497">
        <f t="shared" si="132"/>
        <v>90</v>
      </c>
      <c r="BO96" s="497">
        <f t="shared" si="133"/>
        <v>2740</v>
      </c>
      <c r="BP96">
        <f t="shared" si="134"/>
        <v>0</v>
      </c>
      <c r="BQ96">
        <f t="shared" si="135"/>
        <v>0</v>
      </c>
      <c r="BR96" s="499" t="e">
        <f t="shared" si="136"/>
        <v>#NUM!</v>
      </c>
      <c r="BS96" s="277" t="e">
        <f t="shared" si="180"/>
        <v>#NUM!</v>
      </c>
      <c r="BT96" s="5" t="e">
        <f t="shared" si="137"/>
        <v>#NUM!</v>
      </c>
      <c r="BU96" s="5" t="e">
        <f t="shared" si="138"/>
        <v>#NUM!</v>
      </c>
      <c r="BW96" s="5"/>
      <c r="BX96" s="5"/>
      <c r="BY96" s="5"/>
      <c r="BZ96" s="5"/>
      <c r="CA96" s="130" t="e">
        <f t="shared" si="139"/>
        <v>#NUM!</v>
      </c>
      <c r="CB96" s="5"/>
      <c r="CC96" s="5" t="e">
        <f t="shared" si="140"/>
        <v>#NUM!</v>
      </c>
      <c r="CD96" s="5" t="e">
        <f t="shared" si="141"/>
        <v>#NUM!</v>
      </c>
      <c r="CE96" s="5"/>
      <c r="CI96" s="130">
        <f t="shared" si="142"/>
        <v>2.976276569404753</v>
      </c>
      <c r="CJ96" s="130">
        <f t="shared" si="143"/>
        <v>2.9770172831973571</v>
      </c>
      <c r="CK96" s="296">
        <f t="shared" si="171"/>
        <v>3.2103341099116385</v>
      </c>
      <c r="CL96" s="130">
        <f t="shared" si="144"/>
        <v>3.2103341099116385</v>
      </c>
      <c r="CM96" s="5">
        <f t="shared" si="172"/>
        <v>0</v>
      </c>
      <c r="CN96" s="5">
        <f t="shared" si="145"/>
        <v>0</v>
      </c>
      <c r="DE96" s="130" t="e">
        <f t="shared" si="146"/>
        <v>#NUM!</v>
      </c>
      <c r="DF96" s="130" t="e">
        <f t="shared" si="147"/>
        <v>#NUM!</v>
      </c>
      <c r="DG96" s="130" t="e">
        <f t="shared" si="173"/>
        <v>#NUM!</v>
      </c>
      <c r="DH96" s="130" t="e">
        <f t="shared" si="148"/>
        <v>#NUM!</v>
      </c>
      <c r="DJ96" s="130" t="e">
        <f t="shared" si="149"/>
        <v>#NUM!</v>
      </c>
      <c r="DK96" s="130" t="e">
        <f t="shared" si="150"/>
        <v>#NUM!</v>
      </c>
      <c r="DL96" s="130" t="e">
        <f t="shared" si="174"/>
        <v>#NUM!</v>
      </c>
      <c r="DO96" s="130" t="e">
        <f t="shared" si="151"/>
        <v>#NUM!</v>
      </c>
      <c r="DP96" s="130" t="e">
        <f t="shared" si="152"/>
        <v>#NUM!</v>
      </c>
      <c r="DQ96" s="130" t="e">
        <f t="shared" si="175"/>
        <v>#NUM!</v>
      </c>
    </row>
    <row r="97" spans="2:121" hidden="1">
      <c r="B97" s="231">
        <v>91</v>
      </c>
      <c r="C97" s="280"/>
      <c r="D97" s="475"/>
      <c r="E97" s="318">
        <f t="shared" si="153"/>
        <v>43114</v>
      </c>
      <c r="F97" s="542">
        <f t="shared" si="184"/>
        <v>0</v>
      </c>
      <c r="G97" s="239"/>
      <c r="H97" s="685">
        <f t="shared" si="154"/>
        <v>0</v>
      </c>
      <c r="I97" s="234"/>
      <c r="J97" s="597">
        <f t="shared" si="155"/>
        <v>0</v>
      </c>
      <c r="K97" s="478">
        <f t="shared" si="156"/>
        <v>0</v>
      </c>
      <c r="L97" s="234"/>
      <c r="M97" s="235">
        <f t="shared" si="157"/>
        <v>0</v>
      </c>
      <c r="N97" s="479">
        <f t="shared" si="158"/>
        <v>0</v>
      </c>
      <c r="O97" s="234"/>
      <c r="P97" s="235">
        <f t="shared" si="159"/>
        <v>0</v>
      </c>
      <c r="Q97" s="651">
        <f t="shared" si="160"/>
        <v>0</v>
      </c>
      <c r="R97" s="479">
        <f>IF(J97&gt;0,IF(OR(ManualMode=FALSE,ISBLANK(S97)),'Pricing - Advanced'!$F$16*J97+'Pricing - Advanced'!$F$17,"N/A"),0)</f>
        <v>0</v>
      </c>
      <c r="S97" s="234"/>
      <c r="T97" s="235">
        <f t="shared" si="161"/>
        <v>0</v>
      </c>
      <c r="U97" s="599">
        <f>IF(OR(ManualMode=FALSE,ISBLANK(V97)),SUM(K97:L97)*'Pricing - Advanced'!$F$19+SUM(N97,O97)*'Pricing - Advanced'!$F$18,"N/A")</f>
        <v>0</v>
      </c>
      <c r="V97" s="234"/>
      <c r="W97" s="236">
        <f t="shared" si="162"/>
        <v>0</v>
      </c>
      <c r="X97" s="237">
        <f>'Pricing - Advanced'!$F$20*SUM(H97:I97)+IF(J97&gt;1,'Pricing - Advanced'!$F$21,0)</f>
        <v>0</v>
      </c>
      <c r="Y97" s="688">
        <f>IF(AND(FullTerm&gt;=B97,AB96&gt;0),AB96*'Pricing - Advanced'!$I$128,0)</f>
        <v>0</v>
      </c>
      <c r="Z97" s="233">
        <f t="shared" si="163"/>
        <v>0</v>
      </c>
      <c r="AA97" s="234"/>
      <c r="AB97" s="597">
        <f t="shared" si="164"/>
        <v>0</v>
      </c>
      <c r="AC97" s="236">
        <f t="shared" si="121"/>
        <v>0</v>
      </c>
      <c r="AF97" s="762" t="e">
        <f t="shared" si="165"/>
        <v>#N/A</v>
      </c>
      <c r="AG97" s="759" t="e">
        <f t="shared" si="122"/>
        <v>#N/A</v>
      </c>
      <c r="AH97" s="759">
        <f>IF(J97=0,0,J97-SUM($N$6:N97)-AB96)</f>
        <v>0</v>
      </c>
      <c r="AI97" s="759">
        <f t="shared" si="123"/>
        <v>0</v>
      </c>
      <c r="AJ97" s="760">
        <f t="shared" si="176"/>
        <v>3.0000000000000001E-3</v>
      </c>
      <c r="AK97" s="760">
        <f t="shared" si="177"/>
        <v>3.0000000000000001E-3</v>
      </c>
      <c r="AN97" s="1" t="b">
        <f t="shared" si="178"/>
        <v>1</v>
      </c>
      <c r="AQ97" s="15">
        <f>IF(J96&gt;1,IF(int_method=2,$AG$229*J96,$AG$229*'Pricing - Advanced'!$E$4),0)</f>
        <v>0</v>
      </c>
      <c r="AR97" s="5">
        <f t="shared" si="166"/>
        <v>0</v>
      </c>
      <c r="AS97" s="204">
        <f t="shared" si="179"/>
        <v>43114</v>
      </c>
      <c r="AT97" s="1">
        <f>IF($AT$4=FALSE,B97*'Pricing - Advanced'!$K$5,AT96+E97-E96)</f>
        <v>2771</v>
      </c>
      <c r="AW97">
        <f t="shared" si="167"/>
        <v>0</v>
      </c>
      <c r="AX97">
        <f t="shared" si="124"/>
        <v>0</v>
      </c>
      <c r="AY97">
        <f t="shared" si="125"/>
        <v>0</v>
      </c>
      <c r="AZ97">
        <f t="shared" si="126"/>
        <v>0</v>
      </c>
      <c r="BA97" s="603">
        <f t="shared" si="168"/>
        <v>0</v>
      </c>
      <c r="BB97" s="603">
        <f t="shared" si="169"/>
        <v>0</v>
      </c>
      <c r="BC97" s="5">
        <f t="shared" si="127"/>
        <v>0</v>
      </c>
      <c r="BE97" s="157">
        <f t="shared" si="128"/>
        <v>91</v>
      </c>
      <c r="BF97" s="489">
        <f t="shared" si="170"/>
        <v>2771</v>
      </c>
      <c r="BG97" s="146">
        <f t="shared" si="129"/>
        <v>0</v>
      </c>
      <c r="BH97" s="147">
        <f t="shared" si="130"/>
        <v>0</v>
      </c>
      <c r="BI97" s="154" t="e">
        <f t="shared" si="131"/>
        <v>#NUM!</v>
      </c>
      <c r="BJ97" s="277" t="e">
        <f t="shared" si="181"/>
        <v>#NUM!</v>
      </c>
      <c r="BK97" s="147" t="e">
        <f t="shared" si="182"/>
        <v>#NUM!</v>
      </c>
      <c r="BL97" s="132" t="e">
        <f t="shared" si="183"/>
        <v>#NUM!</v>
      </c>
      <c r="BN97" s="497">
        <f t="shared" si="132"/>
        <v>91</v>
      </c>
      <c r="BO97" s="497">
        <f t="shared" si="133"/>
        <v>2771</v>
      </c>
      <c r="BP97">
        <f t="shared" si="134"/>
        <v>0</v>
      </c>
      <c r="BQ97">
        <f t="shared" si="135"/>
        <v>0</v>
      </c>
      <c r="BR97" s="499" t="e">
        <f t="shared" si="136"/>
        <v>#NUM!</v>
      </c>
      <c r="BS97" s="277" t="e">
        <f t="shared" si="180"/>
        <v>#NUM!</v>
      </c>
      <c r="BT97" s="5" t="e">
        <f t="shared" si="137"/>
        <v>#NUM!</v>
      </c>
      <c r="BU97" s="5" t="e">
        <f t="shared" si="138"/>
        <v>#NUM!</v>
      </c>
      <c r="BW97" s="5"/>
      <c r="BX97" s="5"/>
      <c r="BY97" s="5"/>
      <c r="BZ97" s="5"/>
      <c r="CA97" s="130" t="e">
        <f t="shared" si="139"/>
        <v>#NUM!</v>
      </c>
      <c r="CB97" s="5"/>
      <c r="CC97" s="5" t="e">
        <f t="shared" si="140"/>
        <v>#NUM!</v>
      </c>
      <c r="CD97" s="5" t="e">
        <f t="shared" si="141"/>
        <v>#NUM!</v>
      </c>
      <c r="CE97" s="5"/>
      <c r="CI97" s="130">
        <f t="shared" si="142"/>
        <v>3.0125642769006657</v>
      </c>
      <c r="CJ97" s="130">
        <f t="shared" si="143"/>
        <v>3.0139889515736016</v>
      </c>
      <c r="CK97" s="296">
        <f t="shared" si="171"/>
        <v>3.252209912065648</v>
      </c>
      <c r="CL97" s="130">
        <f t="shared" si="144"/>
        <v>3.252209912065648</v>
      </c>
      <c r="CM97" s="5">
        <f t="shared" si="172"/>
        <v>0</v>
      </c>
      <c r="CN97" s="5">
        <f t="shared" si="145"/>
        <v>0</v>
      </c>
      <c r="DE97" s="130" t="e">
        <f t="shared" si="146"/>
        <v>#NUM!</v>
      </c>
      <c r="DF97" s="130" t="e">
        <f t="shared" si="147"/>
        <v>#NUM!</v>
      </c>
      <c r="DG97" s="130" t="e">
        <f t="shared" si="173"/>
        <v>#NUM!</v>
      </c>
      <c r="DH97" s="130" t="e">
        <f t="shared" si="148"/>
        <v>#NUM!</v>
      </c>
      <c r="DJ97" s="130" t="e">
        <f t="shared" si="149"/>
        <v>#NUM!</v>
      </c>
      <c r="DK97" s="130" t="e">
        <f t="shared" si="150"/>
        <v>#NUM!</v>
      </c>
      <c r="DL97" s="130" t="e">
        <f t="shared" si="174"/>
        <v>#NUM!</v>
      </c>
      <c r="DO97" s="130" t="e">
        <f t="shared" si="151"/>
        <v>#NUM!</v>
      </c>
      <c r="DP97" s="130" t="e">
        <f t="shared" si="152"/>
        <v>#NUM!</v>
      </c>
      <c r="DQ97" s="130" t="e">
        <f t="shared" si="175"/>
        <v>#NUM!</v>
      </c>
    </row>
    <row r="98" spans="2:121" hidden="1">
      <c r="B98" s="231">
        <v>92</v>
      </c>
      <c r="C98" s="280"/>
      <c r="D98" s="475"/>
      <c r="E98" s="318">
        <f t="shared" si="153"/>
        <v>43145</v>
      </c>
      <c r="F98" s="542">
        <f t="shared" si="184"/>
        <v>0</v>
      </c>
      <c r="G98" s="239"/>
      <c r="H98" s="685">
        <f t="shared" si="154"/>
        <v>0</v>
      </c>
      <c r="I98" s="234"/>
      <c r="J98" s="597">
        <f t="shared" si="155"/>
        <v>0</v>
      </c>
      <c r="K98" s="478">
        <f t="shared" si="156"/>
        <v>0</v>
      </c>
      <c r="L98" s="234"/>
      <c r="M98" s="235">
        <f t="shared" si="157"/>
        <v>0</v>
      </c>
      <c r="N98" s="479">
        <f t="shared" si="158"/>
        <v>0</v>
      </c>
      <c r="O98" s="234"/>
      <c r="P98" s="235">
        <f t="shared" si="159"/>
        <v>0</v>
      </c>
      <c r="Q98" s="651">
        <f t="shared" si="160"/>
        <v>0</v>
      </c>
      <c r="R98" s="479">
        <f>IF(J98&gt;0,IF(OR(ManualMode=FALSE,ISBLANK(S98)),'Pricing - Advanced'!$F$16*J98+'Pricing - Advanced'!$F$17,"N/A"),0)</f>
        <v>0</v>
      </c>
      <c r="S98" s="234"/>
      <c r="T98" s="235">
        <f t="shared" si="161"/>
        <v>0</v>
      </c>
      <c r="U98" s="599">
        <f>IF(OR(ManualMode=FALSE,ISBLANK(V98)),SUM(K98:L98)*'Pricing - Advanced'!$F$19+SUM(N98,O98)*'Pricing - Advanced'!$F$18,"N/A")</f>
        <v>0</v>
      </c>
      <c r="V98" s="234"/>
      <c r="W98" s="236">
        <f t="shared" si="162"/>
        <v>0</v>
      </c>
      <c r="X98" s="237">
        <f>'Pricing - Advanced'!$F$20*SUM(H98:I98)+IF(J98&gt;1,'Pricing - Advanced'!$F$21,0)</f>
        <v>0</v>
      </c>
      <c r="Y98" s="688">
        <f>IF(AND(FullTerm&gt;=B98,AB97&gt;0),AB97*'Pricing - Advanced'!$I$128,0)</f>
        <v>0</v>
      </c>
      <c r="Z98" s="233">
        <f t="shared" si="163"/>
        <v>0</v>
      </c>
      <c r="AA98" s="234"/>
      <c r="AB98" s="597">
        <f t="shared" si="164"/>
        <v>0</v>
      </c>
      <c r="AC98" s="236">
        <f t="shared" si="121"/>
        <v>0</v>
      </c>
      <c r="AF98" s="762" t="e">
        <f t="shared" si="165"/>
        <v>#N/A</v>
      </c>
      <c r="AG98" s="759" t="e">
        <f t="shared" si="122"/>
        <v>#N/A</v>
      </c>
      <c r="AH98" s="759">
        <f>IF(J98=0,0,J98-SUM($N$6:N98)-AB97)</f>
        <v>0</v>
      </c>
      <c r="AI98" s="759">
        <f t="shared" si="123"/>
        <v>0</v>
      </c>
      <c r="AJ98" s="760">
        <f t="shared" si="176"/>
        <v>3.0000000000000001E-3</v>
      </c>
      <c r="AK98" s="760">
        <f t="shared" si="177"/>
        <v>3.0000000000000001E-3</v>
      </c>
      <c r="AN98" s="1" t="b">
        <f t="shared" si="178"/>
        <v>1</v>
      </c>
      <c r="AQ98" s="15">
        <f>IF(J97&gt;1,IF(int_method=2,$AG$229*J97,$AG$229*'Pricing - Advanced'!$E$4),0)</f>
        <v>0</v>
      </c>
      <c r="AR98" s="5">
        <f t="shared" si="166"/>
        <v>0</v>
      </c>
      <c r="AS98" s="204">
        <f t="shared" si="179"/>
        <v>43145</v>
      </c>
      <c r="AT98" s="1">
        <f>IF($AT$4=FALSE,B98*'Pricing - Advanced'!$K$5,AT97+E98-E97)</f>
        <v>2802</v>
      </c>
      <c r="AW98">
        <f t="shared" si="167"/>
        <v>0</v>
      </c>
      <c r="AX98">
        <f t="shared" si="124"/>
        <v>0</v>
      </c>
      <c r="AY98">
        <f t="shared" si="125"/>
        <v>0</v>
      </c>
      <c r="AZ98">
        <f t="shared" si="126"/>
        <v>0</v>
      </c>
      <c r="BA98" s="603">
        <f t="shared" si="168"/>
        <v>0</v>
      </c>
      <c r="BB98" s="603">
        <f t="shared" si="169"/>
        <v>0</v>
      </c>
      <c r="BC98" s="5">
        <f t="shared" si="127"/>
        <v>0</v>
      </c>
      <c r="BE98" s="157">
        <f t="shared" si="128"/>
        <v>92</v>
      </c>
      <c r="BF98" s="489">
        <f t="shared" si="170"/>
        <v>2802</v>
      </c>
      <c r="BG98" s="146">
        <f t="shared" si="129"/>
        <v>0</v>
      </c>
      <c r="BH98" s="147">
        <f t="shared" si="130"/>
        <v>0</v>
      </c>
      <c r="BI98" s="154" t="e">
        <f t="shared" si="131"/>
        <v>#NUM!</v>
      </c>
      <c r="BJ98" s="277" t="e">
        <f t="shared" si="181"/>
        <v>#NUM!</v>
      </c>
      <c r="BK98" s="147" t="e">
        <f t="shared" si="182"/>
        <v>#NUM!</v>
      </c>
      <c r="BL98" s="132" t="e">
        <f t="shared" si="183"/>
        <v>#NUM!</v>
      </c>
      <c r="BN98" s="497">
        <f t="shared" si="132"/>
        <v>92</v>
      </c>
      <c r="BO98" s="497">
        <f t="shared" si="133"/>
        <v>2802</v>
      </c>
      <c r="BP98">
        <f t="shared" si="134"/>
        <v>0</v>
      </c>
      <c r="BQ98">
        <f t="shared" si="135"/>
        <v>0</v>
      </c>
      <c r="BR98" s="499" t="e">
        <f t="shared" si="136"/>
        <v>#NUM!</v>
      </c>
      <c r="BS98" s="277" t="e">
        <f t="shared" si="180"/>
        <v>#NUM!</v>
      </c>
      <c r="BT98" s="5" t="e">
        <f t="shared" si="137"/>
        <v>#NUM!</v>
      </c>
      <c r="BU98" s="5" t="e">
        <f t="shared" si="138"/>
        <v>#NUM!</v>
      </c>
      <c r="BW98" s="5"/>
      <c r="BX98" s="5"/>
      <c r="BY98" s="5"/>
      <c r="BZ98" s="5"/>
      <c r="CA98" s="130" t="e">
        <f t="shared" si="139"/>
        <v>#NUM!</v>
      </c>
      <c r="CB98" s="5"/>
      <c r="CC98" s="5" t="e">
        <f t="shared" si="140"/>
        <v>#NUM!</v>
      </c>
      <c r="CD98" s="5" t="e">
        <f t="shared" si="141"/>
        <v>#NUM!</v>
      </c>
      <c r="CE98" s="5"/>
      <c r="CI98" s="130">
        <f t="shared" si="142"/>
        <v>3.0492944156305728</v>
      </c>
      <c r="CJ98" s="130">
        <f t="shared" si="143"/>
        <v>3.0514197722262653</v>
      </c>
      <c r="CK98" s="296">
        <f t="shared" si="171"/>
        <v>3.2946319448442609</v>
      </c>
      <c r="CL98" s="130">
        <f t="shared" si="144"/>
        <v>3.2946319448442609</v>
      </c>
      <c r="CM98" s="5">
        <f t="shared" si="172"/>
        <v>0</v>
      </c>
      <c r="CN98" s="5">
        <f t="shared" si="145"/>
        <v>0</v>
      </c>
      <c r="DE98" s="130" t="e">
        <f t="shared" si="146"/>
        <v>#NUM!</v>
      </c>
      <c r="DF98" s="130" t="e">
        <f t="shared" si="147"/>
        <v>#NUM!</v>
      </c>
      <c r="DG98" s="130" t="e">
        <f t="shared" si="173"/>
        <v>#NUM!</v>
      </c>
      <c r="DH98" s="130" t="e">
        <f t="shared" si="148"/>
        <v>#NUM!</v>
      </c>
      <c r="DJ98" s="130" t="e">
        <f t="shared" si="149"/>
        <v>#NUM!</v>
      </c>
      <c r="DK98" s="130" t="e">
        <f t="shared" si="150"/>
        <v>#NUM!</v>
      </c>
      <c r="DL98" s="130" t="e">
        <f t="shared" si="174"/>
        <v>#NUM!</v>
      </c>
      <c r="DO98" s="130" t="e">
        <f t="shared" si="151"/>
        <v>#NUM!</v>
      </c>
      <c r="DP98" s="130" t="e">
        <f t="shared" si="152"/>
        <v>#NUM!</v>
      </c>
      <c r="DQ98" s="130" t="e">
        <f t="shared" si="175"/>
        <v>#NUM!</v>
      </c>
    </row>
    <row r="99" spans="2:121" hidden="1">
      <c r="B99" s="231">
        <v>93</v>
      </c>
      <c r="C99" s="280"/>
      <c r="D99" s="475"/>
      <c r="E99" s="318">
        <f t="shared" si="153"/>
        <v>43173</v>
      </c>
      <c r="F99" s="542">
        <f t="shared" si="184"/>
        <v>0</v>
      </c>
      <c r="G99" s="239"/>
      <c r="H99" s="685">
        <f t="shared" si="154"/>
        <v>0</v>
      </c>
      <c r="I99" s="234"/>
      <c r="J99" s="597">
        <f t="shared" si="155"/>
        <v>0</v>
      </c>
      <c r="K99" s="478">
        <f t="shared" si="156"/>
        <v>0</v>
      </c>
      <c r="L99" s="234"/>
      <c r="M99" s="235">
        <f t="shared" si="157"/>
        <v>0</v>
      </c>
      <c r="N99" s="479">
        <f t="shared" si="158"/>
        <v>0</v>
      </c>
      <c r="O99" s="234"/>
      <c r="P99" s="235">
        <f t="shared" si="159"/>
        <v>0</v>
      </c>
      <c r="Q99" s="651">
        <f t="shared" si="160"/>
        <v>0</v>
      </c>
      <c r="R99" s="479">
        <f>IF(J99&gt;0,IF(OR(ManualMode=FALSE,ISBLANK(S99)),'Pricing - Advanced'!$F$16*J99+'Pricing - Advanced'!$F$17,"N/A"),0)</f>
        <v>0</v>
      </c>
      <c r="S99" s="234"/>
      <c r="T99" s="235">
        <f t="shared" si="161"/>
        <v>0</v>
      </c>
      <c r="U99" s="599">
        <f>IF(OR(ManualMode=FALSE,ISBLANK(V99)),SUM(K99:L99)*'Pricing - Advanced'!$F$19+SUM(N99,O99)*'Pricing - Advanced'!$F$18,"N/A")</f>
        <v>0</v>
      </c>
      <c r="V99" s="234"/>
      <c r="W99" s="236">
        <f t="shared" si="162"/>
        <v>0</v>
      </c>
      <c r="X99" s="237">
        <f>'Pricing - Advanced'!$F$20*SUM(H99:I99)+IF(J99&gt;1,'Pricing - Advanced'!$F$21,0)</f>
        <v>0</v>
      </c>
      <c r="Y99" s="688">
        <f>IF(AND(FullTerm&gt;=B99,AB98&gt;0),AB98*'Pricing - Advanced'!$I$128,0)</f>
        <v>0</v>
      </c>
      <c r="Z99" s="233">
        <f t="shared" si="163"/>
        <v>0</v>
      </c>
      <c r="AA99" s="234"/>
      <c r="AB99" s="597">
        <f t="shared" si="164"/>
        <v>0</v>
      </c>
      <c r="AC99" s="236">
        <f t="shared" si="121"/>
        <v>0</v>
      </c>
      <c r="AF99" s="762" t="e">
        <f t="shared" si="165"/>
        <v>#N/A</v>
      </c>
      <c r="AG99" s="759" t="e">
        <f t="shared" si="122"/>
        <v>#N/A</v>
      </c>
      <c r="AH99" s="759">
        <f>IF(J99=0,0,J99-SUM($N$6:N99)-AB98)</f>
        <v>0</v>
      </c>
      <c r="AI99" s="759">
        <f t="shared" si="123"/>
        <v>0</v>
      </c>
      <c r="AJ99" s="760">
        <f t="shared" si="176"/>
        <v>3.0000000000000001E-3</v>
      </c>
      <c r="AK99" s="760">
        <f t="shared" si="177"/>
        <v>3.0000000000000001E-3</v>
      </c>
      <c r="AN99" s="1" t="b">
        <f t="shared" si="178"/>
        <v>1</v>
      </c>
      <c r="AQ99" s="15">
        <f>IF(J98&gt;1,IF(int_method=2,$AG$229*J98,$AG$229*'Pricing - Advanced'!$E$4),0)</f>
        <v>0</v>
      </c>
      <c r="AR99" s="5">
        <f t="shared" si="166"/>
        <v>0</v>
      </c>
      <c r="AS99" s="204">
        <f t="shared" si="179"/>
        <v>43173</v>
      </c>
      <c r="AT99" s="1">
        <f>IF($AT$4=FALSE,B99*'Pricing - Advanced'!$K$5,AT98+E99-E98)</f>
        <v>2830</v>
      </c>
      <c r="AW99">
        <f t="shared" si="167"/>
        <v>0</v>
      </c>
      <c r="AX99">
        <f t="shared" si="124"/>
        <v>0</v>
      </c>
      <c r="AY99">
        <f t="shared" si="125"/>
        <v>0</v>
      </c>
      <c r="AZ99">
        <f t="shared" si="126"/>
        <v>0</v>
      </c>
      <c r="BA99" s="603">
        <f t="shared" si="168"/>
        <v>0</v>
      </c>
      <c r="BB99" s="603">
        <f t="shared" si="169"/>
        <v>0</v>
      </c>
      <c r="BC99" s="5">
        <f t="shared" si="127"/>
        <v>0</v>
      </c>
      <c r="BE99" s="157">
        <f t="shared" si="128"/>
        <v>93</v>
      </c>
      <c r="BF99" s="489">
        <f t="shared" si="170"/>
        <v>2830</v>
      </c>
      <c r="BG99" s="146">
        <f t="shared" si="129"/>
        <v>0</v>
      </c>
      <c r="BH99" s="147">
        <f t="shared" si="130"/>
        <v>0</v>
      </c>
      <c r="BI99" s="154" t="e">
        <f t="shared" si="131"/>
        <v>#NUM!</v>
      </c>
      <c r="BJ99" s="277" t="e">
        <f t="shared" si="181"/>
        <v>#NUM!</v>
      </c>
      <c r="BK99" s="147" t="e">
        <f t="shared" si="182"/>
        <v>#NUM!</v>
      </c>
      <c r="BL99" s="132" t="e">
        <f t="shared" si="183"/>
        <v>#NUM!</v>
      </c>
      <c r="BN99" s="497">
        <f t="shared" si="132"/>
        <v>93</v>
      </c>
      <c r="BO99" s="497">
        <f t="shared" si="133"/>
        <v>2830</v>
      </c>
      <c r="BP99">
        <f t="shared" si="134"/>
        <v>0</v>
      </c>
      <c r="BQ99">
        <f t="shared" si="135"/>
        <v>0</v>
      </c>
      <c r="BR99" s="499" t="e">
        <f t="shared" si="136"/>
        <v>#NUM!</v>
      </c>
      <c r="BS99" s="277" t="e">
        <f t="shared" si="180"/>
        <v>#NUM!</v>
      </c>
      <c r="BT99" s="5" t="e">
        <f t="shared" si="137"/>
        <v>#NUM!</v>
      </c>
      <c r="BU99" s="5" t="e">
        <f t="shared" si="138"/>
        <v>#NUM!</v>
      </c>
      <c r="BW99" s="5"/>
      <c r="BX99" s="5"/>
      <c r="BY99" s="5"/>
      <c r="BZ99" s="5"/>
      <c r="CA99" s="130" t="e">
        <f t="shared" si="139"/>
        <v>#NUM!</v>
      </c>
      <c r="CB99" s="5"/>
      <c r="CC99" s="5" t="e">
        <f t="shared" si="140"/>
        <v>#NUM!</v>
      </c>
      <c r="CD99" s="5" t="e">
        <f t="shared" si="141"/>
        <v>#NUM!</v>
      </c>
      <c r="CE99" s="5"/>
      <c r="CI99" s="130">
        <f t="shared" si="142"/>
        <v>3.0864723798563412</v>
      </c>
      <c r="CJ99" s="130">
        <f t="shared" si="143"/>
        <v>3.08562764823361</v>
      </c>
      <c r="CK99" s="296">
        <f t="shared" si="171"/>
        <v>3.3376073333144585</v>
      </c>
      <c r="CL99" s="130">
        <f t="shared" si="144"/>
        <v>3.3376073333144585</v>
      </c>
      <c r="CM99" s="5">
        <f t="shared" si="172"/>
        <v>0</v>
      </c>
      <c r="CN99" s="5">
        <f t="shared" si="145"/>
        <v>0</v>
      </c>
      <c r="DE99" s="130" t="e">
        <f t="shared" si="146"/>
        <v>#NUM!</v>
      </c>
      <c r="DF99" s="130" t="e">
        <f t="shared" si="147"/>
        <v>#NUM!</v>
      </c>
      <c r="DG99" s="130" t="e">
        <f t="shared" si="173"/>
        <v>#NUM!</v>
      </c>
      <c r="DH99" s="130" t="e">
        <f t="shared" si="148"/>
        <v>#NUM!</v>
      </c>
      <c r="DJ99" s="130" t="e">
        <f t="shared" si="149"/>
        <v>#NUM!</v>
      </c>
      <c r="DK99" s="130" t="e">
        <f t="shared" si="150"/>
        <v>#NUM!</v>
      </c>
      <c r="DL99" s="130" t="e">
        <f t="shared" si="174"/>
        <v>#NUM!</v>
      </c>
      <c r="DO99" s="130" t="e">
        <f t="shared" si="151"/>
        <v>#NUM!</v>
      </c>
      <c r="DP99" s="130" t="e">
        <f t="shared" si="152"/>
        <v>#NUM!</v>
      </c>
      <c r="DQ99" s="130" t="e">
        <f t="shared" si="175"/>
        <v>#NUM!</v>
      </c>
    </row>
    <row r="100" spans="2:121" hidden="1">
      <c r="B100" s="231">
        <v>94</v>
      </c>
      <c r="C100" s="280"/>
      <c r="D100" s="475"/>
      <c r="E100" s="318">
        <f t="shared" si="153"/>
        <v>43204</v>
      </c>
      <c r="F100" s="542">
        <f t="shared" si="184"/>
        <v>0</v>
      </c>
      <c r="G100" s="239"/>
      <c r="H100" s="685">
        <f t="shared" si="154"/>
        <v>0</v>
      </c>
      <c r="I100" s="234"/>
      <c r="J100" s="597">
        <f t="shared" si="155"/>
        <v>0</v>
      </c>
      <c r="K100" s="478">
        <f t="shared" si="156"/>
        <v>0</v>
      </c>
      <c r="L100" s="234"/>
      <c r="M100" s="235">
        <f t="shared" si="157"/>
        <v>0</v>
      </c>
      <c r="N100" s="479">
        <f t="shared" si="158"/>
        <v>0</v>
      </c>
      <c r="O100" s="234"/>
      <c r="P100" s="235">
        <f t="shared" si="159"/>
        <v>0</v>
      </c>
      <c r="Q100" s="651">
        <f t="shared" si="160"/>
        <v>0</v>
      </c>
      <c r="R100" s="479">
        <f>IF(J100&gt;0,IF(OR(ManualMode=FALSE,ISBLANK(S100)),'Pricing - Advanced'!$F$16*J100+'Pricing - Advanced'!$F$17,"N/A"),0)</f>
        <v>0</v>
      </c>
      <c r="S100" s="234"/>
      <c r="T100" s="235">
        <f t="shared" si="161"/>
        <v>0</v>
      </c>
      <c r="U100" s="599">
        <f>IF(OR(ManualMode=FALSE,ISBLANK(V100)),SUM(K100:L100)*'Pricing - Advanced'!$F$19+SUM(N100,O100)*'Pricing - Advanced'!$F$18,"N/A")</f>
        <v>0</v>
      </c>
      <c r="V100" s="234"/>
      <c r="W100" s="236">
        <f t="shared" si="162"/>
        <v>0</v>
      </c>
      <c r="X100" s="237">
        <f>'Pricing - Advanced'!$F$20*SUM(H100:I100)+IF(J100&gt;1,'Pricing - Advanced'!$F$21,0)</f>
        <v>0</v>
      </c>
      <c r="Y100" s="688">
        <f>IF(AND(FullTerm&gt;=B100,AB99&gt;0),AB99*'Pricing - Advanced'!$I$128,0)</f>
        <v>0</v>
      </c>
      <c r="Z100" s="233">
        <f t="shared" si="163"/>
        <v>0</v>
      </c>
      <c r="AA100" s="234"/>
      <c r="AB100" s="597">
        <f t="shared" si="164"/>
        <v>0</v>
      </c>
      <c r="AC100" s="236">
        <f t="shared" si="121"/>
        <v>0</v>
      </c>
      <c r="AF100" s="762" t="e">
        <f t="shared" si="165"/>
        <v>#N/A</v>
      </c>
      <c r="AG100" s="759" t="e">
        <f t="shared" si="122"/>
        <v>#N/A</v>
      </c>
      <c r="AH100" s="759">
        <f>IF(J100=0,0,J100-SUM($N$6:N100)-AB99)</f>
        <v>0</v>
      </c>
      <c r="AI100" s="759">
        <f t="shared" si="123"/>
        <v>0</v>
      </c>
      <c r="AJ100" s="760">
        <f t="shared" si="176"/>
        <v>3.0000000000000001E-3</v>
      </c>
      <c r="AK100" s="760">
        <f t="shared" si="177"/>
        <v>3.0000000000000001E-3</v>
      </c>
      <c r="AN100" s="1" t="b">
        <f t="shared" si="178"/>
        <v>1</v>
      </c>
      <c r="AQ100" s="15">
        <f>IF(J99&gt;1,IF(int_method=2,$AG$229*J99,$AG$229*'Pricing - Advanced'!$E$4),0)</f>
        <v>0</v>
      </c>
      <c r="AR100" s="5">
        <f t="shared" si="166"/>
        <v>0</v>
      </c>
      <c r="AS100" s="204">
        <f t="shared" si="179"/>
        <v>43204</v>
      </c>
      <c r="AT100" s="1">
        <f>IF($AT$4=FALSE,B100*'Pricing - Advanced'!$K$5,AT99+E100-E99)</f>
        <v>2861</v>
      </c>
      <c r="AW100">
        <f t="shared" si="167"/>
        <v>0</v>
      </c>
      <c r="AX100">
        <f t="shared" si="124"/>
        <v>0</v>
      </c>
      <c r="AY100">
        <f t="shared" si="125"/>
        <v>0</v>
      </c>
      <c r="AZ100">
        <f t="shared" si="126"/>
        <v>0</v>
      </c>
      <c r="BA100" s="603">
        <f t="shared" si="168"/>
        <v>0</v>
      </c>
      <c r="BB100" s="603">
        <f t="shared" si="169"/>
        <v>0</v>
      </c>
      <c r="BC100" s="5">
        <f t="shared" si="127"/>
        <v>0</v>
      </c>
      <c r="BE100" s="157">
        <f t="shared" si="128"/>
        <v>94</v>
      </c>
      <c r="BF100" s="489">
        <f t="shared" si="170"/>
        <v>2861</v>
      </c>
      <c r="BG100" s="146">
        <f t="shared" si="129"/>
        <v>0</v>
      </c>
      <c r="BH100" s="147">
        <f t="shared" si="130"/>
        <v>0</v>
      </c>
      <c r="BI100" s="154" t="e">
        <f t="shared" si="131"/>
        <v>#NUM!</v>
      </c>
      <c r="BJ100" s="277" t="e">
        <f t="shared" si="181"/>
        <v>#NUM!</v>
      </c>
      <c r="BK100" s="147" t="e">
        <f t="shared" si="182"/>
        <v>#NUM!</v>
      </c>
      <c r="BL100" s="132" t="e">
        <f t="shared" si="183"/>
        <v>#NUM!</v>
      </c>
      <c r="BN100" s="497">
        <f t="shared" si="132"/>
        <v>94</v>
      </c>
      <c r="BO100" s="497">
        <f t="shared" si="133"/>
        <v>2861</v>
      </c>
      <c r="BP100">
        <f t="shared" si="134"/>
        <v>0</v>
      </c>
      <c r="BQ100">
        <f t="shared" si="135"/>
        <v>0</v>
      </c>
      <c r="BR100" s="499" t="e">
        <f t="shared" si="136"/>
        <v>#NUM!</v>
      </c>
      <c r="BS100" s="277" t="e">
        <f t="shared" si="180"/>
        <v>#NUM!</v>
      </c>
      <c r="BT100" s="5" t="e">
        <f t="shared" si="137"/>
        <v>#NUM!</v>
      </c>
      <c r="BU100" s="5" t="e">
        <f t="shared" si="138"/>
        <v>#NUM!</v>
      </c>
      <c r="BW100" s="5"/>
      <c r="BX100" s="5"/>
      <c r="BY100" s="5"/>
      <c r="BZ100" s="5"/>
      <c r="CA100" s="130" t="e">
        <f t="shared" si="139"/>
        <v>#NUM!</v>
      </c>
      <c r="CB100" s="5"/>
      <c r="CC100" s="5" t="e">
        <f t="shared" si="140"/>
        <v>#NUM!</v>
      </c>
      <c r="CD100" s="5" t="e">
        <f t="shared" si="141"/>
        <v>#NUM!</v>
      </c>
      <c r="CE100" s="5"/>
      <c r="CI100" s="130">
        <f t="shared" si="142"/>
        <v>3.1241036296083902</v>
      </c>
      <c r="CJ100" s="130">
        <f t="shared" si="143"/>
        <v>3.1239481520435635</v>
      </c>
      <c r="CK100" s="296">
        <f t="shared" si="171"/>
        <v>3.3811432954830489</v>
      </c>
      <c r="CL100" s="130">
        <f t="shared" si="144"/>
        <v>3.3811432954830489</v>
      </c>
      <c r="CM100" s="5">
        <f t="shared" si="172"/>
        <v>0</v>
      </c>
      <c r="CN100" s="5">
        <f t="shared" si="145"/>
        <v>0</v>
      </c>
      <c r="DE100" s="130" t="e">
        <f t="shared" si="146"/>
        <v>#NUM!</v>
      </c>
      <c r="DF100" s="130" t="e">
        <f t="shared" si="147"/>
        <v>#NUM!</v>
      </c>
      <c r="DG100" s="130" t="e">
        <f t="shared" si="173"/>
        <v>#NUM!</v>
      </c>
      <c r="DH100" s="130" t="e">
        <f t="shared" si="148"/>
        <v>#NUM!</v>
      </c>
      <c r="DJ100" s="130" t="e">
        <f t="shared" si="149"/>
        <v>#NUM!</v>
      </c>
      <c r="DK100" s="130" t="e">
        <f t="shared" si="150"/>
        <v>#NUM!</v>
      </c>
      <c r="DL100" s="130" t="e">
        <f t="shared" si="174"/>
        <v>#NUM!</v>
      </c>
      <c r="DO100" s="130" t="e">
        <f t="shared" si="151"/>
        <v>#NUM!</v>
      </c>
      <c r="DP100" s="130" t="e">
        <f t="shared" si="152"/>
        <v>#NUM!</v>
      </c>
      <c r="DQ100" s="130" t="e">
        <f t="shared" si="175"/>
        <v>#NUM!</v>
      </c>
    </row>
    <row r="101" spans="2:121" hidden="1">
      <c r="B101" s="231">
        <v>95</v>
      </c>
      <c r="C101" s="280"/>
      <c r="D101" s="475"/>
      <c r="E101" s="318">
        <f t="shared" si="153"/>
        <v>43234</v>
      </c>
      <c r="F101" s="542">
        <f t="shared" si="184"/>
        <v>0</v>
      </c>
      <c r="G101" s="239"/>
      <c r="H101" s="685">
        <f t="shared" si="154"/>
        <v>0</v>
      </c>
      <c r="I101" s="234"/>
      <c r="J101" s="597">
        <f t="shared" si="155"/>
        <v>0</v>
      </c>
      <c r="K101" s="478">
        <f t="shared" si="156"/>
        <v>0</v>
      </c>
      <c r="L101" s="234"/>
      <c r="M101" s="235">
        <f t="shared" si="157"/>
        <v>0</v>
      </c>
      <c r="N101" s="479">
        <f t="shared" si="158"/>
        <v>0</v>
      </c>
      <c r="O101" s="234"/>
      <c r="P101" s="235">
        <f t="shared" si="159"/>
        <v>0</v>
      </c>
      <c r="Q101" s="651">
        <f t="shared" si="160"/>
        <v>0</v>
      </c>
      <c r="R101" s="479">
        <f>IF(J101&gt;0,IF(OR(ManualMode=FALSE,ISBLANK(S101)),'Pricing - Advanced'!$F$16*J101+'Pricing - Advanced'!$F$17,"N/A"),0)</f>
        <v>0</v>
      </c>
      <c r="S101" s="234"/>
      <c r="T101" s="235">
        <f t="shared" si="161"/>
        <v>0</v>
      </c>
      <c r="U101" s="599">
        <f>IF(OR(ManualMode=FALSE,ISBLANK(V101)),SUM(K101:L101)*'Pricing - Advanced'!$F$19+SUM(N101,O101)*'Pricing - Advanced'!$F$18,"N/A")</f>
        <v>0</v>
      </c>
      <c r="V101" s="234"/>
      <c r="W101" s="236">
        <f t="shared" si="162"/>
        <v>0</v>
      </c>
      <c r="X101" s="237">
        <f>'Pricing - Advanced'!$F$20*SUM(H101:I101)+IF(J101&gt;1,'Pricing - Advanced'!$F$21,0)</f>
        <v>0</v>
      </c>
      <c r="Y101" s="688">
        <f>IF(AND(FullTerm&gt;=B101,AB100&gt;0),AB100*'Pricing - Advanced'!$I$128,0)</f>
        <v>0</v>
      </c>
      <c r="Z101" s="233">
        <f t="shared" si="163"/>
        <v>0</v>
      </c>
      <c r="AA101" s="234"/>
      <c r="AB101" s="597">
        <f t="shared" si="164"/>
        <v>0</v>
      </c>
      <c r="AC101" s="236">
        <f t="shared" si="121"/>
        <v>0</v>
      </c>
      <c r="AF101" s="762" t="e">
        <f t="shared" si="165"/>
        <v>#N/A</v>
      </c>
      <c r="AG101" s="759" t="e">
        <f t="shared" si="122"/>
        <v>#N/A</v>
      </c>
      <c r="AH101" s="759">
        <f>IF(J101=0,0,J101-SUM($N$6:N101)-AB100)</f>
        <v>0</v>
      </c>
      <c r="AI101" s="759">
        <f t="shared" si="123"/>
        <v>0</v>
      </c>
      <c r="AJ101" s="760">
        <f t="shared" si="176"/>
        <v>3.0000000000000001E-3</v>
      </c>
      <c r="AK101" s="760">
        <f t="shared" si="177"/>
        <v>3.0000000000000001E-3</v>
      </c>
      <c r="AN101" s="1" t="b">
        <f t="shared" si="178"/>
        <v>1</v>
      </c>
      <c r="AQ101" s="15">
        <f>IF(J100&gt;1,IF(int_method=2,$AG$229*J100,$AG$229*'Pricing - Advanced'!$E$4),0)</f>
        <v>0</v>
      </c>
      <c r="AR101" s="5">
        <f t="shared" si="166"/>
        <v>0</v>
      </c>
      <c r="AS101" s="204">
        <f t="shared" si="179"/>
        <v>43234</v>
      </c>
      <c r="AT101" s="1">
        <f>IF($AT$4=FALSE,B101*'Pricing - Advanced'!$K$5,AT100+E101-E100)</f>
        <v>2891</v>
      </c>
      <c r="AW101">
        <f t="shared" si="167"/>
        <v>0</v>
      </c>
      <c r="AX101">
        <f t="shared" si="124"/>
        <v>0</v>
      </c>
      <c r="AY101">
        <f t="shared" si="125"/>
        <v>0</v>
      </c>
      <c r="AZ101">
        <f t="shared" si="126"/>
        <v>0</v>
      </c>
      <c r="BA101" s="603">
        <f t="shared" si="168"/>
        <v>0</v>
      </c>
      <c r="BB101" s="603">
        <f t="shared" si="169"/>
        <v>0</v>
      </c>
      <c r="BC101" s="5">
        <f t="shared" si="127"/>
        <v>0</v>
      </c>
      <c r="BE101" s="157">
        <f t="shared" si="128"/>
        <v>95</v>
      </c>
      <c r="BF101" s="489">
        <f t="shared" si="170"/>
        <v>2891</v>
      </c>
      <c r="BG101" s="146">
        <f t="shared" si="129"/>
        <v>0</v>
      </c>
      <c r="BH101" s="147">
        <f t="shared" si="130"/>
        <v>0</v>
      </c>
      <c r="BI101" s="154" t="e">
        <f t="shared" si="131"/>
        <v>#NUM!</v>
      </c>
      <c r="BJ101" s="277" t="e">
        <f t="shared" si="181"/>
        <v>#NUM!</v>
      </c>
      <c r="BK101" s="147" t="e">
        <f t="shared" si="182"/>
        <v>#NUM!</v>
      </c>
      <c r="BL101" s="132" t="e">
        <f t="shared" si="183"/>
        <v>#NUM!</v>
      </c>
      <c r="BN101" s="497">
        <f t="shared" si="132"/>
        <v>95</v>
      </c>
      <c r="BO101" s="497">
        <f t="shared" si="133"/>
        <v>2891</v>
      </c>
      <c r="BP101">
        <f t="shared" si="134"/>
        <v>0</v>
      </c>
      <c r="BQ101">
        <f t="shared" si="135"/>
        <v>0</v>
      </c>
      <c r="BR101" s="499" t="e">
        <f t="shared" si="136"/>
        <v>#NUM!</v>
      </c>
      <c r="BS101" s="277" t="e">
        <f t="shared" si="180"/>
        <v>#NUM!</v>
      </c>
      <c r="BT101" s="5" t="e">
        <f t="shared" si="137"/>
        <v>#NUM!</v>
      </c>
      <c r="BU101" s="5" t="e">
        <f t="shared" si="138"/>
        <v>#NUM!</v>
      </c>
      <c r="BW101" s="5"/>
      <c r="BX101" s="5"/>
      <c r="BY101" s="5"/>
      <c r="BZ101" s="5"/>
      <c r="CA101" s="130" t="e">
        <f t="shared" si="139"/>
        <v>#NUM!</v>
      </c>
      <c r="CB101" s="5"/>
      <c r="CC101" s="5" t="e">
        <f t="shared" si="140"/>
        <v>#NUM!</v>
      </c>
      <c r="CD101" s="5" t="e">
        <f t="shared" si="141"/>
        <v>#NUM!</v>
      </c>
      <c r="CE101" s="5"/>
      <c r="CI101" s="130">
        <f t="shared" si="142"/>
        <v>3.1621936914875595</v>
      </c>
      <c r="CJ101" s="130">
        <f t="shared" si="143"/>
        <v>3.1614855737774117</v>
      </c>
      <c r="CK101" s="296">
        <f t="shared" si="171"/>
        <v>3.4252471435089795</v>
      </c>
      <c r="CL101" s="130">
        <f t="shared" si="144"/>
        <v>3.4252471435089795</v>
      </c>
      <c r="CM101" s="5">
        <f t="shared" si="172"/>
        <v>0</v>
      </c>
      <c r="CN101" s="5">
        <f t="shared" si="145"/>
        <v>0</v>
      </c>
      <c r="DE101" s="130" t="e">
        <f t="shared" si="146"/>
        <v>#NUM!</v>
      </c>
      <c r="DF101" s="130" t="e">
        <f t="shared" si="147"/>
        <v>#NUM!</v>
      </c>
      <c r="DG101" s="130" t="e">
        <f t="shared" si="173"/>
        <v>#NUM!</v>
      </c>
      <c r="DH101" s="130" t="e">
        <f t="shared" si="148"/>
        <v>#NUM!</v>
      </c>
      <c r="DJ101" s="130" t="e">
        <f t="shared" si="149"/>
        <v>#NUM!</v>
      </c>
      <c r="DK101" s="130" t="e">
        <f t="shared" si="150"/>
        <v>#NUM!</v>
      </c>
      <c r="DL101" s="130" t="e">
        <f t="shared" si="174"/>
        <v>#NUM!</v>
      </c>
      <c r="DO101" s="130" t="e">
        <f t="shared" si="151"/>
        <v>#NUM!</v>
      </c>
      <c r="DP101" s="130" t="e">
        <f t="shared" si="152"/>
        <v>#NUM!</v>
      </c>
      <c r="DQ101" s="130" t="e">
        <f t="shared" si="175"/>
        <v>#NUM!</v>
      </c>
    </row>
    <row r="102" spans="2:121" hidden="1">
      <c r="B102" s="231">
        <v>96</v>
      </c>
      <c r="C102" s="280"/>
      <c r="D102" s="475"/>
      <c r="E102" s="318">
        <f t="shared" si="153"/>
        <v>43265</v>
      </c>
      <c r="F102" s="542">
        <f t="shared" si="184"/>
        <v>0</v>
      </c>
      <c r="G102" s="239"/>
      <c r="H102" s="685">
        <f t="shared" si="154"/>
        <v>0</v>
      </c>
      <c r="I102" s="234"/>
      <c r="J102" s="597">
        <f t="shared" si="155"/>
        <v>0</v>
      </c>
      <c r="K102" s="478">
        <f t="shared" si="156"/>
        <v>0</v>
      </c>
      <c r="L102" s="234"/>
      <c r="M102" s="235">
        <f t="shared" si="157"/>
        <v>0</v>
      </c>
      <c r="N102" s="479">
        <f t="shared" si="158"/>
        <v>0</v>
      </c>
      <c r="O102" s="234"/>
      <c r="P102" s="235">
        <f t="shared" si="159"/>
        <v>0</v>
      </c>
      <c r="Q102" s="651">
        <f t="shared" si="160"/>
        <v>0</v>
      </c>
      <c r="R102" s="479">
        <f>IF(J102&gt;0,IF(OR(ManualMode=FALSE,ISBLANK(S102)),'Pricing - Advanced'!$F$16*J102+'Pricing - Advanced'!$F$17,"N/A"),0)</f>
        <v>0</v>
      </c>
      <c r="S102" s="234"/>
      <c r="T102" s="235">
        <f t="shared" si="161"/>
        <v>0</v>
      </c>
      <c r="U102" s="599">
        <f>IF(OR(ManualMode=FALSE,ISBLANK(V102)),SUM(K102:L102)*'Pricing - Advanced'!$F$19+SUM(N102,O102)*'Pricing - Advanced'!$F$18,"N/A")</f>
        <v>0</v>
      </c>
      <c r="V102" s="234"/>
      <c r="W102" s="236">
        <f t="shared" si="162"/>
        <v>0</v>
      </c>
      <c r="X102" s="237">
        <f>'Pricing - Advanced'!$F$20*SUM(H102:I102)+IF(J102&gt;1,'Pricing - Advanced'!$F$21,0)</f>
        <v>0</v>
      </c>
      <c r="Y102" s="688">
        <f>IF(AND(FullTerm&gt;=B102,AB101&gt;0),AB101*'Pricing - Advanced'!$I$128,0)</f>
        <v>0</v>
      </c>
      <c r="Z102" s="233">
        <f t="shared" si="163"/>
        <v>0</v>
      </c>
      <c r="AA102" s="234"/>
      <c r="AB102" s="597">
        <f t="shared" si="164"/>
        <v>0</v>
      </c>
      <c r="AC102" s="236">
        <f t="shared" ref="AC102:AC133" si="185">IF(AND(ManualMode=TRUE,NOT(ISBLANK(AA102)),AN102="x"),W102-AA102,W102-X102+Z102)</f>
        <v>0</v>
      </c>
      <c r="AF102" s="762" t="e">
        <f t="shared" si="165"/>
        <v>#N/A</v>
      </c>
      <c r="AG102" s="759" t="e">
        <f t="shared" ref="AG102:AG133" si="186">IF(AB102&gt;0,AB102,NA())</f>
        <v>#N/A</v>
      </c>
      <c r="AH102" s="759">
        <f>IF(J102=0,0,J102-SUM($N$6:N102)-AB101)</f>
        <v>0</v>
      </c>
      <c r="AI102" s="759">
        <f t="shared" ref="AI102:AI133" si="187">IF(AND(AH102&lt;0,B102&lt;=term),1,0)</f>
        <v>0</v>
      </c>
      <c r="AJ102" s="760">
        <f t="shared" si="176"/>
        <v>3.0000000000000001E-3</v>
      </c>
      <c r="AK102" s="760">
        <f t="shared" si="177"/>
        <v>3.0000000000000001E-3</v>
      </c>
      <c r="AN102" s="1" t="b">
        <f t="shared" si="178"/>
        <v>1</v>
      </c>
      <c r="AQ102" s="15">
        <f>IF(J101&gt;1,IF(int_method=2,$AG$229*J101,$AG$229*'Pricing - Advanced'!$E$4),0)</f>
        <v>0</v>
      </c>
      <c r="AR102" s="5">
        <f t="shared" si="166"/>
        <v>0</v>
      </c>
      <c r="AS102" s="204">
        <f t="shared" si="179"/>
        <v>43265</v>
      </c>
      <c r="AT102" s="1">
        <f>IF($AT$4=FALSE,B102*'Pricing - Advanced'!$K$5,AT101+E102-E101)</f>
        <v>2922</v>
      </c>
      <c r="AW102">
        <f t="shared" si="167"/>
        <v>0</v>
      </c>
      <c r="AX102">
        <f t="shared" ref="AX102:AX133" si="188">G102+Z102</f>
        <v>0</v>
      </c>
      <c r="AY102">
        <f t="shared" ref="AY102:AY125" si="189">IF(ManualMode=FALSE,H102+K102,SUM(H102,I102,K102,L102))</f>
        <v>0</v>
      </c>
      <c r="AZ102">
        <f t="shared" ref="AZ102:AZ125" si="190">AY102+IF(ISNUMBER(N102),N102,O102)</f>
        <v>0</v>
      </c>
      <c r="BA102" s="603">
        <f t="shared" si="168"/>
        <v>0</v>
      </c>
      <c r="BB102" s="603">
        <f t="shared" si="169"/>
        <v>0</v>
      </c>
      <c r="BC102" s="5">
        <f t="shared" ref="BC102:BC125" si="191">BB102+X102</f>
        <v>0</v>
      </c>
      <c r="BE102" s="157">
        <f t="shared" ref="BE102:BE133" si="192">B102</f>
        <v>96</v>
      </c>
      <c r="BF102" s="489">
        <f t="shared" si="170"/>
        <v>2922</v>
      </c>
      <c r="BG102" s="146">
        <f t="shared" ref="BG102:BG133" si="193">AW102</f>
        <v>0</v>
      </c>
      <c r="BH102" s="147">
        <f t="shared" ref="BH102:BH133" si="194">AY102</f>
        <v>0</v>
      </c>
      <c r="BI102" s="154" t="e">
        <f t="shared" ref="BI102:BI133" si="195">DH102</f>
        <v>#NUM!</v>
      </c>
      <c r="BJ102" s="277" t="e">
        <f t="shared" si="181"/>
        <v>#NUM!</v>
      </c>
      <c r="BK102" s="147" t="e">
        <f t="shared" si="182"/>
        <v>#NUM!</v>
      </c>
      <c r="BL102" s="132" t="e">
        <f t="shared" si="183"/>
        <v>#NUM!</v>
      </c>
      <c r="BN102" s="497">
        <f t="shared" ref="BN102:BN133" si="196">BE102</f>
        <v>96</v>
      </c>
      <c r="BO102" s="497">
        <f t="shared" ref="BO102:BO133" si="197">BF102</f>
        <v>2922</v>
      </c>
      <c r="BP102">
        <f t="shared" ref="BP102:BP133" si="198">AW102</f>
        <v>0</v>
      </c>
      <c r="BQ102">
        <f t="shared" ref="BQ102:BQ133" si="199">AZ102</f>
        <v>0</v>
      </c>
      <c r="BR102" s="499" t="e">
        <f t="shared" ref="BR102:BR133" si="200">IF($CR$1=1,DJ102,IF($CR$1=2,DL102,DK102))</f>
        <v>#NUM!</v>
      </c>
      <c r="BS102" s="277" t="e">
        <f t="shared" si="180"/>
        <v>#NUM!</v>
      </c>
      <c r="BT102" s="5" t="e">
        <f t="shared" ref="BT102:BT125" si="201">$AW102/BR102</f>
        <v>#NUM!</v>
      </c>
      <c r="BU102" s="5" t="e">
        <f t="shared" ref="BU102:BU125" si="202">$AZ102/BR102</f>
        <v>#NUM!</v>
      </c>
      <c r="BW102" s="5"/>
      <c r="BX102" s="5"/>
      <c r="BY102" s="5"/>
      <c r="BZ102" s="5"/>
      <c r="CA102" s="130" t="e">
        <f t="shared" ref="CA102:CA133" si="203">IF($CR$1=1,DO102,IF($CR$1=2,DQ102,DP102))</f>
        <v>#NUM!</v>
      </c>
      <c r="CB102" s="5"/>
      <c r="CC102" s="5" t="e">
        <f t="shared" ref="CC102:CC125" si="204">$AW102/CA102</f>
        <v>#NUM!</v>
      </c>
      <c r="CD102" s="5" t="e">
        <f t="shared" ref="CD102:CD125" si="205">$BB102/CA102</f>
        <v>#NUM!</v>
      </c>
      <c r="CE102" s="5"/>
      <c r="CI102" s="130">
        <f t="shared" ref="CI102:CI133" si="206">(1+CJ$2)^($B102/$CR$4)</f>
        <v>3.2007481594767588</v>
      </c>
      <c r="CJ102" s="130">
        <f t="shared" ref="CJ102:CJ133" si="207">(1+CJ$2)^($AT102/DaysYr)</f>
        <v>3.2007481594767588</v>
      </c>
      <c r="CK102" s="296">
        <f t="shared" si="171"/>
        <v>3.4699262849314643</v>
      </c>
      <c r="CL102" s="130">
        <f t="shared" ref="CL102:CL125" si="208">IF($CR$1=1,CI102,IF($CR$1=2,CK102,CJ102))</f>
        <v>3.4699262849314643</v>
      </c>
      <c r="CM102" s="5">
        <f t="shared" si="172"/>
        <v>0</v>
      </c>
      <c r="CN102" s="5">
        <f t="shared" ref="CN102:CN133" si="209">BC102/CL102</f>
        <v>0</v>
      </c>
      <c r="DE102" s="130" t="e">
        <f t="shared" ref="DE102:DE133" si="210">(1+DF$3)^($B102/$CR$4)</f>
        <v>#NUM!</v>
      </c>
      <c r="DF102" s="130" t="e">
        <f t="shared" ref="DF102:DF133" si="211">(1+DF$3)^($BF102/DaysYr)</f>
        <v>#NUM!</v>
      </c>
      <c r="DG102" s="130" t="e">
        <f t="shared" si="173"/>
        <v>#NUM!</v>
      </c>
      <c r="DH102" s="130" t="e">
        <f t="shared" ref="DH102:DH133" si="212">IF($CR$1=1,DE102,IF($CR$1=2,DG102,DF102))</f>
        <v>#NUM!</v>
      </c>
      <c r="DJ102" s="130" t="e">
        <f t="shared" ref="DJ102:DJ133" si="213">(1+DK$3)^($B102/$CR$4)</f>
        <v>#NUM!</v>
      </c>
      <c r="DK102" s="130" t="e">
        <f t="shared" ref="DK102:DK188" si="214">(1+DK$3)^($AT102/DaysYr)</f>
        <v>#NUM!</v>
      </c>
      <c r="DL102" s="130" t="e">
        <f t="shared" si="174"/>
        <v>#NUM!</v>
      </c>
      <c r="DO102" s="130" t="e">
        <f t="shared" ref="DO102:DO133" si="215">(1+DP$3)^($B102/$CR$4)</f>
        <v>#NUM!</v>
      </c>
      <c r="DP102" s="130" t="e">
        <f t="shared" ref="DP102:DP188" si="216">(1+DP$3)^($AT102/DaysYr)</f>
        <v>#NUM!</v>
      </c>
      <c r="DQ102" s="130" t="e">
        <f t="shared" si="175"/>
        <v>#NUM!</v>
      </c>
    </row>
    <row r="103" spans="2:121" hidden="1">
      <c r="B103" s="231">
        <v>97</v>
      </c>
      <c r="C103" s="280"/>
      <c r="D103" s="475"/>
      <c r="E103" s="318">
        <f t="shared" ref="E103:E134" si="217">IF(ManualDates="x",IF(NOT(ISBLANK(D103)),D103,IF(C103=0,AS103,E102+C103)),AS103)</f>
        <v>43295</v>
      </c>
      <c r="F103" s="542">
        <f t="shared" si="184"/>
        <v>0</v>
      </c>
      <c r="G103" s="239"/>
      <c r="H103" s="685">
        <f t="shared" ref="H103:H134" si="218">IF(AND(ManualMode=TRUE,NOT(ISBLANK(I103))),"N/A",IF(B103=PrepayPeriod,J102,IF(AND(B103&gt;=FirstPmt,B103&lt;=PrepayPeriod),IF(AND(B103&lt;$AG$228,amortized=1),LoanAmt/$AG$226,-PPMT($AG$229,$B103-FirstPmt+1,$AG$226,LoanAmt)),0)))</f>
        <v>0</v>
      </c>
      <c r="I103" s="234"/>
      <c r="J103" s="597">
        <f t="shared" ref="J103:J134" si="219">IF(AN103&lt;&gt;"x",0,IF(AND(ManualMode=TRUE,NOT(ISBLANK(I103))),J102-I103,IF(J102+G103-H103&gt;1,(J102+G103-H103),0)))</f>
        <v>0</v>
      </c>
      <c r="K103" s="478">
        <f t="shared" ref="K103:K134" si="220">IF(AND(ManualMode=TRUE,NOT(ISBLANK(L103))),"N/A",IF(OR($AH$227&gt;B103,J102&lt;1),0,AR103))</f>
        <v>0</v>
      </c>
      <c r="L103" s="234"/>
      <c r="M103" s="235">
        <f t="shared" ref="M103:M134" si="221">IF(AN103="x",IF(ManualMode=FALSE,-H103-K103,IF(ISBLANK(I103),-H103,-I103)+IF(ISBLANK(L103),-K103,-L103)),0)</f>
        <v>0</v>
      </c>
      <c r="N103" s="479">
        <f t="shared" ref="N103:N134" si="222">IF(OR(ManualMode=FALSE,ISBLANK(O103)),IF(FeeOngoPerc&lt;1,FeeOngoPerc*SUM(H103:I103),IF(J102&gt;1,FeeOngoPerc,0))+IF(FeeOngoFix&lt;1,FeeOngoFix*SUM(H103:I103),IF(J102&gt;1,FeeOngoFix,0)),"N/A")</f>
        <v>0</v>
      </c>
      <c r="O103" s="234"/>
      <c r="P103" s="235">
        <f t="shared" ref="P103:P134" si="223">IF(AND(ManualMode=TRUE,NOT(ISBLANK(O103)),AN103="x"),M103-O103,M103-N103)</f>
        <v>0</v>
      </c>
      <c r="Q103" s="651">
        <f t="shared" ref="Q103:Q134" si="224">IF(J102&gt;0.01,IF(ManualMode=FALSE,SUM(K103,N103),SUM(K103,L103,N103,O103))/J102*(365.25/(AT103-AT102)),0)</f>
        <v>0</v>
      </c>
      <c r="R103" s="479">
        <f>IF(J103&gt;0,IF(OR(ManualMode=FALSE,ISBLANK(S103)),'Pricing - Advanced'!$F$16*J103+'Pricing - Advanced'!$F$17,"N/A"),0)</f>
        <v>0</v>
      </c>
      <c r="S103" s="234"/>
      <c r="T103" s="235">
        <f t="shared" ref="T103:T134" si="225">IF(AND(ManualMode=TRUE,NOT(ISBLANK(S103)),AN103="x"),P103-S103,P103-R103)</f>
        <v>0</v>
      </c>
      <c r="U103" s="599">
        <f>IF(OR(ManualMode=FALSE,ISBLANK(V103)),SUM(K103:L103)*'Pricing - Advanced'!$F$19+SUM(N103,O103)*'Pricing - Advanced'!$F$18,"N/A")</f>
        <v>0</v>
      </c>
      <c r="V103" s="234"/>
      <c r="W103" s="236">
        <f t="shared" ref="W103:W134" si="226">IF(AND(ManualMode=TRUE,NOT(ISBLANK(V103)),AN103="x"),T103-V103,T103-U103)</f>
        <v>0</v>
      </c>
      <c r="X103" s="237">
        <f>'Pricing - Advanced'!$F$20*SUM(H103:I103)+IF(J103&gt;1,'Pricing - Advanced'!$F$21,0)</f>
        <v>0</v>
      </c>
      <c r="Y103" s="688">
        <f>IF(AND(FullTerm&gt;=B103,AB102&gt;0),AB102*'Pricing - Advanced'!$I$128,0)</f>
        <v>0</v>
      </c>
      <c r="Z103" s="233">
        <f t="shared" ref="Z103:Z134" si="227">IF(FullTerm=B103,AB102+X103+Y103,0)</f>
        <v>0</v>
      </c>
      <c r="AA103" s="234"/>
      <c r="AB103" s="597">
        <f t="shared" ref="AB103:AB134" si="228">IF(AND(ManualMode=TRUE,NOT(ISBLANK(AA103)),AN103="x"),AB102+AA103,AB102+X103+Y103-Z103)</f>
        <v>0</v>
      </c>
      <c r="AC103" s="236">
        <f t="shared" si="185"/>
        <v>0</v>
      </c>
      <c r="AF103" s="762" t="e">
        <f t="shared" ref="AF103:AF134" si="229">IF(int_method=1,AF102,IF(J103&gt;0,J103,NA()))</f>
        <v>#N/A</v>
      </c>
      <c r="AG103" s="759" t="e">
        <f t="shared" si="186"/>
        <v>#N/A</v>
      </c>
      <c r="AH103" s="759">
        <f>IF(J103=0,0,J103-SUM($N$6:N103)-AB102)</f>
        <v>0</v>
      </c>
      <c r="AI103" s="759">
        <f t="shared" si="187"/>
        <v>0</v>
      </c>
      <c r="AJ103" s="760">
        <f t="shared" si="176"/>
        <v>3.0000000000000001E-3</v>
      </c>
      <c r="AK103" s="760">
        <f t="shared" si="177"/>
        <v>3.0000000000000001E-3</v>
      </c>
      <c r="AN103" s="1" t="b">
        <f t="shared" si="178"/>
        <v>1</v>
      </c>
      <c r="AQ103" s="15">
        <f>IF(J102&gt;1,IF(int_method=2,$AG$229*J102,$AG$229*'Pricing - Advanced'!$E$4),0)</f>
        <v>0</v>
      </c>
      <c r="AR103" s="5">
        <f t="shared" ref="AR103:AR134" si="230">IF(B103&gt;$AI$233,AQ103,0)+AR102-IF(ManualMode=TRUE,SUM(K102:L102),K102)</f>
        <v>0</v>
      </c>
      <c r="AS103" s="204">
        <f t="shared" si="179"/>
        <v>43295</v>
      </c>
      <c r="AT103" s="1">
        <f>IF($AT$4=FALSE,B103*'Pricing - Advanced'!$K$5,AT102+E103-E102)</f>
        <v>2952</v>
      </c>
      <c r="AW103">
        <f t="shared" ref="AW103:AW125" si="231">G103</f>
        <v>0</v>
      </c>
      <c r="AX103">
        <f t="shared" si="188"/>
        <v>0</v>
      </c>
      <c r="AY103">
        <f t="shared" si="189"/>
        <v>0</v>
      </c>
      <c r="AZ103">
        <f t="shared" si="190"/>
        <v>0</v>
      </c>
      <c r="BA103" s="603">
        <f t="shared" si="168"/>
        <v>0</v>
      </c>
      <c r="BB103" s="603">
        <f t="shared" si="169"/>
        <v>0</v>
      </c>
      <c r="BC103" s="5">
        <f t="shared" si="191"/>
        <v>0</v>
      </c>
      <c r="BE103" s="157">
        <f t="shared" si="192"/>
        <v>97</v>
      </c>
      <c r="BF103" s="489">
        <f t="shared" ref="BF103:BF134" si="232">E103-$E$6</f>
        <v>2952</v>
      </c>
      <c r="BG103" s="146">
        <f t="shared" si="193"/>
        <v>0</v>
      </c>
      <c r="BH103" s="147">
        <f t="shared" si="194"/>
        <v>0</v>
      </c>
      <c r="BI103" s="154" t="e">
        <f t="shared" si="195"/>
        <v>#NUM!</v>
      </c>
      <c r="BJ103" s="277" t="e">
        <f t="shared" si="181"/>
        <v>#NUM!</v>
      </c>
      <c r="BK103" s="147" t="e">
        <f t="shared" si="182"/>
        <v>#NUM!</v>
      </c>
      <c r="BL103" s="132" t="e">
        <f t="shared" si="183"/>
        <v>#NUM!</v>
      </c>
      <c r="BN103" s="497">
        <f t="shared" si="196"/>
        <v>97</v>
      </c>
      <c r="BO103" s="497">
        <f t="shared" si="197"/>
        <v>2952</v>
      </c>
      <c r="BP103">
        <f t="shared" si="198"/>
        <v>0</v>
      </c>
      <c r="BQ103">
        <f t="shared" si="199"/>
        <v>0</v>
      </c>
      <c r="BR103" s="499" t="e">
        <f t="shared" si="200"/>
        <v>#NUM!</v>
      </c>
      <c r="BS103" s="277" t="e">
        <f t="shared" si="180"/>
        <v>#NUM!</v>
      </c>
      <c r="BT103" s="5" t="e">
        <f t="shared" si="201"/>
        <v>#NUM!</v>
      </c>
      <c r="BU103" s="5" t="e">
        <f t="shared" si="202"/>
        <v>#NUM!</v>
      </c>
      <c r="BW103" s="5"/>
      <c r="BX103" s="5"/>
      <c r="BY103" s="5"/>
      <c r="BZ103" s="5"/>
      <c r="CA103" s="130" t="e">
        <f t="shared" si="203"/>
        <v>#NUM!</v>
      </c>
      <c r="CB103" s="5"/>
      <c r="CC103" s="5" t="e">
        <f t="shared" si="204"/>
        <v>#NUM!</v>
      </c>
      <c r="CD103" s="5" t="e">
        <f t="shared" si="205"/>
        <v>#NUM!</v>
      </c>
      <c r="CE103" s="5"/>
      <c r="CI103" s="130">
        <f t="shared" si="206"/>
        <v>3.2397726957625133</v>
      </c>
      <c r="CJ103" s="130">
        <f t="shared" si="207"/>
        <v>3.2392084115931472</v>
      </c>
      <c r="CK103" s="296">
        <f t="shared" ref="CK103:CK134" si="233">CK102*(1+CJ$2/PeriodsYr)</f>
        <v>3.5151882239141288</v>
      </c>
      <c r="CL103" s="130">
        <f t="shared" si="208"/>
        <v>3.5151882239141288</v>
      </c>
      <c r="CM103" s="5">
        <f t="shared" ref="CM103:CM125" si="234">$AX103/CL103</f>
        <v>0</v>
      </c>
      <c r="CN103" s="5">
        <f t="shared" si="209"/>
        <v>0</v>
      </c>
      <c r="DE103" s="130" t="e">
        <f t="shared" si="210"/>
        <v>#NUM!</v>
      </c>
      <c r="DF103" s="130" t="e">
        <f t="shared" si="211"/>
        <v>#NUM!</v>
      </c>
      <c r="DG103" s="130" t="e">
        <f t="shared" ref="DG103:DG134" si="235">DG102*(1+DF$3/PeriodsYr)</f>
        <v>#NUM!</v>
      </c>
      <c r="DH103" s="130" t="e">
        <f t="shared" si="212"/>
        <v>#NUM!</v>
      </c>
      <c r="DJ103" s="130" t="e">
        <f t="shared" si="213"/>
        <v>#NUM!</v>
      </c>
      <c r="DK103" s="130" t="e">
        <f t="shared" si="214"/>
        <v>#NUM!</v>
      </c>
      <c r="DL103" s="130" t="e">
        <f t="shared" ref="DL103:DL125" si="236">DL102*(1+DK$3/PeriodsYr)</f>
        <v>#NUM!</v>
      </c>
      <c r="DO103" s="130" t="e">
        <f t="shared" si="215"/>
        <v>#NUM!</v>
      </c>
      <c r="DP103" s="130" t="e">
        <f t="shared" si="216"/>
        <v>#NUM!</v>
      </c>
      <c r="DQ103" s="130" t="e">
        <f t="shared" ref="DQ103:DQ125" si="237">DQ102*(1+DP$3/PeriodsYr)</f>
        <v>#NUM!</v>
      </c>
    </row>
    <row r="104" spans="2:121" hidden="1">
      <c r="B104" s="231">
        <v>98</v>
      </c>
      <c r="C104" s="280"/>
      <c r="D104" s="475"/>
      <c r="E104" s="318">
        <f t="shared" si="217"/>
        <v>43326</v>
      </c>
      <c r="F104" s="542">
        <f t="shared" si="184"/>
        <v>0</v>
      </c>
      <c r="G104" s="239"/>
      <c r="H104" s="685">
        <f t="shared" si="218"/>
        <v>0</v>
      </c>
      <c r="I104" s="234"/>
      <c r="J104" s="597">
        <f t="shared" si="219"/>
        <v>0</v>
      </c>
      <c r="K104" s="478">
        <f t="shared" si="220"/>
        <v>0</v>
      </c>
      <c r="L104" s="234"/>
      <c r="M104" s="235">
        <f t="shared" si="221"/>
        <v>0</v>
      </c>
      <c r="N104" s="479">
        <f t="shared" si="222"/>
        <v>0</v>
      </c>
      <c r="O104" s="234"/>
      <c r="P104" s="235">
        <f t="shared" si="223"/>
        <v>0</v>
      </c>
      <c r="Q104" s="651">
        <f t="shared" si="224"/>
        <v>0</v>
      </c>
      <c r="R104" s="479">
        <f>IF(J104&gt;0,IF(OR(ManualMode=FALSE,ISBLANK(S104)),'Pricing - Advanced'!$F$16*J104+'Pricing - Advanced'!$F$17,"N/A"),0)</f>
        <v>0</v>
      </c>
      <c r="S104" s="234"/>
      <c r="T104" s="235">
        <f t="shared" si="225"/>
        <v>0</v>
      </c>
      <c r="U104" s="599">
        <f>IF(OR(ManualMode=FALSE,ISBLANK(V104)),SUM(K104:L104)*'Pricing - Advanced'!$F$19+SUM(N104,O104)*'Pricing - Advanced'!$F$18,"N/A")</f>
        <v>0</v>
      </c>
      <c r="V104" s="234"/>
      <c r="W104" s="236">
        <f t="shared" si="226"/>
        <v>0</v>
      </c>
      <c r="X104" s="237">
        <f>'Pricing - Advanced'!$F$20*SUM(H104:I104)+IF(J104&gt;1,'Pricing - Advanced'!$F$21,0)</f>
        <v>0</v>
      </c>
      <c r="Y104" s="688">
        <f>IF(AND(FullTerm&gt;=B104,AB103&gt;0),AB103*'Pricing - Advanced'!$I$128,0)</f>
        <v>0</v>
      </c>
      <c r="Z104" s="233">
        <f t="shared" si="227"/>
        <v>0</v>
      </c>
      <c r="AA104" s="234"/>
      <c r="AB104" s="597">
        <f t="shared" si="228"/>
        <v>0</v>
      </c>
      <c r="AC104" s="236">
        <f t="shared" si="185"/>
        <v>0</v>
      </c>
      <c r="AF104" s="762" t="e">
        <f t="shared" si="229"/>
        <v>#N/A</v>
      </c>
      <c r="AG104" s="759" t="e">
        <f t="shared" si="186"/>
        <v>#N/A</v>
      </c>
      <c r="AH104" s="759">
        <f>IF(J104=0,0,J104-SUM($N$6:N104)-AB103)</f>
        <v>0</v>
      </c>
      <c r="AI104" s="759">
        <f t="shared" si="187"/>
        <v>0</v>
      </c>
      <c r="AJ104" s="760">
        <f t="shared" si="176"/>
        <v>3.0000000000000001E-3</v>
      </c>
      <c r="AK104" s="760">
        <f t="shared" si="177"/>
        <v>3.0000000000000001E-3</v>
      </c>
      <c r="AN104" s="1" t="b">
        <f t="shared" ref="AN104:AN135" si="238">IF(B104&lt;=term,"x",TRUE)</f>
        <v>1</v>
      </c>
      <c r="AQ104" s="15">
        <f>IF(J103&gt;1,IF(int_method=2,$AG$229*J103,$AG$229*'Pricing - Advanced'!$E$4),0)</f>
        <v>0</v>
      </c>
      <c r="AR104" s="5">
        <f t="shared" si="230"/>
        <v>0</v>
      </c>
      <c r="AS104" s="204">
        <f t="shared" ref="AS104:AS135" si="239">IF(SameDay,EDATE(E103,$CR$3),E103+DaysPeriod)</f>
        <v>43326</v>
      </c>
      <c r="AT104" s="1">
        <f>IF($AT$4=FALSE,B104*'Pricing - Advanced'!$K$5,AT103+E104-E103)</f>
        <v>2983</v>
      </c>
      <c r="AW104">
        <f t="shared" si="231"/>
        <v>0</v>
      </c>
      <c r="AX104">
        <f t="shared" si="188"/>
        <v>0</v>
      </c>
      <c r="AY104">
        <f t="shared" si="189"/>
        <v>0</v>
      </c>
      <c r="AZ104">
        <f t="shared" si="190"/>
        <v>0</v>
      </c>
      <c r="BA104" s="603">
        <f t="shared" si="168"/>
        <v>0</v>
      </c>
      <c r="BB104" s="603">
        <f t="shared" si="169"/>
        <v>0</v>
      </c>
      <c r="BC104" s="5">
        <f t="shared" si="191"/>
        <v>0</v>
      </c>
      <c r="BE104" s="157">
        <f t="shared" si="192"/>
        <v>98</v>
      </c>
      <c r="BF104" s="489">
        <f t="shared" si="232"/>
        <v>2983</v>
      </c>
      <c r="BG104" s="146">
        <f t="shared" si="193"/>
        <v>0</v>
      </c>
      <c r="BH104" s="147">
        <f t="shared" si="194"/>
        <v>0</v>
      </c>
      <c r="BI104" s="154" t="e">
        <f t="shared" si="195"/>
        <v>#NUM!</v>
      </c>
      <c r="BJ104" s="277" t="e">
        <f t="shared" si="181"/>
        <v>#NUM!</v>
      </c>
      <c r="BK104" s="147" t="e">
        <f t="shared" si="182"/>
        <v>#NUM!</v>
      </c>
      <c r="BL104" s="132" t="e">
        <f t="shared" si="183"/>
        <v>#NUM!</v>
      </c>
      <c r="BN104" s="497">
        <f t="shared" si="196"/>
        <v>98</v>
      </c>
      <c r="BO104" s="497">
        <f t="shared" si="197"/>
        <v>2983</v>
      </c>
      <c r="BP104">
        <f t="shared" si="198"/>
        <v>0</v>
      </c>
      <c r="BQ104">
        <f t="shared" si="199"/>
        <v>0</v>
      </c>
      <c r="BR104" s="499" t="e">
        <f t="shared" si="200"/>
        <v>#NUM!</v>
      </c>
      <c r="BS104" s="277" t="e">
        <f t="shared" si="180"/>
        <v>#NUM!</v>
      </c>
      <c r="BT104" s="5" t="e">
        <f t="shared" si="201"/>
        <v>#NUM!</v>
      </c>
      <c r="BU104" s="5" t="e">
        <f t="shared" si="202"/>
        <v>#NUM!</v>
      </c>
      <c r="BW104" s="5"/>
      <c r="BX104" s="5"/>
      <c r="BY104" s="5"/>
      <c r="BZ104" s="5"/>
      <c r="CA104" s="130" t="e">
        <f t="shared" si="203"/>
        <v>#NUM!</v>
      </c>
      <c r="CB104" s="5"/>
      <c r="CC104" s="5" t="e">
        <f t="shared" si="204"/>
        <v>#NUM!</v>
      </c>
      <c r="CD104" s="5" t="e">
        <f t="shared" si="205"/>
        <v>#NUM!</v>
      </c>
      <c r="CE104" s="5"/>
      <c r="CI104" s="130">
        <f t="shared" si="206"/>
        <v>3.2792730315665173</v>
      </c>
      <c r="CJ104" s="130">
        <f t="shared" si="207"/>
        <v>3.279436239584236</v>
      </c>
      <c r="CK104" s="296">
        <f t="shared" si="233"/>
        <v>3.5610405625053865</v>
      </c>
      <c r="CL104" s="130">
        <f t="shared" si="208"/>
        <v>3.5610405625053865</v>
      </c>
      <c r="CM104" s="5">
        <f t="shared" si="234"/>
        <v>0</v>
      </c>
      <c r="CN104" s="5">
        <f t="shared" si="209"/>
        <v>0</v>
      </c>
      <c r="DE104" s="130" t="e">
        <f t="shared" si="210"/>
        <v>#NUM!</v>
      </c>
      <c r="DF104" s="130" t="e">
        <f t="shared" si="211"/>
        <v>#NUM!</v>
      </c>
      <c r="DG104" s="130" t="e">
        <f t="shared" si="235"/>
        <v>#NUM!</v>
      </c>
      <c r="DH104" s="130" t="e">
        <f t="shared" si="212"/>
        <v>#NUM!</v>
      </c>
      <c r="DJ104" s="130" t="e">
        <f t="shared" si="213"/>
        <v>#NUM!</v>
      </c>
      <c r="DK104" s="130" t="e">
        <f t="shared" si="214"/>
        <v>#NUM!</v>
      </c>
      <c r="DL104" s="130" t="e">
        <f t="shared" si="236"/>
        <v>#NUM!</v>
      </c>
      <c r="DO104" s="130" t="e">
        <f t="shared" si="215"/>
        <v>#NUM!</v>
      </c>
      <c r="DP104" s="130" t="e">
        <f t="shared" si="216"/>
        <v>#NUM!</v>
      </c>
      <c r="DQ104" s="130" t="e">
        <f t="shared" si="237"/>
        <v>#NUM!</v>
      </c>
    </row>
    <row r="105" spans="2:121" hidden="1">
      <c r="B105" s="231">
        <v>99</v>
      </c>
      <c r="C105" s="280"/>
      <c r="D105" s="475"/>
      <c r="E105" s="318">
        <f t="shared" si="217"/>
        <v>43357</v>
      </c>
      <c r="F105" s="542">
        <f t="shared" si="184"/>
        <v>0</v>
      </c>
      <c r="G105" s="239"/>
      <c r="H105" s="685">
        <f t="shared" si="218"/>
        <v>0</v>
      </c>
      <c r="I105" s="234"/>
      <c r="J105" s="597">
        <f t="shared" si="219"/>
        <v>0</v>
      </c>
      <c r="K105" s="478">
        <f t="shared" si="220"/>
        <v>0</v>
      </c>
      <c r="L105" s="234"/>
      <c r="M105" s="235">
        <f t="shared" si="221"/>
        <v>0</v>
      </c>
      <c r="N105" s="479">
        <f t="shared" si="222"/>
        <v>0</v>
      </c>
      <c r="O105" s="234"/>
      <c r="P105" s="235">
        <f t="shared" si="223"/>
        <v>0</v>
      </c>
      <c r="Q105" s="651">
        <f t="shared" si="224"/>
        <v>0</v>
      </c>
      <c r="R105" s="479">
        <f>IF(J105&gt;0,IF(OR(ManualMode=FALSE,ISBLANK(S105)),'Pricing - Advanced'!$F$16*J105+'Pricing - Advanced'!$F$17,"N/A"),0)</f>
        <v>0</v>
      </c>
      <c r="S105" s="234"/>
      <c r="T105" s="235">
        <f t="shared" si="225"/>
        <v>0</v>
      </c>
      <c r="U105" s="599">
        <f>IF(OR(ManualMode=FALSE,ISBLANK(V105)),SUM(K105:L105)*'Pricing - Advanced'!$F$19+SUM(N105,O105)*'Pricing - Advanced'!$F$18,"N/A")</f>
        <v>0</v>
      </c>
      <c r="V105" s="234"/>
      <c r="W105" s="236">
        <f t="shared" si="226"/>
        <v>0</v>
      </c>
      <c r="X105" s="237">
        <f>'Pricing - Advanced'!$F$20*SUM(H105:I105)+IF(J105&gt;1,'Pricing - Advanced'!$F$21,0)</f>
        <v>0</v>
      </c>
      <c r="Y105" s="688">
        <f>IF(AND(FullTerm&gt;=B105,AB104&gt;0),AB104*'Pricing - Advanced'!$I$128,0)</f>
        <v>0</v>
      </c>
      <c r="Z105" s="233">
        <f t="shared" si="227"/>
        <v>0</v>
      </c>
      <c r="AA105" s="234"/>
      <c r="AB105" s="597">
        <f t="shared" si="228"/>
        <v>0</v>
      </c>
      <c r="AC105" s="236">
        <f t="shared" si="185"/>
        <v>0</v>
      </c>
      <c r="AF105" s="762" t="e">
        <f t="shared" si="229"/>
        <v>#N/A</v>
      </c>
      <c r="AG105" s="759" t="e">
        <f t="shared" si="186"/>
        <v>#N/A</v>
      </c>
      <c r="AH105" s="759">
        <f>IF(J105=0,0,J105-SUM($N$6:N105)-AB104)</f>
        <v>0</v>
      </c>
      <c r="AI105" s="759">
        <f t="shared" si="187"/>
        <v>0</v>
      </c>
      <c r="AJ105" s="760">
        <f t="shared" si="176"/>
        <v>3.0000000000000001E-3</v>
      </c>
      <c r="AK105" s="760">
        <f t="shared" si="177"/>
        <v>3.0000000000000001E-3</v>
      </c>
      <c r="AN105" s="1" t="b">
        <f t="shared" si="238"/>
        <v>1</v>
      </c>
      <c r="AQ105" s="15">
        <f>IF(J104&gt;1,IF(int_method=2,$AG$229*J104,$AG$229*'Pricing - Advanced'!$E$4),0)</f>
        <v>0</v>
      </c>
      <c r="AR105" s="5">
        <f t="shared" si="230"/>
        <v>0</v>
      </c>
      <c r="AS105" s="204">
        <f t="shared" si="239"/>
        <v>43357</v>
      </c>
      <c r="AT105" s="1">
        <f>IF($AT$4=FALSE,B105*'Pricing - Advanced'!$K$5,AT104+E105-E104)</f>
        <v>3014</v>
      </c>
      <c r="AW105">
        <f t="shared" si="231"/>
        <v>0</v>
      </c>
      <c r="AX105">
        <f t="shared" si="188"/>
        <v>0</v>
      </c>
      <c r="AY105">
        <f t="shared" si="189"/>
        <v>0</v>
      </c>
      <c r="AZ105">
        <f t="shared" si="190"/>
        <v>0</v>
      </c>
      <c r="BA105" s="603">
        <f t="shared" si="168"/>
        <v>0</v>
      </c>
      <c r="BB105" s="603">
        <f t="shared" si="169"/>
        <v>0</v>
      </c>
      <c r="BC105" s="5">
        <f t="shared" si="191"/>
        <v>0</v>
      </c>
      <c r="BE105" s="157">
        <f t="shared" si="192"/>
        <v>99</v>
      </c>
      <c r="BF105" s="489">
        <f t="shared" si="232"/>
        <v>3014</v>
      </c>
      <c r="BG105" s="146">
        <f t="shared" si="193"/>
        <v>0</v>
      </c>
      <c r="BH105" s="147">
        <f t="shared" si="194"/>
        <v>0</v>
      </c>
      <c r="BI105" s="154" t="e">
        <f t="shared" si="195"/>
        <v>#NUM!</v>
      </c>
      <c r="BJ105" s="277" t="e">
        <f t="shared" si="181"/>
        <v>#NUM!</v>
      </c>
      <c r="BK105" s="147" t="e">
        <f t="shared" si="182"/>
        <v>#NUM!</v>
      </c>
      <c r="BL105" s="132" t="e">
        <f t="shared" si="183"/>
        <v>#NUM!</v>
      </c>
      <c r="BN105" s="497">
        <f t="shared" si="196"/>
        <v>99</v>
      </c>
      <c r="BO105" s="497">
        <f t="shared" si="197"/>
        <v>3014</v>
      </c>
      <c r="BP105">
        <f t="shared" si="198"/>
        <v>0</v>
      </c>
      <c r="BQ105">
        <f t="shared" si="199"/>
        <v>0</v>
      </c>
      <c r="BR105" s="499" t="e">
        <f t="shared" si="200"/>
        <v>#NUM!</v>
      </c>
      <c r="BS105" s="277" t="e">
        <f t="shared" si="180"/>
        <v>#NUM!</v>
      </c>
      <c r="BT105" s="5" t="e">
        <f t="shared" si="201"/>
        <v>#NUM!</v>
      </c>
      <c r="BU105" s="5" t="e">
        <f t="shared" si="202"/>
        <v>#NUM!</v>
      </c>
      <c r="BW105" s="5"/>
      <c r="BX105" s="5"/>
      <c r="BY105" s="5"/>
      <c r="BZ105" s="5"/>
      <c r="CA105" s="130" t="e">
        <f t="shared" si="203"/>
        <v>#NUM!</v>
      </c>
      <c r="CB105" s="5"/>
      <c r="CC105" s="5" t="e">
        <f t="shared" si="204"/>
        <v>#NUM!</v>
      </c>
      <c r="CD105" s="5" t="e">
        <f t="shared" si="205"/>
        <v>#NUM!</v>
      </c>
      <c r="CE105" s="5"/>
      <c r="CI105" s="130">
        <f t="shared" si="206"/>
        <v>3.3192549679873387</v>
      </c>
      <c r="CJ105" s="130">
        <f t="shared" si="207"/>
        <v>3.3201636581972456</v>
      </c>
      <c r="CK105" s="296">
        <f t="shared" si="233"/>
        <v>3.6074910019152533</v>
      </c>
      <c r="CL105" s="130">
        <f t="shared" si="208"/>
        <v>3.6074910019152533</v>
      </c>
      <c r="CM105" s="5">
        <f t="shared" si="234"/>
        <v>0</v>
      </c>
      <c r="CN105" s="5">
        <f t="shared" si="209"/>
        <v>0</v>
      </c>
      <c r="DE105" s="130" t="e">
        <f t="shared" si="210"/>
        <v>#NUM!</v>
      </c>
      <c r="DF105" s="130" t="e">
        <f t="shared" si="211"/>
        <v>#NUM!</v>
      </c>
      <c r="DG105" s="130" t="e">
        <f t="shared" si="235"/>
        <v>#NUM!</v>
      </c>
      <c r="DH105" s="130" t="e">
        <f t="shared" si="212"/>
        <v>#NUM!</v>
      </c>
      <c r="DJ105" s="130" t="e">
        <f t="shared" si="213"/>
        <v>#NUM!</v>
      </c>
      <c r="DK105" s="130" t="e">
        <f t="shared" si="214"/>
        <v>#NUM!</v>
      </c>
      <c r="DL105" s="130" t="e">
        <f t="shared" si="236"/>
        <v>#NUM!</v>
      </c>
      <c r="DO105" s="130" t="e">
        <f t="shared" si="215"/>
        <v>#NUM!</v>
      </c>
      <c r="DP105" s="130" t="e">
        <f t="shared" si="216"/>
        <v>#NUM!</v>
      </c>
      <c r="DQ105" s="130" t="e">
        <f t="shared" si="237"/>
        <v>#NUM!</v>
      </c>
    </row>
    <row r="106" spans="2:121" hidden="1">
      <c r="B106" s="231">
        <v>100</v>
      </c>
      <c r="C106" s="280"/>
      <c r="D106" s="475"/>
      <c r="E106" s="318">
        <f t="shared" si="217"/>
        <v>43387</v>
      </c>
      <c r="F106" s="542">
        <f t="shared" si="184"/>
        <v>0</v>
      </c>
      <c r="G106" s="239"/>
      <c r="H106" s="685">
        <f t="shared" si="218"/>
        <v>0</v>
      </c>
      <c r="I106" s="234"/>
      <c r="J106" s="597">
        <f t="shared" si="219"/>
        <v>0</v>
      </c>
      <c r="K106" s="478">
        <f t="shared" si="220"/>
        <v>0</v>
      </c>
      <c r="L106" s="234"/>
      <c r="M106" s="235">
        <f t="shared" si="221"/>
        <v>0</v>
      </c>
      <c r="N106" s="479">
        <f t="shared" si="222"/>
        <v>0</v>
      </c>
      <c r="O106" s="234"/>
      <c r="P106" s="235">
        <f t="shared" si="223"/>
        <v>0</v>
      </c>
      <c r="Q106" s="651">
        <f t="shared" si="224"/>
        <v>0</v>
      </c>
      <c r="R106" s="479">
        <f>IF(J106&gt;0,IF(OR(ManualMode=FALSE,ISBLANK(S106)),'Pricing - Advanced'!$F$16*J106+'Pricing - Advanced'!$F$17,"N/A"),0)</f>
        <v>0</v>
      </c>
      <c r="S106" s="234"/>
      <c r="T106" s="235">
        <f t="shared" si="225"/>
        <v>0</v>
      </c>
      <c r="U106" s="599">
        <f>IF(OR(ManualMode=FALSE,ISBLANK(V106)),SUM(K106:L106)*'Pricing - Advanced'!$F$19+SUM(N106,O106)*'Pricing - Advanced'!$F$18,"N/A")</f>
        <v>0</v>
      </c>
      <c r="V106" s="234"/>
      <c r="W106" s="236">
        <f t="shared" si="226"/>
        <v>0</v>
      </c>
      <c r="X106" s="237">
        <f>'Pricing - Advanced'!$F$20*SUM(H106:I106)+IF(J106&gt;1,'Pricing - Advanced'!$F$21,0)</f>
        <v>0</v>
      </c>
      <c r="Y106" s="688">
        <f>IF(AND(FullTerm&gt;=B106,AB105&gt;0),AB105*'Pricing - Advanced'!$I$128,0)</f>
        <v>0</v>
      </c>
      <c r="Z106" s="233">
        <f t="shared" si="227"/>
        <v>0</v>
      </c>
      <c r="AA106" s="234"/>
      <c r="AB106" s="597">
        <f t="shared" si="228"/>
        <v>0</v>
      </c>
      <c r="AC106" s="236">
        <f t="shared" si="185"/>
        <v>0</v>
      </c>
      <c r="AF106" s="762" t="e">
        <f t="shared" si="229"/>
        <v>#N/A</v>
      </c>
      <c r="AG106" s="759" t="e">
        <f t="shared" si="186"/>
        <v>#N/A</v>
      </c>
      <c r="AH106" s="759">
        <f>IF(J106=0,0,J106-SUM($N$6:N106)-AB105)</f>
        <v>0</v>
      </c>
      <c r="AI106" s="759">
        <f t="shared" si="187"/>
        <v>0</v>
      </c>
      <c r="AJ106" s="760">
        <f t="shared" si="176"/>
        <v>3.0000000000000001E-3</v>
      </c>
      <c r="AK106" s="760">
        <f t="shared" si="177"/>
        <v>3.0000000000000001E-3</v>
      </c>
      <c r="AN106" s="1" t="b">
        <f t="shared" si="238"/>
        <v>1</v>
      </c>
      <c r="AQ106" s="15">
        <f>IF(J105&gt;1,IF(int_method=2,$AG$229*J105,$AG$229*'Pricing - Advanced'!$E$4),0)</f>
        <v>0</v>
      </c>
      <c r="AR106" s="5">
        <f t="shared" si="230"/>
        <v>0</v>
      </c>
      <c r="AS106" s="204">
        <f t="shared" si="239"/>
        <v>43387</v>
      </c>
      <c r="AT106" s="1">
        <f>IF($AT$4=FALSE,B106*'Pricing - Advanced'!$K$5,AT105+E106-E105)</f>
        <v>3044</v>
      </c>
      <c r="AW106">
        <f t="shared" si="231"/>
        <v>0</v>
      </c>
      <c r="AX106">
        <f t="shared" si="188"/>
        <v>0</v>
      </c>
      <c r="AY106">
        <f t="shared" si="189"/>
        <v>0</v>
      </c>
      <c r="AZ106">
        <f t="shared" si="190"/>
        <v>0</v>
      </c>
      <c r="BA106" s="603">
        <f t="shared" si="168"/>
        <v>0</v>
      </c>
      <c r="BB106" s="603">
        <f t="shared" si="169"/>
        <v>0</v>
      </c>
      <c r="BC106" s="5">
        <f t="shared" si="191"/>
        <v>0</v>
      </c>
      <c r="BE106" s="157">
        <f t="shared" si="192"/>
        <v>100</v>
      </c>
      <c r="BF106" s="489">
        <f t="shared" si="232"/>
        <v>3044</v>
      </c>
      <c r="BG106" s="146">
        <f t="shared" si="193"/>
        <v>0</v>
      </c>
      <c r="BH106" s="147">
        <f t="shared" si="194"/>
        <v>0</v>
      </c>
      <c r="BI106" s="154" t="e">
        <f t="shared" si="195"/>
        <v>#NUM!</v>
      </c>
      <c r="BJ106" s="277" t="e">
        <f t="shared" si="181"/>
        <v>#NUM!</v>
      </c>
      <c r="BK106" s="147" t="e">
        <f t="shared" si="182"/>
        <v>#NUM!</v>
      </c>
      <c r="BL106" s="132" t="e">
        <f t="shared" si="183"/>
        <v>#NUM!</v>
      </c>
      <c r="BN106" s="497">
        <f t="shared" si="196"/>
        <v>100</v>
      </c>
      <c r="BO106" s="497">
        <f t="shared" si="197"/>
        <v>3044</v>
      </c>
      <c r="BP106">
        <f t="shared" si="198"/>
        <v>0</v>
      </c>
      <c r="BQ106">
        <f t="shared" si="199"/>
        <v>0</v>
      </c>
      <c r="BR106" s="499" t="e">
        <f t="shared" si="200"/>
        <v>#NUM!</v>
      </c>
      <c r="BS106" s="277" t="e">
        <f t="shared" si="180"/>
        <v>#NUM!</v>
      </c>
      <c r="BT106" s="5" t="e">
        <f t="shared" si="201"/>
        <v>#NUM!</v>
      </c>
      <c r="BU106" s="5" t="e">
        <f t="shared" si="202"/>
        <v>#NUM!</v>
      </c>
      <c r="BW106" s="5"/>
      <c r="BX106" s="5"/>
      <c r="BY106" s="5"/>
      <c r="BZ106" s="5"/>
      <c r="CA106" s="130" t="e">
        <f t="shared" si="203"/>
        <v>#NUM!</v>
      </c>
      <c r="CB106" s="5"/>
      <c r="CC106" s="5" t="e">
        <f t="shared" si="204"/>
        <v>#NUM!</v>
      </c>
      <c r="CD106" s="5" t="e">
        <f t="shared" si="205"/>
        <v>#NUM!</v>
      </c>
      <c r="CE106" s="5"/>
      <c r="CI106" s="130">
        <f t="shared" si="206"/>
        <v>3.359724376852379</v>
      </c>
      <c r="CJ106" s="130">
        <f t="shared" si="207"/>
        <v>3.3600588092680521</v>
      </c>
      <c r="CK106" s="296">
        <f t="shared" si="233"/>
        <v>3.6545473438088174</v>
      </c>
      <c r="CL106" s="130">
        <f t="shared" si="208"/>
        <v>3.6545473438088174</v>
      </c>
      <c r="CM106" s="5">
        <f t="shared" si="234"/>
        <v>0</v>
      </c>
      <c r="CN106" s="5">
        <f t="shared" si="209"/>
        <v>0</v>
      </c>
      <c r="DE106" s="130" t="e">
        <f t="shared" si="210"/>
        <v>#NUM!</v>
      </c>
      <c r="DF106" s="130" t="e">
        <f t="shared" si="211"/>
        <v>#NUM!</v>
      </c>
      <c r="DG106" s="130" t="e">
        <f t="shared" si="235"/>
        <v>#NUM!</v>
      </c>
      <c r="DH106" s="130" t="e">
        <f t="shared" si="212"/>
        <v>#NUM!</v>
      </c>
      <c r="DJ106" s="130" t="e">
        <f t="shared" si="213"/>
        <v>#NUM!</v>
      </c>
      <c r="DK106" s="130" t="e">
        <f t="shared" si="214"/>
        <v>#NUM!</v>
      </c>
      <c r="DL106" s="130" t="e">
        <f t="shared" si="236"/>
        <v>#NUM!</v>
      </c>
      <c r="DO106" s="130" t="e">
        <f t="shared" si="215"/>
        <v>#NUM!</v>
      </c>
      <c r="DP106" s="130" t="e">
        <f t="shared" si="216"/>
        <v>#NUM!</v>
      </c>
      <c r="DQ106" s="130" t="e">
        <f t="shared" si="237"/>
        <v>#NUM!</v>
      </c>
    </row>
    <row r="107" spans="2:121" hidden="1">
      <c r="B107" s="231">
        <v>101</v>
      </c>
      <c r="C107" s="280"/>
      <c r="D107" s="475"/>
      <c r="E107" s="318">
        <f t="shared" si="217"/>
        <v>43418</v>
      </c>
      <c r="F107" s="542">
        <f t="shared" si="184"/>
        <v>0</v>
      </c>
      <c r="G107" s="239"/>
      <c r="H107" s="685">
        <f t="shared" si="218"/>
        <v>0</v>
      </c>
      <c r="I107" s="234"/>
      <c r="J107" s="597">
        <f t="shared" si="219"/>
        <v>0</v>
      </c>
      <c r="K107" s="478">
        <f t="shared" si="220"/>
        <v>0</v>
      </c>
      <c r="L107" s="234"/>
      <c r="M107" s="235">
        <f t="shared" si="221"/>
        <v>0</v>
      </c>
      <c r="N107" s="479">
        <f t="shared" si="222"/>
        <v>0</v>
      </c>
      <c r="O107" s="234"/>
      <c r="P107" s="235">
        <f t="shared" si="223"/>
        <v>0</v>
      </c>
      <c r="Q107" s="651">
        <f t="shared" si="224"/>
        <v>0</v>
      </c>
      <c r="R107" s="479">
        <f>IF(J107&gt;0,IF(OR(ManualMode=FALSE,ISBLANK(S107)),'Pricing - Advanced'!$F$16*J107+'Pricing - Advanced'!$F$17,"N/A"),0)</f>
        <v>0</v>
      </c>
      <c r="S107" s="234"/>
      <c r="T107" s="235">
        <f t="shared" si="225"/>
        <v>0</v>
      </c>
      <c r="U107" s="599">
        <f>IF(OR(ManualMode=FALSE,ISBLANK(V107)),SUM(K107:L107)*'Pricing - Advanced'!$F$19+SUM(N107,O107)*'Pricing - Advanced'!$F$18,"N/A")</f>
        <v>0</v>
      </c>
      <c r="V107" s="234"/>
      <c r="W107" s="236">
        <f t="shared" si="226"/>
        <v>0</v>
      </c>
      <c r="X107" s="237">
        <f>'Pricing - Advanced'!$F$20*SUM(H107:I107)+IF(J107&gt;1,'Pricing - Advanced'!$F$21,0)</f>
        <v>0</v>
      </c>
      <c r="Y107" s="688">
        <f>IF(AND(FullTerm&gt;=B107,AB106&gt;0),AB106*'Pricing - Advanced'!$I$128,0)</f>
        <v>0</v>
      </c>
      <c r="Z107" s="233">
        <f t="shared" si="227"/>
        <v>0</v>
      </c>
      <c r="AA107" s="234"/>
      <c r="AB107" s="597">
        <f t="shared" si="228"/>
        <v>0</v>
      </c>
      <c r="AC107" s="236">
        <f t="shared" si="185"/>
        <v>0</v>
      </c>
      <c r="AF107" s="762" t="e">
        <f t="shared" si="229"/>
        <v>#N/A</v>
      </c>
      <c r="AG107" s="759" t="e">
        <f t="shared" si="186"/>
        <v>#N/A</v>
      </c>
      <c r="AH107" s="759">
        <f>IF(J107=0,0,J107-SUM($N$6:N107)-AB106)</f>
        <v>0</v>
      </c>
      <c r="AI107" s="759">
        <f t="shared" si="187"/>
        <v>0</v>
      </c>
      <c r="AJ107" s="760">
        <f t="shared" si="176"/>
        <v>3.0000000000000001E-3</v>
      </c>
      <c r="AK107" s="760">
        <f t="shared" si="177"/>
        <v>3.0000000000000001E-3</v>
      </c>
      <c r="AN107" s="1" t="b">
        <f t="shared" si="238"/>
        <v>1</v>
      </c>
      <c r="AQ107" s="15">
        <f>IF(J106&gt;1,IF(int_method=2,$AG$229*J106,$AG$229*'Pricing - Advanced'!$E$4),0)</f>
        <v>0</v>
      </c>
      <c r="AR107" s="5">
        <f t="shared" si="230"/>
        <v>0</v>
      </c>
      <c r="AS107" s="204">
        <f t="shared" si="239"/>
        <v>43418</v>
      </c>
      <c r="AT107" s="1">
        <f>IF($AT$4=FALSE,B107*'Pricing - Advanced'!$K$5,AT106+E107-E106)</f>
        <v>3075</v>
      </c>
      <c r="AW107">
        <f t="shared" si="231"/>
        <v>0</v>
      </c>
      <c r="AX107">
        <f t="shared" si="188"/>
        <v>0</v>
      </c>
      <c r="AY107">
        <f t="shared" si="189"/>
        <v>0</v>
      </c>
      <c r="AZ107">
        <f t="shared" si="190"/>
        <v>0</v>
      </c>
      <c r="BA107" s="603">
        <f t="shared" si="168"/>
        <v>0</v>
      </c>
      <c r="BB107" s="603">
        <f t="shared" si="169"/>
        <v>0</v>
      </c>
      <c r="BC107" s="5">
        <f t="shared" si="191"/>
        <v>0</v>
      </c>
      <c r="BE107" s="157">
        <f t="shared" si="192"/>
        <v>101</v>
      </c>
      <c r="BF107" s="489">
        <f t="shared" si="232"/>
        <v>3075</v>
      </c>
      <c r="BG107" s="146">
        <f t="shared" si="193"/>
        <v>0</v>
      </c>
      <c r="BH107" s="147">
        <f t="shared" si="194"/>
        <v>0</v>
      </c>
      <c r="BI107" s="154" t="e">
        <f t="shared" si="195"/>
        <v>#NUM!</v>
      </c>
      <c r="BJ107" s="277" t="e">
        <f t="shared" si="181"/>
        <v>#NUM!</v>
      </c>
      <c r="BK107" s="147" t="e">
        <f t="shared" si="182"/>
        <v>#NUM!</v>
      </c>
      <c r="BL107" s="132" t="e">
        <f t="shared" si="183"/>
        <v>#NUM!</v>
      </c>
      <c r="BN107" s="497">
        <f t="shared" si="196"/>
        <v>101</v>
      </c>
      <c r="BO107" s="497">
        <f t="shared" si="197"/>
        <v>3075</v>
      </c>
      <c r="BP107">
        <f t="shared" si="198"/>
        <v>0</v>
      </c>
      <c r="BQ107">
        <f t="shared" si="199"/>
        <v>0</v>
      </c>
      <c r="BR107" s="499" t="e">
        <f t="shared" si="200"/>
        <v>#NUM!</v>
      </c>
      <c r="BS107" s="277" t="e">
        <f t="shared" si="180"/>
        <v>#NUM!</v>
      </c>
      <c r="BT107" s="5" t="e">
        <f t="shared" si="201"/>
        <v>#NUM!</v>
      </c>
      <c r="BU107" s="5" t="e">
        <f t="shared" si="202"/>
        <v>#NUM!</v>
      </c>
      <c r="BW107" s="5"/>
      <c r="BX107" s="5"/>
      <c r="BY107" s="5"/>
      <c r="BZ107" s="5"/>
      <c r="CA107" s="130" t="e">
        <f t="shared" si="203"/>
        <v>#NUM!</v>
      </c>
      <c r="CB107" s="5"/>
      <c r="CC107" s="5" t="e">
        <f t="shared" si="204"/>
        <v>#NUM!</v>
      </c>
      <c r="CD107" s="5" t="e">
        <f t="shared" si="205"/>
        <v>#NUM!</v>
      </c>
      <c r="CE107" s="5"/>
      <c r="CI107" s="130">
        <f t="shared" si="206"/>
        <v>3.4006872015802201</v>
      </c>
      <c r="CJ107" s="130">
        <f t="shared" si="207"/>
        <v>3.4017874820312524</v>
      </c>
      <c r="CK107" s="296">
        <f t="shared" si="233"/>
        <v>3.7022174916165831</v>
      </c>
      <c r="CL107" s="130">
        <f t="shared" si="208"/>
        <v>3.7022174916165831</v>
      </c>
      <c r="CM107" s="5">
        <f t="shared" si="234"/>
        <v>0</v>
      </c>
      <c r="CN107" s="5">
        <f t="shared" si="209"/>
        <v>0</v>
      </c>
      <c r="DE107" s="130" t="e">
        <f t="shared" si="210"/>
        <v>#NUM!</v>
      </c>
      <c r="DF107" s="130" t="e">
        <f t="shared" si="211"/>
        <v>#NUM!</v>
      </c>
      <c r="DG107" s="130" t="e">
        <f t="shared" si="235"/>
        <v>#NUM!</v>
      </c>
      <c r="DH107" s="130" t="e">
        <f t="shared" si="212"/>
        <v>#NUM!</v>
      </c>
      <c r="DJ107" s="130" t="e">
        <f t="shared" si="213"/>
        <v>#NUM!</v>
      </c>
      <c r="DK107" s="130" t="e">
        <f t="shared" si="214"/>
        <v>#NUM!</v>
      </c>
      <c r="DL107" s="130" t="e">
        <f t="shared" si="236"/>
        <v>#NUM!</v>
      </c>
      <c r="DO107" s="130" t="e">
        <f t="shared" si="215"/>
        <v>#NUM!</v>
      </c>
      <c r="DP107" s="130" t="e">
        <f t="shared" si="216"/>
        <v>#NUM!</v>
      </c>
      <c r="DQ107" s="130" t="e">
        <f t="shared" si="237"/>
        <v>#NUM!</v>
      </c>
    </row>
    <row r="108" spans="2:121" hidden="1">
      <c r="B108" s="231">
        <v>102</v>
      </c>
      <c r="C108" s="280"/>
      <c r="D108" s="475"/>
      <c r="E108" s="318">
        <f t="shared" si="217"/>
        <v>43448</v>
      </c>
      <c r="F108" s="542">
        <f t="shared" si="184"/>
        <v>0</v>
      </c>
      <c r="G108" s="239"/>
      <c r="H108" s="685">
        <f t="shared" si="218"/>
        <v>0</v>
      </c>
      <c r="I108" s="234"/>
      <c r="J108" s="597">
        <f t="shared" si="219"/>
        <v>0</v>
      </c>
      <c r="K108" s="478">
        <f t="shared" si="220"/>
        <v>0</v>
      </c>
      <c r="L108" s="234"/>
      <c r="M108" s="235">
        <f t="shared" si="221"/>
        <v>0</v>
      </c>
      <c r="N108" s="479">
        <f t="shared" si="222"/>
        <v>0</v>
      </c>
      <c r="O108" s="234"/>
      <c r="P108" s="235">
        <f t="shared" si="223"/>
        <v>0</v>
      </c>
      <c r="Q108" s="651">
        <f t="shared" si="224"/>
        <v>0</v>
      </c>
      <c r="R108" s="479">
        <f>IF(J108&gt;0,IF(OR(ManualMode=FALSE,ISBLANK(S108)),'Pricing - Advanced'!$F$16*J108+'Pricing - Advanced'!$F$17,"N/A"),0)</f>
        <v>0</v>
      </c>
      <c r="S108" s="234"/>
      <c r="T108" s="235">
        <f t="shared" si="225"/>
        <v>0</v>
      </c>
      <c r="U108" s="599">
        <f>IF(OR(ManualMode=FALSE,ISBLANK(V108)),SUM(K108:L108)*'Pricing - Advanced'!$F$19+SUM(N108,O108)*'Pricing - Advanced'!$F$18,"N/A")</f>
        <v>0</v>
      </c>
      <c r="V108" s="234"/>
      <c r="W108" s="236">
        <f t="shared" si="226"/>
        <v>0</v>
      </c>
      <c r="X108" s="237">
        <f>'Pricing - Advanced'!$F$20*SUM(H108:I108)+IF(J108&gt;1,'Pricing - Advanced'!$F$21,0)</f>
        <v>0</v>
      </c>
      <c r="Y108" s="688">
        <f>IF(AND(FullTerm&gt;=B108,AB107&gt;0),AB107*'Pricing - Advanced'!$I$128,0)</f>
        <v>0</v>
      </c>
      <c r="Z108" s="233">
        <f t="shared" si="227"/>
        <v>0</v>
      </c>
      <c r="AA108" s="234"/>
      <c r="AB108" s="597">
        <f t="shared" si="228"/>
        <v>0</v>
      </c>
      <c r="AC108" s="236">
        <f t="shared" si="185"/>
        <v>0</v>
      </c>
      <c r="AF108" s="762" t="e">
        <f t="shared" si="229"/>
        <v>#N/A</v>
      </c>
      <c r="AG108" s="759" t="e">
        <f t="shared" si="186"/>
        <v>#N/A</v>
      </c>
      <c r="AH108" s="759">
        <f>IF(J108=0,0,J108-SUM($N$6:N108)-AB107)</f>
        <v>0</v>
      </c>
      <c r="AI108" s="759">
        <f t="shared" si="187"/>
        <v>0</v>
      </c>
      <c r="AJ108" s="760">
        <f t="shared" si="176"/>
        <v>3.0000000000000001E-3</v>
      </c>
      <c r="AK108" s="760">
        <f t="shared" si="177"/>
        <v>3.0000000000000001E-3</v>
      </c>
      <c r="AN108" s="1" t="b">
        <f t="shared" si="238"/>
        <v>1</v>
      </c>
      <c r="AQ108" s="15">
        <f>IF(J107&gt;1,IF(int_method=2,$AG$229*J107,$AG$229*'Pricing - Advanced'!$E$4),0)</f>
        <v>0</v>
      </c>
      <c r="AR108" s="5">
        <f t="shared" si="230"/>
        <v>0</v>
      </c>
      <c r="AS108" s="204">
        <f t="shared" si="239"/>
        <v>43448</v>
      </c>
      <c r="AT108" s="1">
        <f>IF($AT$4=FALSE,B108*'Pricing - Advanced'!$K$5,AT107+E108-E107)</f>
        <v>3105</v>
      </c>
      <c r="AW108">
        <f t="shared" si="231"/>
        <v>0</v>
      </c>
      <c r="AX108">
        <f t="shared" si="188"/>
        <v>0</v>
      </c>
      <c r="AY108">
        <f t="shared" si="189"/>
        <v>0</v>
      </c>
      <c r="AZ108">
        <f t="shared" si="190"/>
        <v>0</v>
      </c>
      <c r="BA108" s="603">
        <f t="shared" si="168"/>
        <v>0</v>
      </c>
      <c r="BB108" s="603">
        <f t="shared" si="169"/>
        <v>0</v>
      </c>
      <c r="BC108" s="5">
        <f t="shared" si="191"/>
        <v>0</v>
      </c>
      <c r="BE108" s="157">
        <f t="shared" si="192"/>
        <v>102</v>
      </c>
      <c r="BF108" s="489">
        <f t="shared" si="232"/>
        <v>3105</v>
      </c>
      <c r="BG108" s="146">
        <f t="shared" si="193"/>
        <v>0</v>
      </c>
      <c r="BH108" s="147">
        <f t="shared" si="194"/>
        <v>0</v>
      </c>
      <c r="BI108" s="154" t="e">
        <f t="shared" si="195"/>
        <v>#NUM!</v>
      </c>
      <c r="BJ108" s="277" t="e">
        <f t="shared" si="181"/>
        <v>#NUM!</v>
      </c>
      <c r="BK108" s="147" t="e">
        <f t="shared" si="182"/>
        <v>#NUM!</v>
      </c>
      <c r="BL108" s="132" t="e">
        <f t="shared" si="183"/>
        <v>#NUM!</v>
      </c>
      <c r="BN108" s="497">
        <f t="shared" si="196"/>
        <v>102</v>
      </c>
      <c r="BO108" s="497">
        <f t="shared" si="197"/>
        <v>3105</v>
      </c>
      <c r="BP108">
        <f t="shared" si="198"/>
        <v>0</v>
      </c>
      <c r="BQ108">
        <f t="shared" si="199"/>
        <v>0</v>
      </c>
      <c r="BR108" s="499" t="e">
        <f t="shared" si="200"/>
        <v>#NUM!</v>
      </c>
      <c r="BS108" s="277" t="e">
        <f t="shared" si="180"/>
        <v>#NUM!</v>
      </c>
      <c r="BT108" s="5" t="e">
        <f t="shared" si="201"/>
        <v>#NUM!</v>
      </c>
      <c r="BU108" s="5" t="e">
        <f t="shared" si="202"/>
        <v>#NUM!</v>
      </c>
      <c r="BW108" s="5"/>
      <c r="BX108" s="5"/>
      <c r="BY108" s="5"/>
      <c r="BZ108" s="5"/>
      <c r="CA108" s="130" t="e">
        <f t="shared" si="203"/>
        <v>#NUM!</v>
      </c>
      <c r="CB108" s="5"/>
      <c r="CC108" s="5" t="e">
        <f t="shared" si="204"/>
        <v>#NUM!</v>
      </c>
      <c r="CD108" s="5" t="e">
        <f t="shared" si="205"/>
        <v>#NUM!</v>
      </c>
      <c r="CE108" s="5"/>
      <c r="CI108" s="130">
        <f t="shared" si="206"/>
        <v>3.4421494580534882</v>
      </c>
      <c r="CJ108" s="130">
        <f t="shared" si="207"/>
        <v>3.4426634265562601</v>
      </c>
      <c r="CK108" s="296">
        <f t="shared" si="233"/>
        <v>3.750509451861904</v>
      </c>
      <c r="CL108" s="130">
        <f t="shared" si="208"/>
        <v>3.750509451861904</v>
      </c>
      <c r="CM108" s="5">
        <f t="shared" si="234"/>
        <v>0</v>
      </c>
      <c r="CN108" s="5">
        <f t="shared" si="209"/>
        <v>0</v>
      </c>
      <c r="DE108" s="130" t="e">
        <f t="shared" si="210"/>
        <v>#NUM!</v>
      </c>
      <c r="DF108" s="130" t="e">
        <f t="shared" si="211"/>
        <v>#NUM!</v>
      </c>
      <c r="DG108" s="130" t="e">
        <f t="shared" si="235"/>
        <v>#NUM!</v>
      </c>
      <c r="DH108" s="130" t="e">
        <f t="shared" si="212"/>
        <v>#NUM!</v>
      </c>
      <c r="DJ108" s="130" t="e">
        <f t="shared" si="213"/>
        <v>#NUM!</v>
      </c>
      <c r="DK108" s="130" t="e">
        <f t="shared" si="214"/>
        <v>#NUM!</v>
      </c>
      <c r="DL108" s="130" t="e">
        <f t="shared" si="236"/>
        <v>#NUM!</v>
      </c>
      <c r="DO108" s="130" t="e">
        <f t="shared" si="215"/>
        <v>#NUM!</v>
      </c>
      <c r="DP108" s="130" t="e">
        <f t="shared" si="216"/>
        <v>#NUM!</v>
      </c>
      <c r="DQ108" s="130" t="e">
        <f t="shared" si="237"/>
        <v>#NUM!</v>
      </c>
    </row>
    <row r="109" spans="2:121" hidden="1">
      <c r="B109" s="231">
        <v>103</v>
      </c>
      <c r="C109" s="280"/>
      <c r="D109" s="475"/>
      <c r="E109" s="318">
        <f t="shared" si="217"/>
        <v>43479</v>
      </c>
      <c r="F109" s="542">
        <f t="shared" si="184"/>
        <v>0</v>
      </c>
      <c r="G109" s="239"/>
      <c r="H109" s="685">
        <f t="shared" si="218"/>
        <v>0</v>
      </c>
      <c r="I109" s="234"/>
      <c r="J109" s="597">
        <f t="shared" si="219"/>
        <v>0</v>
      </c>
      <c r="K109" s="478">
        <f t="shared" si="220"/>
        <v>0</v>
      </c>
      <c r="L109" s="234"/>
      <c r="M109" s="235">
        <f t="shared" si="221"/>
        <v>0</v>
      </c>
      <c r="N109" s="479">
        <f t="shared" si="222"/>
        <v>0</v>
      </c>
      <c r="O109" s="234"/>
      <c r="P109" s="235">
        <f t="shared" si="223"/>
        <v>0</v>
      </c>
      <c r="Q109" s="651">
        <f t="shared" si="224"/>
        <v>0</v>
      </c>
      <c r="R109" s="479">
        <f>IF(J109&gt;0,IF(OR(ManualMode=FALSE,ISBLANK(S109)),'Pricing - Advanced'!$F$16*J109+'Pricing - Advanced'!$F$17,"N/A"),0)</f>
        <v>0</v>
      </c>
      <c r="S109" s="234"/>
      <c r="T109" s="235">
        <f t="shared" si="225"/>
        <v>0</v>
      </c>
      <c r="U109" s="599">
        <f>IF(OR(ManualMode=FALSE,ISBLANK(V109)),SUM(K109:L109)*'Pricing - Advanced'!$F$19+SUM(N109,O109)*'Pricing - Advanced'!$F$18,"N/A")</f>
        <v>0</v>
      </c>
      <c r="V109" s="234"/>
      <c r="W109" s="236">
        <f t="shared" si="226"/>
        <v>0</v>
      </c>
      <c r="X109" s="237">
        <f>'Pricing - Advanced'!$F$20*SUM(H109:I109)+IF(J109&gt;1,'Pricing - Advanced'!$F$21,0)</f>
        <v>0</v>
      </c>
      <c r="Y109" s="688">
        <f>IF(AND(FullTerm&gt;=B109,AB108&gt;0),AB108*'Pricing - Advanced'!$I$128,0)</f>
        <v>0</v>
      </c>
      <c r="Z109" s="233">
        <f t="shared" si="227"/>
        <v>0</v>
      </c>
      <c r="AA109" s="234"/>
      <c r="AB109" s="597">
        <f t="shared" si="228"/>
        <v>0</v>
      </c>
      <c r="AC109" s="236">
        <f t="shared" si="185"/>
        <v>0</v>
      </c>
      <c r="AF109" s="762" t="e">
        <f t="shared" si="229"/>
        <v>#N/A</v>
      </c>
      <c r="AG109" s="759" t="e">
        <f t="shared" si="186"/>
        <v>#N/A</v>
      </c>
      <c r="AH109" s="759">
        <f>IF(J109=0,0,J109-SUM($N$6:N109)-AB108)</f>
        <v>0</v>
      </c>
      <c r="AI109" s="759">
        <f t="shared" si="187"/>
        <v>0</v>
      </c>
      <c r="AJ109" s="760">
        <f t="shared" si="176"/>
        <v>3.0000000000000001E-3</v>
      </c>
      <c r="AK109" s="760">
        <f t="shared" si="177"/>
        <v>3.0000000000000001E-3</v>
      </c>
      <c r="AN109" s="1" t="b">
        <f t="shared" si="238"/>
        <v>1</v>
      </c>
      <c r="AQ109" s="15">
        <f>IF(J108&gt;1,IF(int_method=2,$AG$229*J108,$AG$229*'Pricing - Advanced'!$E$4),0)</f>
        <v>0</v>
      </c>
      <c r="AR109" s="5">
        <f t="shared" si="230"/>
        <v>0</v>
      </c>
      <c r="AS109" s="204">
        <f t="shared" si="239"/>
        <v>43479</v>
      </c>
      <c r="AT109" s="1">
        <f>IF($AT$4=FALSE,B109*'Pricing - Advanced'!$K$5,AT108+E109-E108)</f>
        <v>3136</v>
      </c>
      <c r="AW109">
        <f t="shared" si="231"/>
        <v>0</v>
      </c>
      <c r="AX109">
        <f t="shared" si="188"/>
        <v>0</v>
      </c>
      <c r="AY109">
        <f t="shared" si="189"/>
        <v>0</v>
      </c>
      <c r="AZ109">
        <f t="shared" si="190"/>
        <v>0</v>
      </c>
      <c r="BA109" s="603">
        <f t="shared" si="168"/>
        <v>0</v>
      </c>
      <c r="BB109" s="603">
        <f t="shared" si="169"/>
        <v>0</v>
      </c>
      <c r="BC109" s="5">
        <f t="shared" si="191"/>
        <v>0</v>
      </c>
      <c r="BE109" s="157">
        <f t="shared" si="192"/>
        <v>103</v>
      </c>
      <c r="BF109" s="489">
        <f t="shared" si="232"/>
        <v>3136</v>
      </c>
      <c r="BG109" s="146">
        <f t="shared" si="193"/>
        <v>0</v>
      </c>
      <c r="BH109" s="147">
        <f t="shared" si="194"/>
        <v>0</v>
      </c>
      <c r="BI109" s="154" t="e">
        <f t="shared" si="195"/>
        <v>#NUM!</v>
      </c>
      <c r="BJ109" s="277" t="e">
        <f t="shared" si="181"/>
        <v>#NUM!</v>
      </c>
      <c r="BK109" s="147" t="e">
        <f t="shared" si="182"/>
        <v>#NUM!</v>
      </c>
      <c r="BL109" s="132" t="e">
        <f t="shared" si="183"/>
        <v>#NUM!</v>
      </c>
      <c r="BN109" s="497">
        <f t="shared" si="196"/>
        <v>103</v>
      </c>
      <c r="BO109" s="497">
        <f t="shared" si="197"/>
        <v>3136</v>
      </c>
      <c r="BP109">
        <f t="shared" si="198"/>
        <v>0</v>
      </c>
      <c r="BQ109">
        <f t="shared" si="199"/>
        <v>0</v>
      </c>
      <c r="BR109" s="499" t="e">
        <f t="shared" si="200"/>
        <v>#NUM!</v>
      </c>
      <c r="BS109" s="277" t="e">
        <f t="shared" si="180"/>
        <v>#NUM!</v>
      </c>
      <c r="BT109" s="5" t="e">
        <f t="shared" si="201"/>
        <v>#NUM!</v>
      </c>
      <c r="BU109" s="5" t="e">
        <f t="shared" si="202"/>
        <v>#NUM!</v>
      </c>
      <c r="BW109" s="5"/>
      <c r="BX109" s="5"/>
      <c r="BY109" s="5"/>
      <c r="BZ109" s="5"/>
      <c r="CA109" s="130" t="e">
        <f t="shared" si="203"/>
        <v>#NUM!</v>
      </c>
      <c r="CB109" s="5"/>
      <c r="CC109" s="5" t="e">
        <f t="shared" si="204"/>
        <v>#NUM!</v>
      </c>
      <c r="CD109" s="5" t="e">
        <f t="shared" si="205"/>
        <v>#NUM!</v>
      </c>
      <c r="CE109" s="5"/>
      <c r="CI109" s="130">
        <f t="shared" si="206"/>
        <v>3.4841172355023566</v>
      </c>
      <c r="CJ109" s="130">
        <f t="shared" si="207"/>
        <v>3.4854179685792612</v>
      </c>
      <c r="CK109" s="296">
        <f t="shared" si="233"/>
        <v>3.7994313355057328</v>
      </c>
      <c r="CL109" s="130">
        <f t="shared" si="208"/>
        <v>3.7994313355057328</v>
      </c>
      <c r="CM109" s="5">
        <f t="shared" si="234"/>
        <v>0</v>
      </c>
      <c r="CN109" s="5">
        <f t="shared" si="209"/>
        <v>0</v>
      </c>
      <c r="DE109" s="130" t="e">
        <f t="shared" si="210"/>
        <v>#NUM!</v>
      </c>
      <c r="DF109" s="130" t="e">
        <f t="shared" si="211"/>
        <v>#NUM!</v>
      </c>
      <c r="DG109" s="130" t="e">
        <f t="shared" si="235"/>
        <v>#NUM!</v>
      </c>
      <c r="DH109" s="130" t="e">
        <f t="shared" si="212"/>
        <v>#NUM!</v>
      </c>
      <c r="DJ109" s="130" t="e">
        <f t="shared" si="213"/>
        <v>#NUM!</v>
      </c>
      <c r="DK109" s="130" t="e">
        <f t="shared" si="214"/>
        <v>#NUM!</v>
      </c>
      <c r="DL109" s="130" t="e">
        <f t="shared" si="236"/>
        <v>#NUM!</v>
      </c>
      <c r="DO109" s="130" t="e">
        <f t="shared" si="215"/>
        <v>#NUM!</v>
      </c>
      <c r="DP109" s="130" t="e">
        <f t="shared" si="216"/>
        <v>#NUM!</v>
      </c>
      <c r="DQ109" s="130" t="e">
        <f t="shared" si="237"/>
        <v>#NUM!</v>
      </c>
    </row>
    <row r="110" spans="2:121" hidden="1">
      <c r="B110" s="231">
        <v>104</v>
      </c>
      <c r="C110" s="280"/>
      <c r="D110" s="475"/>
      <c r="E110" s="318">
        <f t="shared" si="217"/>
        <v>43510</v>
      </c>
      <c r="F110" s="542">
        <f t="shared" si="184"/>
        <v>0</v>
      </c>
      <c r="G110" s="239"/>
      <c r="H110" s="685">
        <f t="shared" si="218"/>
        <v>0</v>
      </c>
      <c r="I110" s="234"/>
      <c r="J110" s="597">
        <f t="shared" si="219"/>
        <v>0</v>
      </c>
      <c r="K110" s="478">
        <f t="shared" si="220"/>
        <v>0</v>
      </c>
      <c r="L110" s="234"/>
      <c r="M110" s="235">
        <f t="shared" si="221"/>
        <v>0</v>
      </c>
      <c r="N110" s="479">
        <f t="shared" si="222"/>
        <v>0</v>
      </c>
      <c r="O110" s="234"/>
      <c r="P110" s="235">
        <f t="shared" si="223"/>
        <v>0</v>
      </c>
      <c r="Q110" s="651">
        <f t="shared" si="224"/>
        <v>0</v>
      </c>
      <c r="R110" s="479">
        <f>IF(J110&gt;0,IF(OR(ManualMode=FALSE,ISBLANK(S110)),'Pricing - Advanced'!$F$16*J110+'Pricing - Advanced'!$F$17,"N/A"),0)</f>
        <v>0</v>
      </c>
      <c r="S110" s="234"/>
      <c r="T110" s="235">
        <f t="shared" si="225"/>
        <v>0</v>
      </c>
      <c r="U110" s="599">
        <f>IF(OR(ManualMode=FALSE,ISBLANK(V110)),SUM(K110:L110)*'Pricing - Advanced'!$F$19+SUM(N110,O110)*'Pricing - Advanced'!$F$18,"N/A")</f>
        <v>0</v>
      </c>
      <c r="V110" s="234"/>
      <c r="W110" s="236">
        <f t="shared" si="226"/>
        <v>0</v>
      </c>
      <c r="X110" s="237">
        <f>'Pricing - Advanced'!$F$20*SUM(H110:I110)+IF(J110&gt;1,'Pricing - Advanced'!$F$21,0)</f>
        <v>0</v>
      </c>
      <c r="Y110" s="688">
        <f>IF(AND(FullTerm&gt;=B110,AB109&gt;0),AB109*'Pricing - Advanced'!$I$128,0)</f>
        <v>0</v>
      </c>
      <c r="Z110" s="233">
        <f t="shared" si="227"/>
        <v>0</v>
      </c>
      <c r="AA110" s="234"/>
      <c r="AB110" s="597">
        <f t="shared" si="228"/>
        <v>0</v>
      </c>
      <c r="AC110" s="236">
        <f t="shared" si="185"/>
        <v>0</v>
      </c>
      <c r="AF110" s="762" t="e">
        <f t="shared" si="229"/>
        <v>#N/A</v>
      </c>
      <c r="AG110" s="759" t="e">
        <f t="shared" si="186"/>
        <v>#N/A</v>
      </c>
      <c r="AH110" s="759">
        <f>IF(J110=0,0,J110-SUM($N$6:N110)-AB109)</f>
        <v>0</v>
      </c>
      <c r="AI110" s="759">
        <f t="shared" si="187"/>
        <v>0</v>
      </c>
      <c r="AJ110" s="760">
        <f t="shared" si="176"/>
        <v>3.0000000000000001E-3</v>
      </c>
      <c r="AK110" s="760">
        <f t="shared" si="177"/>
        <v>3.0000000000000001E-3</v>
      </c>
      <c r="AN110" s="1" t="b">
        <f t="shared" si="238"/>
        <v>1</v>
      </c>
      <c r="AQ110" s="15">
        <f>IF(J109&gt;1,IF(int_method=2,$AG$229*J109,$AG$229*'Pricing - Advanced'!$E$4),0)</f>
        <v>0</v>
      </c>
      <c r="AR110" s="5">
        <f t="shared" si="230"/>
        <v>0</v>
      </c>
      <c r="AS110" s="204">
        <f t="shared" si="239"/>
        <v>43510</v>
      </c>
      <c r="AT110" s="1">
        <f>IF($AT$4=FALSE,B110*'Pricing - Advanced'!$K$5,AT109+E110-E109)</f>
        <v>3167</v>
      </c>
      <c r="AW110">
        <f t="shared" si="231"/>
        <v>0</v>
      </c>
      <c r="AX110">
        <f t="shared" si="188"/>
        <v>0</v>
      </c>
      <c r="AY110">
        <f t="shared" si="189"/>
        <v>0</v>
      </c>
      <c r="AZ110">
        <f t="shared" si="190"/>
        <v>0</v>
      </c>
      <c r="BA110" s="603">
        <f t="shared" si="168"/>
        <v>0</v>
      </c>
      <c r="BB110" s="603">
        <f t="shared" si="169"/>
        <v>0</v>
      </c>
      <c r="BC110" s="5">
        <f t="shared" si="191"/>
        <v>0</v>
      </c>
      <c r="BE110" s="157">
        <f t="shared" si="192"/>
        <v>104</v>
      </c>
      <c r="BF110" s="489">
        <f t="shared" si="232"/>
        <v>3167</v>
      </c>
      <c r="BG110" s="146">
        <f t="shared" si="193"/>
        <v>0</v>
      </c>
      <c r="BH110" s="147">
        <f t="shared" si="194"/>
        <v>0</v>
      </c>
      <c r="BI110" s="154" t="e">
        <f t="shared" si="195"/>
        <v>#NUM!</v>
      </c>
      <c r="BJ110" s="277" t="e">
        <f t="shared" si="181"/>
        <v>#NUM!</v>
      </c>
      <c r="BK110" s="147" t="e">
        <f t="shared" si="182"/>
        <v>#NUM!</v>
      </c>
      <c r="BL110" s="132" t="e">
        <f t="shared" si="183"/>
        <v>#NUM!</v>
      </c>
      <c r="BN110" s="497">
        <f t="shared" si="196"/>
        <v>104</v>
      </c>
      <c r="BO110" s="497">
        <f t="shared" si="197"/>
        <v>3167</v>
      </c>
      <c r="BP110">
        <f t="shared" si="198"/>
        <v>0</v>
      </c>
      <c r="BQ110">
        <f t="shared" si="199"/>
        <v>0</v>
      </c>
      <c r="BR110" s="499" t="e">
        <f t="shared" si="200"/>
        <v>#NUM!</v>
      </c>
      <c r="BS110" s="277" t="e">
        <f t="shared" si="180"/>
        <v>#NUM!</v>
      </c>
      <c r="BT110" s="5" t="e">
        <f t="shared" si="201"/>
        <v>#NUM!</v>
      </c>
      <c r="BU110" s="5" t="e">
        <f t="shared" si="202"/>
        <v>#NUM!</v>
      </c>
      <c r="BW110" s="5"/>
      <c r="BX110" s="5"/>
      <c r="BY110" s="5"/>
      <c r="BZ110" s="5"/>
      <c r="CA110" s="130" t="e">
        <f t="shared" si="203"/>
        <v>#NUM!</v>
      </c>
      <c r="CB110" s="5"/>
      <c r="CC110" s="5" t="e">
        <f t="shared" si="204"/>
        <v>#NUM!</v>
      </c>
      <c r="CD110" s="5" t="e">
        <f t="shared" si="205"/>
        <v>#NUM!</v>
      </c>
      <c r="CE110" s="5"/>
      <c r="CI110" s="130">
        <f t="shared" si="206"/>
        <v>3.5265966973988241</v>
      </c>
      <c r="CJ110" s="130">
        <f t="shared" si="207"/>
        <v>3.5287034805627568</v>
      </c>
      <c r="CK110" s="296">
        <f t="shared" si="233"/>
        <v>3.8489913593089131</v>
      </c>
      <c r="CL110" s="130">
        <f t="shared" si="208"/>
        <v>3.8489913593089131</v>
      </c>
      <c r="CM110" s="5">
        <f t="shared" si="234"/>
        <v>0</v>
      </c>
      <c r="CN110" s="5">
        <f t="shared" si="209"/>
        <v>0</v>
      </c>
      <c r="DE110" s="130" t="e">
        <f t="shared" si="210"/>
        <v>#NUM!</v>
      </c>
      <c r="DF110" s="130" t="e">
        <f t="shared" si="211"/>
        <v>#NUM!</v>
      </c>
      <c r="DG110" s="130" t="e">
        <f t="shared" si="235"/>
        <v>#NUM!</v>
      </c>
      <c r="DH110" s="130" t="e">
        <f t="shared" si="212"/>
        <v>#NUM!</v>
      </c>
      <c r="DJ110" s="130" t="e">
        <f t="shared" si="213"/>
        <v>#NUM!</v>
      </c>
      <c r="DK110" s="130" t="e">
        <f t="shared" si="214"/>
        <v>#NUM!</v>
      </c>
      <c r="DL110" s="130" t="e">
        <f t="shared" si="236"/>
        <v>#NUM!</v>
      </c>
      <c r="DO110" s="130" t="e">
        <f t="shared" si="215"/>
        <v>#NUM!</v>
      </c>
      <c r="DP110" s="130" t="e">
        <f t="shared" si="216"/>
        <v>#NUM!</v>
      </c>
      <c r="DQ110" s="130" t="e">
        <f t="shared" si="237"/>
        <v>#NUM!</v>
      </c>
    </row>
    <row r="111" spans="2:121" hidden="1">
      <c r="B111" s="231">
        <v>105</v>
      </c>
      <c r="C111" s="280"/>
      <c r="D111" s="475"/>
      <c r="E111" s="318">
        <f t="shared" si="217"/>
        <v>43538</v>
      </c>
      <c r="F111" s="542">
        <f t="shared" si="184"/>
        <v>0</v>
      </c>
      <c r="G111" s="239"/>
      <c r="H111" s="685">
        <f t="shared" si="218"/>
        <v>0</v>
      </c>
      <c r="I111" s="234"/>
      <c r="J111" s="597">
        <f t="shared" si="219"/>
        <v>0</v>
      </c>
      <c r="K111" s="478">
        <f t="shared" si="220"/>
        <v>0</v>
      </c>
      <c r="L111" s="234"/>
      <c r="M111" s="235">
        <f t="shared" si="221"/>
        <v>0</v>
      </c>
      <c r="N111" s="479">
        <f t="shared" si="222"/>
        <v>0</v>
      </c>
      <c r="O111" s="234"/>
      <c r="P111" s="235">
        <f t="shared" si="223"/>
        <v>0</v>
      </c>
      <c r="Q111" s="651">
        <f t="shared" si="224"/>
        <v>0</v>
      </c>
      <c r="R111" s="479">
        <f>IF(J111&gt;0,IF(OR(ManualMode=FALSE,ISBLANK(S111)),'Pricing - Advanced'!$F$16*J111+'Pricing - Advanced'!$F$17,"N/A"),0)</f>
        <v>0</v>
      </c>
      <c r="S111" s="234"/>
      <c r="T111" s="235">
        <f t="shared" si="225"/>
        <v>0</v>
      </c>
      <c r="U111" s="599">
        <f>IF(OR(ManualMode=FALSE,ISBLANK(V111)),SUM(K111:L111)*'Pricing - Advanced'!$F$19+SUM(N111,O111)*'Pricing - Advanced'!$F$18,"N/A")</f>
        <v>0</v>
      </c>
      <c r="V111" s="234"/>
      <c r="W111" s="236">
        <f t="shared" si="226"/>
        <v>0</v>
      </c>
      <c r="X111" s="237">
        <f>'Pricing - Advanced'!$F$20*SUM(H111:I111)+IF(J111&gt;1,'Pricing - Advanced'!$F$21,0)</f>
        <v>0</v>
      </c>
      <c r="Y111" s="688">
        <f>IF(AND(FullTerm&gt;=B111,AB110&gt;0),AB110*'Pricing - Advanced'!$I$128,0)</f>
        <v>0</v>
      </c>
      <c r="Z111" s="233">
        <f t="shared" si="227"/>
        <v>0</v>
      </c>
      <c r="AA111" s="234"/>
      <c r="AB111" s="597">
        <f t="shared" si="228"/>
        <v>0</v>
      </c>
      <c r="AC111" s="236">
        <f t="shared" si="185"/>
        <v>0</v>
      </c>
      <c r="AF111" s="762" t="e">
        <f t="shared" si="229"/>
        <v>#N/A</v>
      </c>
      <c r="AG111" s="759" t="e">
        <f t="shared" si="186"/>
        <v>#N/A</v>
      </c>
      <c r="AH111" s="759">
        <f>IF(J111=0,0,J111-SUM($N$6:N111)-AB110)</f>
        <v>0</v>
      </c>
      <c r="AI111" s="759">
        <f t="shared" si="187"/>
        <v>0</v>
      </c>
      <c r="AJ111" s="760">
        <f t="shared" si="176"/>
        <v>3.0000000000000001E-3</v>
      </c>
      <c r="AK111" s="760">
        <f t="shared" si="177"/>
        <v>3.0000000000000001E-3</v>
      </c>
      <c r="AN111" s="1" t="b">
        <f t="shared" si="238"/>
        <v>1</v>
      </c>
      <c r="AQ111" s="15">
        <f>IF(J110&gt;1,IF(int_method=2,$AG$229*J110,$AG$229*'Pricing - Advanced'!$E$4),0)</f>
        <v>0</v>
      </c>
      <c r="AR111" s="5">
        <f t="shared" si="230"/>
        <v>0</v>
      </c>
      <c r="AS111" s="204">
        <f t="shared" si="239"/>
        <v>43538</v>
      </c>
      <c r="AT111" s="1">
        <f>IF($AT$4=FALSE,B111*'Pricing - Advanced'!$K$5,AT110+E111-E110)</f>
        <v>3195</v>
      </c>
      <c r="AW111">
        <f t="shared" si="231"/>
        <v>0</v>
      </c>
      <c r="AX111">
        <f t="shared" si="188"/>
        <v>0</v>
      </c>
      <c r="AY111">
        <f t="shared" si="189"/>
        <v>0</v>
      </c>
      <c r="AZ111">
        <f t="shared" si="190"/>
        <v>0</v>
      </c>
      <c r="BA111" s="603">
        <f t="shared" si="168"/>
        <v>0</v>
      </c>
      <c r="BB111" s="603">
        <f t="shared" si="169"/>
        <v>0</v>
      </c>
      <c r="BC111" s="5">
        <f t="shared" si="191"/>
        <v>0</v>
      </c>
      <c r="BE111" s="157">
        <f t="shared" si="192"/>
        <v>105</v>
      </c>
      <c r="BF111" s="489">
        <f t="shared" si="232"/>
        <v>3195</v>
      </c>
      <c r="BG111" s="146">
        <f t="shared" si="193"/>
        <v>0</v>
      </c>
      <c r="BH111" s="147">
        <f t="shared" si="194"/>
        <v>0</v>
      </c>
      <c r="BI111" s="154" t="e">
        <f t="shared" si="195"/>
        <v>#NUM!</v>
      </c>
      <c r="BJ111" s="277" t="e">
        <f t="shared" si="181"/>
        <v>#NUM!</v>
      </c>
      <c r="BK111" s="147" t="e">
        <f t="shared" si="182"/>
        <v>#NUM!</v>
      </c>
      <c r="BL111" s="132" t="e">
        <f t="shared" si="183"/>
        <v>#NUM!</v>
      </c>
      <c r="BN111" s="497">
        <f t="shared" si="196"/>
        <v>105</v>
      </c>
      <c r="BO111" s="497">
        <f t="shared" si="197"/>
        <v>3195</v>
      </c>
      <c r="BP111">
        <f t="shared" si="198"/>
        <v>0</v>
      </c>
      <c r="BQ111">
        <f t="shared" si="199"/>
        <v>0</v>
      </c>
      <c r="BR111" s="499" t="e">
        <f t="shared" si="200"/>
        <v>#NUM!</v>
      </c>
      <c r="BS111" s="277" t="e">
        <f t="shared" si="180"/>
        <v>#NUM!</v>
      </c>
      <c r="BT111" s="5" t="e">
        <f t="shared" si="201"/>
        <v>#NUM!</v>
      </c>
      <c r="BU111" s="5" t="e">
        <f t="shared" si="202"/>
        <v>#NUM!</v>
      </c>
      <c r="BW111" s="5"/>
      <c r="BX111" s="5"/>
      <c r="BY111" s="5"/>
      <c r="BZ111" s="5"/>
      <c r="CA111" s="130" t="e">
        <f t="shared" si="203"/>
        <v>#NUM!</v>
      </c>
      <c r="CB111" s="5"/>
      <c r="CC111" s="5" t="e">
        <f t="shared" si="204"/>
        <v>#NUM!</v>
      </c>
      <c r="CD111" s="5" t="e">
        <f t="shared" si="205"/>
        <v>#NUM!</v>
      </c>
      <c r="CE111" s="5"/>
      <c r="CI111" s="130">
        <f t="shared" si="206"/>
        <v>3.5695940823618941</v>
      </c>
      <c r="CJ111" s="130">
        <f t="shared" si="207"/>
        <v>3.5682619353609013</v>
      </c>
      <c r="CK111" s="296">
        <f t="shared" si="233"/>
        <v>3.8991978472122391</v>
      </c>
      <c r="CL111" s="130">
        <f t="shared" si="208"/>
        <v>3.8991978472122391</v>
      </c>
      <c r="CM111" s="5">
        <f t="shared" si="234"/>
        <v>0</v>
      </c>
      <c r="CN111" s="5">
        <f t="shared" si="209"/>
        <v>0</v>
      </c>
      <c r="DE111" s="130" t="e">
        <f t="shared" si="210"/>
        <v>#NUM!</v>
      </c>
      <c r="DF111" s="130" t="e">
        <f t="shared" si="211"/>
        <v>#NUM!</v>
      </c>
      <c r="DG111" s="130" t="e">
        <f t="shared" si="235"/>
        <v>#NUM!</v>
      </c>
      <c r="DH111" s="130" t="e">
        <f t="shared" si="212"/>
        <v>#NUM!</v>
      </c>
      <c r="DJ111" s="130" t="e">
        <f t="shared" si="213"/>
        <v>#NUM!</v>
      </c>
      <c r="DK111" s="130" t="e">
        <f t="shared" si="214"/>
        <v>#NUM!</v>
      </c>
      <c r="DL111" s="130" t="e">
        <f t="shared" si="236"/>
        <v>#NUM!</v>
      </c>
      <c r="DO111" s="130" t="e">
        <f t="shared" si="215"/>
        <v>#NUM!</v>
      </c>
      <c r="DP111" s="130" t="e">
        <f t="shared" si="216"/>
        <v>#NUM!</v>
      </c>
      <c r="DQ111" s="130" t="e">
        <f t="shared" si="237"/>
        <v>#NUM!</v>
      </c>
    </row>
    <row r="112" spans="2:121" hidden="1">
      <c r="B112" s="231">
        <v>106</v>
      </c>
      <c r="C112" s="280"/>
      <c r="D112" s="475"/>
      <c r="E112" s="318">
        <f t="shared" si="217"/>
        <v>43569</v>
      </c>
      <c r="F112" s="542">
        <f t="shared" si="184"/>
        <v>0</v>
      </c>
      <c r="G112" s="239"/>
      <c r="H112" s="685">
        <f t="shared" si="218"/>
        <v>0</v>
      </c>
      <c r="I112" s="234"/>
      <c r="J112" s="597">
        <f t="shared" si="219"/>
        <v>0</v>
      </c>
      <c r="K112" s="478">
        <f t="shared" si="220"/>
        <v>0</v>
      </c>
      <c r="L112" s="234"/>
      <c r="M112" s="235">
        <f t="shared" si="221"/>
        <v>0</v>
      </c>
      <c r="N112" s="479">
        <f t="shared" si="222"/>
        <v>0</v>
      </c>
      <c r="O112" s="234"/>
      <c r="P112" s="235">
        <f t="shared" si="223"/>
        <v>0</v>
      </c>
      <c r="Q112" s="651">
        <f t="shared" si="224"/>
        <v>0</v>
      </c>
      <c r="R112" s="479">
        <f>IF(J112&gt;0,IF(OR(ManualMode=FALSE,ISBLANK(S112)),'Pricing - Advanced'!$F$16*J112+'Pricing - Advanced'!$F$17,"N/A"),0)</f>
        <v>0</v>
      </c>
      <c r="S112" s="234"/>
      <c r="T112" s="235">
        <f t="shared" si="225"/>
        <v>0</v>
      </c>
      <c r="U112" s="599">
        <f>IF(OR(ManualMode=FALSE,ISBLANK(V112)),SUM(K112:L112)*'Pricing - Advanced'!$F$19+SUM(N112,O112)*'Pricing - Advanced'!$F$18,"N/A")</f>
        <v>0</v>
      </c>
      <c r="V112" s="234"/>
      <c r="W112" s="236">
        <f t="shared" si="226"/>
        <v>0</v>
      </c>
      <c r="X112" s="237">
        <f>'Pricing - Advanced'!$F$20*SUM(H112:I112)+IF(J112&gt;1,'Pricing - Advanced'!$F$21,0)</f>
        <v>0</v>
      </c>
      <c r="Y112" s="688">
        <f>IF(AND(FullTerm&gt;=B112,AB111&gt;0),AB111*'Pricing - Advanced'!$I$128,0)</f>
        <v>0</v>
      </c>
      <c r="Z112" s="233">
        <f t="shared" si="227"/>
        <v>0</v>
      </c>
      <c r="AA112" s="234"/>
      <c r="AB112" s="597">
        <f t="shared" si="228"/>
        <v>0</v>
      </c>
      <c r="AC112" s="236">
        <f t="shared" si="185"/>
        <v>0</v>
      </c>
      <c r="AF112" s="762" t="e">
        <f t="shared" si="229"/>
        <v>#N/A</v>
      </c>
      <c r="AG112" s="759" t="e">
        <f t="shared" si="186"/>
        <v>#N/A</v>
      </c>
      <c r="AH112" s="759">
        <f>IF(J112=0,0,J112-SUM($N$6:N112)-AB111)</f>
        <v>0</v>
      </c>
      <c r="AI112" s="759">
        <f t="shared" si="187"/>
        <v>0</v>
      </c>
      <c r="AJ112" s="760">
        <f t="shared" si="176"/>
        <v>3.0000000000000001E-3</v>
      </c>
      <c r="AK112" s="760">
        <f t="shared" si="177"/>
        <v>3.0000000000000001E-3</v>
      </c>
      <c r="AN112" s="1" t="b">
        <f t="shared" si="238"/>
        <v>1</v>
      </c>
      <c r="AQ112" s="15">
        <f>IF(J111&gt;1,IF(int_method=2,$AG$229*J111,$AG$229*'Pricing - Advanced'!$E$4),0)</f>
        <v>0</v>
      </c>
      <c r="AR112" s="5">
        <f t="shared" si="230"/>
        <v>0</v>
      </c>
      <c r="AS112" s="204">
        <f t="shared" si="239"/>
        <v>43569</v>
      </c>
      <c r="AT112" s="1">
        <f>IF($AT$4=FALSE,B112*'Pricing - Advanced'!$K$5,AT111+E112-E111)</f>
        <v>3226</v>
      </c>
      <c r="AW112">
        <f t="shared" si="231"/>
        <v>0</v>
      </c>
      <c r="AX112">
        <f t="shared" si="188"/>
        <v>0</v>
      </c>
      <c r="AY112">
        <f t="shared" si="189"/>
        <v>0</v>
      </c>
      <c r="AZ112">
        <f t="shared" si="190"/>
        <v>0</v>
      </c>
      <c r="BA112" s="603">
        <f t="shared" si="168"/>
        <v>0</v>
      </c>
      <c r="BB112" s="603">
        <f t="shared" si="169"/>
        <v>0</v>
      </c>
      <c r="BC112" s="5">
        <f t="shared" si="191"/>
        <v>0</v>
      </c>
      <c r="BE112" s="157">
        <f t="shared" si="192"/>
        <v>106</v>
      </c>
      <c r="BF112" s="489">
        <f t="shared" si="232"/>
        <v>3226</v>
      </c>
      <c r="BG112" s="146">
        <f t="shared" si="193"/>
        <v>0</v>
      </c>
      <c r="BH112" s="147">
        <f t="shared" si="194"/>
        <v>0</v>
      </c>
      <c r="BI112" s="154" t="e">
        <f t="shared" si="195"/>
        <v>#NUM!</v>
      </c>
      <c r="BJ112" s="277" t="e">
        <f t="shared" si="181"/>
        <v>#NUM!</v>
      </c>
      <c r="BK112" s="147" t="e">
        <f t="shared" si="182"/>
        <v>#NUM!</v>
      </c>
      <c r="BL112" s="132" t="e">
        <f t="shared" si="183"/>
        <v>#NUM!</v>
      </c>
      <c r="BN112" s="497">
        <f t="shared" si="196"/>
        <v>106</v>
      </c>
      <c r="BO112" s="497">
        <f t="shared" si="197"/>
        <v>3226</v>
      </c>
      <c r="BP112">
        <f t="shared" si="198"/>
        <v>0</v>
      </c>
      <c r="BQ112">
        <f t="shared" si="199"/>
        <v>0</v>
      </c>
      <c r="BR112" s="499" t="e">
        <f t="shared" si="200"/>
        <v>#NUM!</v>
      </c>
      <c r="BS112" s="277" t="e">
        <f t="shared" si="180"/>
        <v>#NUM!</v>
      </c>
      <c r="BT112" s="5" t="e">
        <f t="shared" si="201"/>
        <v>#NUM!</v>
      </c>
      <c r="BU112" s="5" t="e">
        <f t="shared" si="202"/>
        <v>#NUM!</v>
      </c>
      <c r="BW112" s="5"/>
      <c r="BX112" s="5"/>
      <c r="BY112" s="5"/>
      <c r="BZ112" s="5"/>
      <c r="CA112" s="130" t="e">
        <f t="shared" si="203"/>
        <v>#NUM!</v>
      </c>
      <c r="CB112" s="5"/>
      <c r="CC112" s="5" t="e">
        <f t="shared" si="204"/>
        <v>#NUM!</v>
      </c>
      <c r="CD112" s="5" t="e">
        <f t="shared" si="205"/>
        <v>#NUM!</v>
      </c>
      <c r="CE112" s="5"/>
      <c r="CI112" s="130">
        <f t="shared" si="206"/>
        <v>3.6131157050737901</v>
      </c>
      <c r="CJ112" s="130">
        <f t="shared" si="207"/>
        <v>3.6125762890928512</v>
      </c>
      <c r="CK112" s="296">
        <f t="shared" si="233"/>
        <v>3.9500592317345169</v>
      </c>
      <c r="CL112" s="130">
        <f t="shared" si="208"/>
        <v>3.9500592317345169</v>
      </c>
      <c r="CM112" s="5">
        <f t="shared" si="234"/>
        <v>0</v>
      </c>
      <c r="CN112" s="5">
        <f t="shared" si="209"/>
        <v>0</v>
      </c>
      <c r="DE112" s="130" t="e">
        <f t="shared" si="210"/>
        <v>#NUM!</v>
      </c>
      <c r="DF112" s="130" t="e">
        <f t="shared" si="211"/>
        <v>#NUM!</v>
      </c>
      <c r="DG112" s="130" t="e">
        <f t="shared" si="235"/>
        <v>#NUM!</v>
      </c>
      <c r="DH112" s="130" t="e">
        <f t="shared" si="212"/>
        <v>#NUM!</v>
      </c>
      <c r="DJ112" s="130" t="e">
        <f t="shared" si="213"/>
        <v>#NUM!</v>
      </c>
      <c r="DK112" s="130" t="e">
        <f t="shared" si="214"/>
        <v>#NUM!</v>
      </c>
      <c r="DL112" s="130" t="e">
        <f t="shared" si="236"/>
        <v>#NUM!</v>
      </c>
      <c r="DO112" s="130" t="e">
        <f t="shared" si="215"/>
        <v>#NUM!</v>
      </c>
      <c r="DP112" s="130" t="e">
        <f t="shared" si="216"/>
        <v>#NUM!</v>
      </c>
      <c r="DQ112" s="130" t="e">
        <f t="shared" si="237"/>
        <v>#NUM!</v>
      </c>
    </row>
    <row r="113" spans="2:121" hidden="1">
      <c r="B113" s="231">
        <v>107</v>
      </c>
      <c r="C113" s="280"/>
      <c r="D113" s="475"/>
      <c r="E113" s="318">
        <f t="shared" si="217"/>
        <v>43599</v>
      </c>
      <c r="F113" s="542">
        <f t="shared" si="184"/>
        <v>0</v>
      </c>
      <c r="G113" s="239"/>
      <c r="H113" s="685">
        <f t="shared" si="218"/>
        <v>0</v>
      </c>
      <c r="I113" s="234"/>
      <c r="J113" s="597">
        <f t="shared" si="219"/>
        <v>0</v>
      </c>
      <c r="K113" s="478">
        <f t="shared" si="220"/>
        <v>0</v>
      </c>
      <c r="L113" s="234"/>
      <c r="M113" s="235">
        <f t="shared" si="221"/>
        <v>0</v>
      </c>
      <c r="N113" s="479">
        <f t="shared" si="222"/>
        <v>0</v>
      </c>
      <c r="O113" s="234"/>
      <c r="P113" s="235">
        <f t="shared" si="223"/>
        <v>0</v>
      </c>
      <c r="Q113" s="651">
        <f t="shared" si="224"/>
        <v>0</v>
      </c>
      <c r="R113" s="479">
        <f>IF(J113&gt;0,IF(OR(ManualMode=FALSE,ISBLANK(S113)),'Pricing - Advanced'!$F$16*J113+'Pricing - Advanced'!$F$17,"N/A"),0)</f>
        <v>0</v>
      </c>
      <c r="S113" s="234"/>
      <c r="T113" s="235">
        <f t="shared" si="225"/>
        <v>0</v>
      </c>
      <c r="U113" s="599">
        <f>IF(OR(ManualMode=FALSE,ISBLANK(V113)),SUM(K113:L113)*'Pricing - Advanced'!$F$19+SUM(N113,O113)*'Pricing - Advanced'!$F$18,"N/A")</f>
        <v>0</v>
      </c>
      <c r="V113" s="234"/>
      <c r="W113" s="236">
        <f t="shared" si="226"/>
        <v>0</v>
      </c>
      <c r="X113" s="237">
        <f>'Pricing - Advanced'!$F$20*SUM(H113:I113)+IF(J113&gt;1,'Pricing - Advanced'!$F$21,0)</f>
        <v>0</v>
      </c>
      <c r="Y113" s="688">
        <f>IF(AND(FullTerm&gt;=B113,AB112&gt;0),AB112*'Pricing - Advanced'!$I$128,0)</f>
        <v>0</v>
      </c>
      <c r="Z113" s="233">
        <f t="shared" si="227"/>
        <v>0</v>
      </c>
      <c r="AA113" s="234"/>
      <c r="AB113" s="597">
        <f t="shared" si="228"/>
        <v>0</v>
      </c>
      <c r="AC113" s="236">
        <f t="shared" si="185"/>
        <v>0</v>
      </c>
      <c r="AF113" s="762" t="e">
        <f t="shared" si="229"/>
        <v>#N/A</v>
      </c>
      <c r="AG113" s="759" t="e">
        <f t="shared" si="186"/>
        <v>#N/A</v>
      </c>
      <c r="AH113" s="759">
        <f>IF(J113=0,0,J113-SUM($N$6:N113)-AB112)</f>
        <v>0</v>
      </c>
      <c r="AI113" s="759">
        <f t="shared" si="187"/>
        <v>0</v>
      </c>
      <c r="AJ113" s="760">
        <f t="shared" si="176"/>
        <v>3.0000000000000001E-3</v>
      </c>
      <c r="AK113" s="760">
        <f t="shared" si="177"/>
        <v>3.0000000000000001E-3</v>
      </c>
      <c r="AN113" s="1" t="b">
        <f t="shared" si="238"/>
        <v>1</v>
      </c>
      <c r="AQ113" s="15">
        <f>IF(J112&gt;1,IF(int_method=2,$AG$229*J112,$AG$229*'Pricing - Advanced'!$E$4),0)</f>
        <v>0</v>
      </c>
      <c r="AR113" s="5">
        <f t="shared" si="230"/>
        <v>0</v>
      </c>
      <c r="AS113" s="204">
        <f t="shared" si="239"/>
        <v>43599</v>
      </c>
      <c r="AT113" s="1">
        <f>IF($AT$4=FALSE,B113*'Pricing - Advanced'!$K$5,AT112+E113-E112)</f>
        <v>3256</v>
      </c>
      <c r="AW113">
        <f t="shared" si="231"/>
        <v>0</v>
      </c>
      <c r="AX113">
        <f t="shared" si="188"/>
        <v>0</v>
      </c>
      <c r="AY113">
        <f t="shared" si="189"/>
        <v>0</v>
      </c>
      <c r="AZ113">
        <f t="shared" si="190"/>
        <v>0</v>
      </c>
      <c r="BA113" s="603">
        <f t="shared" si="168"/>
        <v>0</v>
      </c>
      <c r="BB113" s="603">
        <f t="shared" si="169"/>
        <v>0</v>
      </c>
      <c r="BC113" s="5">
        <f t="shared" si="191"/>
        <v>0</v>
      </c>
      <c r="BE113" s="157">
        <f t="shared" si="192"/>
        <v>107</v>
      </c>
      <c r="BF113" s="489">
        <f t="shared" si="232"/>
        <v>3256</v>
      </c>
      <c r="BG113" s="146">
        <f t="shared" si="193"/>
        <v>0</v>
      </c>
      <c r="BH113" s="147">
        <f t="shared" si="194"/>
        <v>0</v>
      </c>
      <c r="BI113" s="154" t="e">
        <f t="shared" si="195"/>
        <v>#NUM!</v>
      </c>
      <c r="BJ113" s="277" t="e">
        <f t="shared" si="181"/>
        <v>#NUM!</v>
      </c>
      <c r="BK113" s="147" t="e">
        <f t="shared" si="182"/>
        <v>#NUM!</v>
      </c>
      <c r="BL113" s="132" t="e">
        <f t="shared" si="183"/>
        <v>#NUM!</v>
      </c>
      <c r="BN113" s="497">
        <f t="shared" si="196"/>
        <v>107</v>
      </c>
      <c r="BO113" s="497">
        <f t="shared" si="197"/>
        <v>3256</v>
      </c>
      <c r="BP113">
        <f t="shared" si="198"/>
        <v>0</v>
      </c>
      <c r="BQ113">
        <f t="shared" si="199"/>
        <v>0</v>
      </c>
      <c r="BR113" s="499" t="e">
        <f t="shared" si="200"/>
        <v>#NUM!</v>
      </c>
      <c r="BS113" s="277" t="e">
        <f t="shared" si="180"/>
        <v>#NUM!</v>
      </c>
      <c r="BT113" s="5" t="e">
        <f t="shared" si="201"/>
        <v>#NUM!</v>
      </c>
      <c r="BU113" s="5" t="e">
        <f t="shared" si="202"/>
        <v>#NUM!</v>
      </c>
      <c r="BW113" s="5"/>
      <c r="BX113" s="5"/>
      <c r="BY113" s="5"/>
      <c r="BZ113" s="5"/>
      <c r="CA113" s="130" t="e">
        <f t="shared" si="203"/>
        <v>#NUM!</v>
      </c>
      <c r="CB113" s="5"/>
      <c r="CC113" s="5" t="e">
        <f t="shared" si="204"/>
        <v>#NUM!</v>
      </c>
      <c r="CD113" s="5" t="e">
        <f t="shared" si="205"/>
        <v>#NUM!</v>
      </c>
      <c r="CE113" s="5"/>
      <c r="CI113" s="130">
        <f t="shared" si="206"/>
        <v>3.6571679572073443</v>
      </c>
      <c r="CJ113" s="130">
        <f t="shared" si="207"/>
        <v>3.6559850760218748</v>
      </c>
      <c r="CK113" s="296">
        <f t="shared" si="233"/>
        <v>4.0015840553888644</v>
      </c>
      <c r="CL113" s="130">
        <f t="shared" si="208"/>
        <v>4.0015840553888644</v>
      </c>
      <c r="CM113" s="5">
        <f t="shared" si="234"/>
        <v>0</v>
      </c>
      <c r="CN113" s="5">
        <f t="shared" si="209"/>
        <v>0</v>
      </c>
      <c r="DE113" s="130" t="e">
        <f t="shared" si="210"/>
        <v>#NUM!</v>
      </c>
      <c r="DF113" s="130" t="e">
        <f t="shared" si="211"/>
        <v>#NUM!</v>
      </c>
      <c r="DG113" s="130" t="e">
        <f t="shared" si="235"/>
        <v>#NUM!</v>
      </c>
      <c r="DH113" s="130" t="e">
        <f t="shared" si="212"/>
        <v>#NUM!</v>
      </c>
      <c r="DJ113" s="130" t="e">
        <f t="shared" si="213"/>
        <v>#NUM!</v>
      </c>
      <c r="DK113" s="130" t="e">
        <f t="shared" si="214"/>
        <v>#NUM!</v>
      </c>
      <c r="DL113" s="130" t="e">
        <f t="shared" si="236"/>
        <v>#NUM!</v>
      </c>
      <c r="DO113" s="130" t="e">
        <f t="shared" si="215"/>
        <v>#NUM!</v>
      </c>
      <c r="DP113" s="130" t="e">
        <f t="shared" si="216"/>
        <v>#NUM!</v>
      </c>
      <c r="DQ113" s="130" t="e">
        <f t="shared" si="237"/>
        <v>#NUM!</v>
      </c>
    </row>
    <row r="114" spans="2:121" hidden="1">
      <c r="B114" s="231">
        <v>108</v>
      </c>
      <c r="C114" s="280"/>
      <c r="D114" s="475"/>
      <c r="E114" s="318">
        <f t="shared" si="217"/>
        <v>43630</v>
      </c>
      <c r="F114" s="542">
        <f t="shared" si="184"/>
        <v>0</v>
      </c>
      <c r="G114" s="239"/>
      <c r="H114" s="685">
        <f t="shared" si="218"/>
        <v>0</v>
      </c>
      <c r="I114" s="234"/>
      <c r="J114" s="597">
        <f t="shared" si="219"/>
        <v>0</v>
      </c>
      <c r="K114" s="478">
        <f t="shared" si="220"/>
        <v>0</v>
      </c>
      <c r="L114" s="234"/>
      <c r="M114" s="235">
        <f t="shared" si="221"/>
        <v>0</v>
      </c>
      <c r="N114" s="479">
        <f t="shared" si="222"/>
        <v>0</v>
      </c>
      <c r="O114" s="234"/>
      <c r="P114" s="235">
        <f t="shared" si="223"/>
        <v>0</v>
      </c>
      <c r="Q114" s="651">
        <f t="shared" si="224"/>
        <v>0</v>
      </c>
      <c r="R114" s="479">
        <f>IF(J114&gt;0,IF(OR(ManualMode=FALSE,ISBLANK(S114)),'Pricing - Advanced'!$F$16*J114+'Pricing - Advanced'!$F$17,"N/A"),0)</f>
        <v>0</v>
      </c>
      <c r="S114" s="234"/>
      <c r="T114" s="235">
        <f t="shared" si="225"/>
        <v>0</v>
      </c>
      <c r="U114" s="599">
        <f>IF(OR(ManualMode=FALSE,ISBLANK(V114)),SUM(K114:L114)*'Pricing - Advanced'!$F$19+SUM(N114,O114)*'Pricing - Advanced'!$F$18,"N/A")</f>
        <v>0</v>
      </c>
      <c r="V114" s="234"/>
      <c r="W114" s="236">
        <f t="shared" si="226"/>
        <v>0</v>
      </c>
      <c r="X114" s="237">
        <f>'Pricing - Advanced'!$F$20*SUM(H114:I114)+IF(J114&gt;1,'Pricing - Advanced'!$F$21,0)</f>
        <v>0</v>
      </c>
      <c r="Y114" s="688">
        <f>IF(AND(FullTerm&gt;=B114,AB113&gt;0),AB113*'Pricing - Advanced'!$I$128,0)</f>
        <v>0</v>
      </c>
      <c r="Z114" s="233">
        <f t="shared" si="227"/>
        <v>0</v>
      </c>
      <c r="AA114" s="234"/>
      <c r="AB114" s="597">
        <f t="shared" si="228"/>
        <v>0</v>
      </c>
      <c r="AC114" s="236">
        <f t="shared" si="185"/>
        <v>0</v>
      </c>
      <c r="AF114" s="762" t="e">
        <f t="shared" si="229"/>
        <v>#N/A</v>
      </c>
      <c r="AG114" s="759" t="e">
        <f t="shared" si="186"/>
        <v>#N/A</v>
      </c>
      <c r="AH114" s="759">
        <f>IF(J114=0,0,J114-SUM($N$6:N114)-AB113)</f>
        <v>0</v>
      </c>
      <c r="AI114" s="759">
        <f t="shared" si="187"/>
        <v>0</v>
      </c>
      <c r="AJ114" s="760">
        <f t="shared" si="176"/>
        <v>3.0000000000000001E-3</v>
      </c>
      <c r="AK114" s="760">
        <f t="shared" si="177"/>
        <v>3.0000000000000001E-3</v>
      </c>
      <c r="AN114" s="1" t="b">
        <f t="shared" si="238"/>
        <v>1</v>
      </c>
      <c r="AQ114" s="15">
        <f>IF(J113&gt;1,IF(int_method=2,$AG$229*J113,$AG$229*'Pricing - Advanced'!$E$4),0)</f>
        <v>0</v>
      </c>
      <c r="AR114" s="5">
        <f t="shared" si="230"/>
        <v>0</v>
      </c>
      <c r="AS114" s="204">
        <f t="shared" si="239"/>
        <v>43630</v>
      </c>
      <c r="AT114" s="1">
        <f>IF($AT$4=FALSE,B114*'Pricing - Advanced'!$K$5,AT113+E114-E113)</f>
        <v>3287</v>
      </c>
      <c r="AW114">
        <f t="shared" si="231"/>
        <v>0</v>
      </c>
      <c r="AX114">
        <f t="shared" si="188"/>
        <v>0</v>
      </c>
      <c r="AY114">
        <f t="shared" si="189"/>
        <v>0</v>
      </c>
      <c r="AZ114">
        <f t="shared" si="190"/>
        <v>0</v>
      </c>
      <c r="BA114" s="603">
        <f t="shared" si="168"/>
        <v>0</v>
      </c>
      <c r="BB114" s="603">
        <f t="shared" si="169"/>
        <v>0</v>
      </c>
      <c r="BC114" s="5">
        <f t="shared" si="191"/>
        <v>0</v>
      </c>
      <c r="BE114" s="157">
        <f t="shared" si="192"/>
        <v>108</v>
      </c>
      <c r="BF114" s="489">
        <f t="shared" si="232"/>
        <v>3287</v>
      </c>
      <c r="BG114" s="146">
        <f t="shared" si="193"/>
        <v>0</v>
      </c>
      <c r="BH114" s="147">
        <f t="shared" si="194"/>
        <v>0</v>
      </c>
      <c r="BI114" s="154" t="e">
        <f t="shared" si="195"/>
        <v>#NUM!</v>
      </c>
      <c r="BJ114" s="277" t="e">
        <f t="shared" si="181"/>
        <v>#NUM!</v>
      </c>
      <c r="BK114" s="147" t="e">
        <f t="shared" si="182"/>
        <v>#NUM!</v>
      </c>
      <c r="BL114" s="132" t="e">
        <f t="shared" si="183"/>
        <v>#NUM!</v>
      </c>
      <c r="BN114" s="497">
        <f t="shared" si="196"/>
        <v>108</v>
      </c>
      <c r="BO114" s="497">
        <f t="shared" si="197"/>
        <v>3287</v>
      </c>
      <c r="BP114">
        <f t="shared" si="198"/>
        <v>0</v>
      </c>
      <c r="BQ114">
        <f t="shared" si="199"/>
        <v>0</v>
      </c>
      <c r="BR114" s="499" t="e">
        <f t="shared" si="200"/>
        <v>#NUM!</v>
      </c>
      <c r="BS114" s="277" t="e">
        <f t="shared" si="180"/>
        <v>#NUM!</v>
      </c>
      <c r="BT114" s="5" t="e">
        <f t="shared" si="201"/>
        <v>#NUM!</v>
      </c>
      <c r="BU114" s="5" t="e">
        <f t="shared" si="202"/>
        <v>#NUM!</v>
      </c>
      <c r="BW114" s="5"/>
      <c r="BX114" s="5"/>
      <c r="BY114" s="5"/>
      <c r="BZ114" s="5"/>
      <c r="CA114" s="130" t="e">
        <f t="shared" si="203"/>
        <v>#NUM!</v>
      </c>
      <c r="CB114" s="5"/>
      <c r="CC114" s="5" t="e">
        <f t="shared" si="204"/>
        <v>#NUM!</v>
      </c>
      <c r="CD114" s="5" t="e">
        <f t="shared" si="205"/>
        <v>#NUM!</v>
      </c>
      <c r="CE114" s="5"/>
      <c r="CI114" s="130">
        <f t="shared" si="206"/>
        <v>3.7017573083646877</v>
      </c>
      <c r="CJ114" s="130">
        <f t="shared" si="207"/>
        <v>3.7013888661113992</v>
      </c>
      <c r="CK114" s="296">
        <f t="shared" si="233"/>
        <v>4.053780972117484</v>
      </c>
      <c r="CL114" s="130">
        <f t="shared" si="208"/>
        <v>4.053780972117484</v>
      </c>
      <c r="CM114" s="5">
        <f t="shared" si="234"/>
        <v>0</v>
      </c>
      <c r="CN114" s="5">
        <f t="shared" si="209"/>
        <v>0</v>
      </c>
      <c r="DE114" s="130" t="e">
        <f t="shared" si="210"/>
        <v>#NUM!</v>
      </c>
      <c r="DF114" s="130" t="e">
        <f t="shared" si="211"/>
        <v>#NUM!</v>
      </c>
      <c r="DG114" s="130" t="e">
        <f t="shared" si="235"/>
        <v>#NUM!</v>
      </c>
      <c r="DH114" s="130" t="e">
        <f t="shared" si="212"/>
        <v>#NUM!</v>
      </c>
      <c r="DJ114" s="130" t="e">
        <f t="shared" si="213"/>
        <v>#NUM!</v>
      </c>
      <c r="DK114" s="130" t="e">
        <f t="shared" si="214"/>
        <v>#NUM!</v>
      </c>
      <c r="DL114" s="130" t="e">
        <f t="shared" si="236"/>
        <v>#NUM!</v>
      </c>
      <c r="DO114" s="130" t="e">
        <f t="shared" si="215"/>
        <v>#NUM!</v>
      </c>
      <c r="DP114" s="130" t="e">
        <f t="shared" si="216"/>
        <v>#NUM!</v>
      </c>
      <c r="DQ114" s="130" t="e">
        <f t="shared" si="237"/>
        <v>#NUM!</v>
      </c>
    </row>
    <row r="115" spans="2:121" hidden="1">
      <c r="B115" s="231">
        <v>109</v>
      </c>
      <c r="C115" s="280"/>
      <c r="D115" s="475"/>
      <c r="E115" s="318">
        <f t="shared" si="217"/>
        <v>43660</v>
      </c>
      <c r="F115" s="542">
        <f t="shared" ref="F115:F146" si="240">IF(AN115="x",E115-E114,0)</f>
        <v>0</v>
      </c>
      <c r="G115" s="239"/>
      <c r="H115" s="685">
        <f t="shared" si="218"/>
        <v>0</v>
      </c>
      <c r="I115" s="234"/>
      <c r="J115" s="597">
        <f t="shared" si="219"/>
        <v>0</v>
      </c>
      <c r="K115" s="478">
        <f t="shared" si="220"/>
        <v>0</v>
      </c>
      <c r="L115" s="234"/>
      <c r="M115" s="235">
        <f t="shared" si="221"/>
        <v>0</v>
      </c>
      <c r="N115" s="479">
        <f t="shared" si="222"/>
        <v>0</v>
      </c>
      <c r="O115" s="234"/>
      <c r="P115" s="235">
        <f t="shared" si="223"/>
        <v>0</v>
      </c>
      <c r="Q115" s="651">
        <f t="shared" si="224"/>
        <v>0</v>
      </c>
      <c r="R115" s="479">
        <f>IF(J115&gt;0,IF(OR(ManualMode=FALSE,ISBLANK(S115)),'Pricing - Advanced'!$F$16*J115+'Pricing - Advanced'!$F$17,"N/A"),0)</f>
        <v>0</v>
      </c>
      <c r="S115" s="234"/>
      <c r="T115" s="235">
        <f t="shared" si="225"/>
        <v>0</v>
      </c>
      <c r="U115" s="599">
        <f>IF(OR(ManualMode=FALSE,ISBLANK(V115)),SUM(K115:L115)*'Pricing - Advanced'!$F$19+SUM(N115,O115)*'Pricing - Advanced'!$F$18,"N/A")</f>
        <v>0</v>
      </c>
      <c r="V115" s="234"/>
      <c r="W115" s="236">
        <f t="shared" si="226"/>
        <v>0</v>
      </c>
      <c r="X115" s="237">
        <f>'Pricing - Advanced'!$F$20*SUM(H115:I115)+IF(J115&gt;1,'Pricing - Advanced'!$F$21,0)</f>
        <v>0</v>
      </c>
      <c r="Y115" s="688">
        <f>IF(AND(FullTerm&gt;=B115,AB114&gt;0),AB114*'Pricing - Advanced'!$I$128,0)</f>
        <v>0</v>
      </c>
      <c r="Z115" s="233">
        <f t="shared" si="227"/>
        <v>0</v>
      </c>
      <c r="AA115" s="234"/>
      <c r="AB115" s="597">
        <f t="shared" si="228"/>
        <v>0</v>
      </c>
      <c r="AC115" s="236">
        <f t="shared" si="185"/>
        <v>0</v>
      </c>
      <c r="AF115" s="762" t="e">
        <f t="shared" si="229"/>
        <v>#N/A</v>
      </c>
      <c r="AG115" s="759" t="e">
        <f t="shared" si="186"/>
        <v>#N/A</v>
      </c>
      <c r="AH115" s="759">
        <f>IF(J115=0,0,J115-SUM($N$6:N115)-AB114)</f>
        <v>0</v>
      </c>
      <c r="AI115" s="759">
        <f t="shared" si="187"/>
        <v>0</v>
      </c>
      <c r="AJ115" s="760">
        <f t="shared" si="176"/>
        <v>3.0000000000000001E-3</v>
      </c>
      <c r="AK115" s="760">
        <f t="shared" si="177"/>
        <v>3.0000000000000001E-3</v>
      </c>
      <c r="AN115" s="1" t="b">
        <f t="shared" si="238"/>
        <v>1</v>
      </c>
      <c r="AQ115" s="15">
        <f>IF(J114&gt;1,IF(int_method=2,$AG$229*J114,$AG$229*'Pricing - Advanced'!$E$4),0)</f>
        <v>0</v>
      </c>
      <c r="AR115" s="5">
        <f t="shared" si="230"/>
        <v>0</v>
      </c>
      <c r="AS115" s="204">
        <f t="shared" si="239"/>
        <v>43660</v>
      </c>
      <c r="AT115" s="1">
        <f>IF($AT$4=FALSE,B115*'Pricing - Advanced'!$K$5,AT114+E115-E114)</f>
        <v>3317</v>
      </c>
      <c r="AW115">
        <f t="shared" si="231"/>
        <v>0</v>
      </c>
      <c r="AX115">
        <f t="shared" si="188"/>
        <v>0</v>
      </c>
      <c r="AY115">
        <f t="shared" si="189"/>
        <v>0</v>
      </c>
      <c r="AZ115">
        <f t="shared" si="190"/>
        <v>0</v>
      </c>
      <c r="BA115" s="603">
        <f t="shared" si="168"/>
        <v>0</v>
      </c>
      <c r="BB115" s="603">
        <f t="shared" si="169"/>
        <v>0</v>
      </c>
      <c r="BC115" s="5">
        <f t="shared" si="191"/>
        <v>0</v>
      </c>
      <c r="BE115" s="157">
        <f t="shared" si="192"/>
        <v>109</v>
      </c>
      <c r="BF115" s="489">
        <f t="shared" si="232"/>
        <v>3317</v>
      </c>
      <c r="BG115" s="146">
        <f t="shared" si="193"/>
        <v>0</v>
      </c>
      <c r="BH115" s="147">
        <f t="shared" si="194"/>
        <v>0</v>
      </c>
      <c r="BI115" s="154" t="e">
        <f t="shared" si="195"/>
        <v>#NUM!</v>
      </c>
      <c r="BJ115" s="277" t="e">
        <f t="shared" si="181"/>
        <v>#NUM!</v>
      </c>
      <c r="BK115" s="147" t="e">
        <f t="shared" si="182"/>
        <v>#NUM!</v>
      </c>
      <c r="BL115" s="132" t="e">
        <f t="shared" si="183"/>
        <v>#NUM!</v>
      </c>
      <c r="BN115" s="497">
        <f t="shared" si="196"/>
        <v>109</v>
      </c>
      <c r="BO115" s="497">
        <f t="shared" si="197"/>
        <v>3317</v>
      </c>
      <c r="BP115">
        <f t="shared" si="198"/>
        <v>0</v>
      </c>
      <c r="BQ115">
        <f t="shared" si="199"/>
        <v>0</v>
      </c>
      <c r="BR115" s="499" t="e">
        <f t="shared" si="200"/>
        <v>#NUM!</v>
      </c>
      <c r="BS115" s="277" t="e">
        <f t="shared" si="180"/>
        <v>#NUM!</v>
      </c>
      <c r="BT115" s="5" t="e">
        <f t="shared" si="201"/>
        <v>#NUM!</v>
      </c>
      <c r="BU115" s="5" t="e">
        <f t="shared" si="202"/>
        <v>#NUM!</v>
      </c>
      <c r="BW115" s="5"/>
      <c r="BX115" s="5"/>
      <c r="BY115" s="5"/>
      <c r="BZ115" s="5"/>
      <c r="CA115" s="130" t="e">
        <f t="shared" si="203"/>
        <v>#NUM!</v>
      </c>
      <c r="CB115" s="5"/>
      <c r="CC115" s="5" t="e">
        <f t="shared" si="204"/>
        <v>#NUM!</v>
      </c>
      <c r="CD115" s="5" t="e">
        <f t="shared" si="205"/>
        <v>#NUM!</v>
      </c>
      <c r="CE115" s="5"/>
      <c r="CI115" s="130">
        <f t="shared" si="206"/>
        <v>3.7468903070273982</v>
      </c>
      <c r="CJ115" s="130">
        <f t="shared" si="207"/>
        <v>3.7458648266926606</v>
      </c>
      <c r="CK115" s="296">
        <f t="shared" si="233"/>
        <v>4.1066587487451489</v>
      </c>
      <c r="CL115" s="130">
        <f t="shared" si="208"/>
        <v>4.1066587487451489</v>
      </c>
      <c r="CM115" s="5">
        <f t="shared" si="234"/>
        <v>0</v>
      </c>
      <c r="CN115" s="5">
        <f t="shared" si="209"/>
        <v>0</v>
      </c>
      <c r="DE115" s="130" t="e">
        <f t="shared" si="210"/>
        <v>#NUM!</v>
      </c>
      <c r="DF115" s="130" t="e">
        <f t="shared" si="211"/>
        <v>#NUM!</v>
      </c>
      <c r="DG115" s="130" t="e">
        <f t="shared" si="235"/>
        <v>#NUM!</v>
      </c>
      <c r="DH115" s="130" t="e">
        <f t="shared" si="212"/>
        <v>#NUM!</v>
      </c>
      <c r="DJ115" s="130" t="e">
        <f t="shared" si="213"/>
        <v>#NUM!</v>
      </c>
      <c r="DK115" s="130" t="e">
        <f t="shared" si="214"/>
        <v>#NUM!</v>
      </c>
      <c r="DL115" s="130" t="e">
        <f t="shared" si="236"/>
        <v>#NUM!</v>
      </c>
      <c r="DO115" s="130" t="e">
        <f t="shared" si="215"/>
        <v>#NUM!</v>
      </c>
      <c r="DP115" s="130" t="e">
        <f t="shared" si="216"/>
        <v>#NUM!</v>
      </c>
      <c r="DQ115" s="130" t="e">
        <f t="shared" si="237"/>
        <v>#NUM!</v>
      </c>
    </row>
    <row r="116" spans="2:121" hidden="1">
      <c r="B116" s="231">
        <v>110</v>
      </c>
      <c r="C116" s="280"/>
      <c r="D116" s="475"/>
      <c r="E116" s="318">
        <f t="shared" si="217"/>
        <v>43691</v>
      </c>
      <c r="F116" s="542">
        <f t="shared" si="240"/>
        <v>0</v>
      </c>
      <c r="G116" s="239"/>
      <c r="H116" s="685">
        <f t="shared" si="218"/>
        <v>0</v>
      </c>
      <c r="I116" s="234"/>
      <c r="J116" s="597">
        <f t="shared" si="219"/>
        <v>0</v>
      </c>
      <c r="K116" s="478">
        <f t="shared" si="220"/>
        <v>0</v>
      </c>
      <c r="L116" s="234"/>
      <c r="M116" s="235">
        <f t="shared" si="221"/>
        <v>0</v>
      </c>
      <c r="N116" s="479">
        <f t="shared" si="222"/>
        <v>0</v>
      </c>
      <c r="O116" s="234"/>
      <c r="P116" s="235">
        <f t="shared" si="223"/>
        <v>0</v>
      </c>
      <c r="Q116" s="651">
        <f t="shared" si="224"/>
        <v>0</v>
      </c>
      <c r="R116" s="479">
        <f>IF(J116&gt;0,IF(OR(ManualMode=FALSE,ISBLANK(S116)),'Pricing - Advanced'!$F$16*J116+'Pricing - Advanced'!$F$17,"N/A"),0)</f>
        <v>0</v>
      </c>
      <c r="S116" s="234"/>
      <c r="T116" s="235">
        <f t="shared" si="225"/>
        <v>0</v>
      </c>
      <c r="U116" s="599">
        <f>IF(OR(ManualMode=FALSE,ISBLANK(V116)),SUM(K116:L116)*'Pricing - Advanced'!$F$19+SUM(N116,O116)*'Pricing - Advanced'!$F$18,"N/A")</f>
        <v>0</v>
      </c>
      <c r="V116" s="234"/>
      <c r="W116" s="236">
        <f t="shared" si="226"/>
        <v>0</v>
      </c>
      <c r="X116" s="237">
        <f>'Pricing - Advanced'!$F$20*SUM(H116:I116)+IF(J116&gt;1,'Pricing - Advanced'!$F$21,0)</f>
        <v>0</v>
      </c>
      <c r="Y116" s="688">
        <f>IF(AND(FullTerm&gt;=B116,AB115&gt;0),AB115*'Pricing - Advanced'!$I$128,0)</f>
        <v>0</v>
      </c>
      <c r="Z116" s="233">
        <f t="shared" si="227"/>
        <v>0</v>
      </c>
      <c r="AA116" s="234"/>
      <c r="AB116" s="597">
        <f t="shared" si="228"/>
        <v>0</v>
      </c>
      <c r="AC116" s="236">
        <f t="shared" si="185"/>
        <v>0</v>
      </c>
      <c r="AF116" s="762" t="e">
        <f t="shared" si="229"/>
        <v>#N/A</v>
      </c>
      <c r="AG116" s="759" t="e">
        <f t="shared" si="186"/>
        <v>#N/A</v>
      </c>
      <c r="AH116" s="759">
        <f>IF(J116=0,0,J116-SUM($N$6:N116)-AB115)</f>
        <v>0</v>
      </c>
      <c r="AI116" s="759">
        <f t="shared" si="187"/>
        <v>0</v>
      </c>
      <c r="AJ116" s="760">
        <f t="shared" si="176"/>
        <v>3.0000000000000001E-3</v>
      </c>
      <c r="AK116" s="760">
        <f t="shared" si="177"/>
        <v>3.0000000000000001E-3</v>
      </c>
      <c r="AN116" s="1" t="b">
        <f t="shared" si="238"/>
        <v>1</v>
      </c>
      <c r="AQ116" s="15">
        <f>IF(J115&gt;1,IF(int_method=2,$AG$229*J115,$AG$229*'Pricing - Advanced'!$E$4),0)</f>
        <v>0</v>
      </c>
      <c r="AR116" s="5">
        <f t="shared" si="230"/>
        <v>0</v>
      </c>
      <c r="AS116" s="204">
        <f t="shared" si="239"/>
        <v>43691</v>
      </c>
      <c r="AT116" s="1">
        <f>IF($AT$4=FALSE,B116*'Pricing - Advanced'!$K$5,AT115+E116-E115)</f>
        <v>3348</v>
      </c>
      <c r="AW116">
        <f t="shared" si="231"/>
        <v>0</v>
      </c>
      <c r="AX116">
        <f t="shared" si="188"/>
        <v>0</v>
      </c>
      <c r="AY116">
        <f t="shared" si="189"/>
        <v>0</v>
      </c>
      <c r="AZ116">
        <f t="shared" si="190"/>
        <v>0</v>
      </c>
      <c r="BA116" s="603">
        <f t="shared" si="168"/>
        <v>0</v>
      </c>
      <c r="BB116" s="603">
        <f t="shared" si="169"/>
        <v>0</v>
      </c>
      <c r="BC116" s="5">
        <f t="shared" si="191"/>
        <v>0</v>
      </c>
      <c r="BE116" s="157">
        <f t="shared" si="192"/>
        <v>110</v>
      </c>
      <c r="BF116" s="489">
        <f t="shared" si="232"/>
        <v>3348</v>
      </c>
      <c r="BG116" s="146">
        <f t="shared" si="193"/>
        <v>0</v>
      </c>
      <c r="BH116" s="147">
        <f t="shared" si="194"/>
        <v>0</v>
      </c>
      <c r="BI116" s="154" t="e">
        <f t="shared" si="195"/>
        <v>#NUM!</v>
      </c>
      <c r="BJ116" s="277" t="e">
        <f t="shared" si="181"/>
        <v>#NUM!</v>
      </c>
      <c r="BK116" s="147" t="e">
        <f t="shared" si="182"/>
        <v>#NUM!</v>
      </c>
      <c r="BL116" s="132" t="e">
        <f t="shared" si="183"/>
        <v>#NUM!</v>
      </c>
      <c r="BN116" s="497">
        <f t="shared" si="196"/>
        <v>110</v>
      </c>
      <c r="BO116" s="497">
        <f t="shared" si="197"/>
        <v>3348</v>
      </c>
      <c r="BP116">
        <f t="shared" si="198"/>
        <v>0</v>
      </c>
      <c r="BQ116">
        <f t="shared" si="199"/>
        <v>0</v>
      </c>
      <c r="BR116" s="499" t="e">
        <f t="shared" si="200"/>
        <v>#NUM!</v>
      </c>
      <c r="BS116" s="277" t="e">
        <f t="shared" si="180"/>
        <v>#NUM!</v>
      </c>
      <c r="BT116" s="5" t="e">
        <f t="shared" si="201"/>
        <v>#NUM!</v>
      </c>
      <c r="BU116" s="5" t="e">
        <f t="shared" si="202"/>
        <v>#NUM!</v>
      </c>
      <c r="BW116" s="5"/>
      <c r="BX116" s="5"/>
      <c r="BY116" s="5"/>
      <c r="BZ116" s="5"/>
      <c r="CA116" s="130" t="e">
        <f t="shared" si="203"/>
        <v>#NUM!</v>
      </c>
      <c r="CB116" s="5"/>
      <c r="CC116" s="5" t="e">
        <f t="shared" si="204"/>
        <v>#NUM!</v>
      </c>
      <c r="CD116" s="5" t="e">
        <f t="shared" si="205"/>
        <v>#NUM!</v>
      </c>
      <c r="CE116" s="5"/>
      <c r="CI116" s="130">
        <f t="shared" si="206"/>
        <v>3.7925735815182069</v>
      </c>
      <c r="CJ116" s="130">
        <f t="shared" si="207"/>
        <v>3.7923848361452008</v>
      </c>
      <c r="CK116" s="296">
        <f t="shared" si="233"/>
        <v>4.1602262664516525</v>
      </c>
      <c r="CL116" s="130">
        <f t="shared" si="208"/>
        <v>4.1602262664516525</v>
      </c>
      <c r="CM116" s="5">
        <f t="shared" si="234"/>
        <v>0</v>
      </c>
      <c r="CN116" s="5">
        <f t="shared" si="209"/>
        <v>0</v>
      </c>
      <c r="DE116" s="130" t="e">
        <f t="shared" si="210"/>
        <v>#NUM!</v>
      </c>
      <c r="DF116" s="130" t="e">
        <f t="shared" si="211"/>
        <v>#NUM!</v>
      </c>
      <c r="DG116" s="130" t="e">
        <f t="shared" si="235"/>
        <v>#NUM!</v>
      </c>
      <c r="DH116" s="130" t="e">
        <f t="shared" si="212"/>
        <v>#NUM!</v>
      </c>
      <c r="DJ116" s="130" t="e">
        <f t="shared" si="213"/>
        <v>#NUM!</v>
      </c>
      <c r="DK116" s="130" t="e">
        <f t="shared" si="214"/>
        <v>#NUM!</v>
      </c>
      <c r="DL116" s="130" t="e">
        <f t="shared" si="236"/>
        <v>#NUM!</v>
      </c>
      <c r="DO116" s="130" t="e">
        <f t="shared" si="215"/>
        <v>#NUM!</v>
      </c>
      <c r="DP116" s="130" t="e">
        <f t="shared" si="216"/>
        <v>#NUM!</v>
      </c>
      <c r="DQ116" s="130" t="e">
        <f t="shared" si="237"/>
        <v>#NUM!</v>
      </c>
    </row>
    <row r="117" spans="2:121" hidden="1">
      <c r="B117" s="231">
        <v>111</v>
      </c>
      <c r="C117" s="280"/>
      <c r="D117" s="475"/>
      <c r="E117" s="318">
        <f t="shared" si="217"/>
        <v>43722</v>
      </c>
      <c r="F117" s="542">
        <f t="shared" si="240"/>
        <v>0</v>
      </c>
      <c r="G117" s="239"/>
      <c r="H117" s="685">
        <f t="shared" si="218"/>
        <v>0</v>
      </c>
      <c r="I117" s="234"/>
      <c r="J117" s="597">
        <f t="shared" si="219"/>
        <v>0</v>
      </c>
      <c r="K117" s="478">
        <f t="shared" si="220"/>
        <v>0</v>
      </c>
      <c r="L117" s="234"/>
      <c r="M117" s="235">
        <f t="shared" si="221"/>
        <v>0</v>
      </c>
      <c r="N117" s="479">
        <f t="shared" si="222"/>
        <v>0</v>
      </c>
      <c r="O117" s="234"/>
      <c r="P117" s="235">
        <f t="shared" si="223"/>
        <v>0</v>
      </c>
      <c r="Q117" s="651">
        <f t="shared" si="224"/>
        <v>0</v>
      </c>
      <c r="R117" s="479">
        <f>IF(J117&gt;0,IF(OR(ManualMode=FALSE,ISBLANK(S117)),'Pricing - Advanced'!$F$16*J117+'Pricing - Advanced'!$F$17,"N/A"),0)</f>
        <v>0</v>
      </c>
      <c r="S117" s="234"/>
      <c r="T117" s="235">
        <f t="shared" si="225"/>
        <v>0</v>
      </c>
      <c r="U117" s="599">
        <f>IF(OR(ManualMode=FALSE,ISBLANK(V117)),SUM(K117:L117)*'Pricing - Advanced'!$F$19+SUM(N117,O117)*'Pricing - Advanced'!$F$18,"N/A")</f>
        <v>0</v>
      </c>
      <c r="V117" s="234"/>
      <c r="W117" s="236">
        <f t="shared" si="226"/>
        <v>0</v>
      </c>
      <c r="X117" s="237">
        <f>'Pricing - Advanced'!$F$20*SUM(H117:I117)+IF(J117&gt;1,'Pricing - Advanced'!$F$21,0)</f>
        <v>0</v>
      </c>
      <c r="Y117" s="688">
        <f>IF(AND(FullTerm&gt;=B117,AB116&gt;0),AB116*'Pricing - Advanced'!$I$128,0)</f>
        <v>0</v>
      </c>
      <c r="Z117" s="233">
        <f t="shared" si="227"/>
        <v>0</v>
      </c>
      <c r="AA117" s="234"/>
      <c r="AB117" s="597">
        <f t="shared" si="228"/>
        <v>0</v>
      </c>
      <c r="AC117" s="236">
        <f t="shared" si="185"/>
        <v>0</v>
      </c>
      <c r="AF117" s="762" t="e">
        <f t="shared" si="229"/>
        <v>#N/A</v>
      </c>
      <c r="AG117" s="759" t="e">
        <f t="shared" si="186"/>
        <v>#N/A</v>
      </c>
      <c r="AH117" s="759">
        <f>IF(J117=0,0,J117-SUM($N$6:N117)-AB116)</f>
        <v>0</v>
      </c>
      <c r="AI117" s="759">
        <f t="shared" si="187"/>
        <v>0</v>
      </c>
      <c r="AJ117" s="760">
        <f t="shared" si="176"/>
        <v>3.0000000000000001E-3</v>
      </c>
      <c r="AK117" s="760">
        <f t="shared" si="177"/>
        <v>3.0000000000000001E-3</v>
      </c>
      <c r="AN117" s="1" t="b">
        <f t="shared" si="238"/>
        <v>1</v>
      </c>
      <c r="AQ117" s="15">
        <f>IF(J116&gt;1,IF(int_method=2,$AG$229*J116,$AG$229*'Pricing - Advanced'!$E$4),0)</f>
        <v>0</v>
      </c>
      <c r="AR117" s="5">
        <f t="shared" si="230"/>
        <v>0</v>
      </c>
      <c r="AS117" s="204">
        <f t="shared" si="239"/>
        <v>43722</v>
      </c>
      <c r="AT117" s="1">
        <f>IF($AT$4=FALSE,B117*'Pricing - Advanced'!$K$5,AT116+E117-E116)</f>
        <v>3379</v>
      </c>
      <c r="AW117">
        <f t="shared" si="231"/>
        <v>0</v>
      </c>
      <c r="AX117">
        <f t="shared" si="188"/>
        <v>0</v>
      </c>
      <c r="AY117">
        <f t="shared" si="189"/>
        <v>0</v>
      </c>
      <c r="AZ117">
        <f t="shared" si="190"/>
        <v>0</v>
      </c>
      <c r="BA117" s="603">
        <f t="shared" si="168"/>
        <v>0</v>
      </c>
      <c r="BB117" s="603">
        <f t="shared" si="169"/>
        <v>0</v>
      </c>
      <c r="BC117" s="5">
        <f t="shared" si="191"/>
        <v>0</v>
      </c>
      <c r="BE117" s="157">
        <f t="shared" si="192"/>
        <v>111</v>
      </c>
      <c r="BF117" s="489">
        <f t="shared" si="232"/>
        <v>3379</v>
      </c>
      <c r="BG117" s="146">
        <f t="shared" si="193"/>
        <v>0</v>
      </c>
      <c r="BH117" s="147">
        <f t="shared" si="194"/>
        <v>0</v>
      </c>
      <c r="BI117" s="154" t="e">
        <f t="shared" si="195"/>
        <v>#NUM!</v>
      </c>
      <c r="BJ117" s="277" t="e">
        <f t="shared" si="181"/>
        <v>#NUM!</v>
      </c>
      <c r="BK117" s="147" t="e">
        <f t="shared" si="182"/>
        <v>#NUM!</v>
      </c>
      <c r="BL117" s="132" t="e">
        <f t="shared" si="183"/>
        <v>#NUM!</v>
      </c>
      <c r="BN117" s="497">
        <f t="shared" si="196"/>
        <v>111</v>
      </c>
      <c r="BO117" s="497">
        <f t="shared" si="197"/>
        <v>3379</v>
      </c>
      <c r="BP117">
        <f t="shared" si="198"/>
        <v>0</v>
      </c>
      <c r="BQ117">
        <f t="shared" si="199"/>
        <v>0</v>
      </c>
      <c r="BR117" s="499" t="e">
        <f t="shared" si="200"/>
        <v>#NUM!</v>
      </c>
      <c r="BS117" s="277" t="e">
        <f t="shared" si="180"/>
        <v>#NUM!</v>
      </c>
      <c r="BT117" s="5" t="e">
        <f t="shared" si="201"/>
        <v>#NUM!</v>
      </c>
      <c r="BU117" s="5" t="e">
        <f t="shared" si="202"/>
        <v>#NUM!</v>
      </c>
      <c r="BW117" s="5"/>
      <c r="BX117" s="5"/>
      <c r="BY117" s="5"/>
      <c r="BZ117" s="5"/>
      <c r="CA117" s="130" t="e">
        <f t="shared" si="203"/>
        <v>#NUM!</v>
      </c>
      <c r="CB117" s="5"/>
      <c r="CC117" s="5" t="e">
        <f t="shared" si="204"/>
        <v>#NUM!</v>
      </c>
      <c r="CD117" s="5" t="e">
        <f t="shared" si="205"/>
        <v>#NUM!</v>
      </c>
      <c r="CE117" s="5"/>
      <c r="CI117" s="130">
        <f t="shared" si="206"/>
        <v>3.8388138409744657</v>
      </c>
      <c r="CJ117" s="130">
        <f t="shared" si="207"/>
        <v>3.8394825790130107</v>
      </c>
      <c r="CK117" s="296">
        <f t="shared" si="233"/>
        <v>4.2144925222634626</v>
      </c>
      <c r="CL117" s="130">
        <f t="shared" si="208"/>
        <v>4.2144925222634626</v>
      </c>
      <c r="CM117" s="5">
        <f t="shared" si="234"/>
        <v>0</v>
      </c>
      <c r="CN117" s="5">
        <f t="shared" si="209"/>
        <v>0</v>
      </c>
      <c r="DE117" s="130" t="e">
        <f t="shared" si="210"/>
        <v>#NUM!</v>
      </c>
      <c r="DF117" s="130" t="e">
        <f t="shared" si="211"/>
        <v>#NUM!</v>
      </c>
      <c r="DG117" s="130" t="e">
        <f t="shared" si="235"/>
        <v>#NUM!</v>
      </c>
      <c r="DH117" s="130" t="e">
        <f t="shared" si="212"/>
        <v>#NUM!</v>
      </c>
      <c r="DJ117" s="130" t="e">
        <f t="shared" si="213"/>
        <v>#NUM!</v>
      </c>
      <c r="DK117" s="130" t="e">
        <f t="shared" si="214"/>
        <v>#NUM!</v>
      </c>
      <c r="DL117" s="130" t="e">
        <f t="shared" si="236"/>
        <v>#NUM!</v>
      </c>
      <c r="DO117" s="130" t="e">
        <f t="shared" si="215"/>
        <v>#NUM!</v>
      </c>
      <c r="DP117" s="130" t="e">
        <f t="shared" si="216"/>
        <v>#NUM!</v>
      </c>
      <c r="DQ117" s="130" t="e">
        <f t="shared" si="237"/>
        <v>#NUM!</v>
      </c>
    </row>
    <row r="118" spans="2:121" hidden="1">
      <c r="B118" s="231">
        <v>112</v>
      </c>
      <c r="C118" s="280"/>
      <c r="D118" s="475"/>
      <c r="E118" s="318">
        <f t="shared" si="217"/>
        <v>43752</v>
      </c>
      <c r="F118" s="542">
        <f t="shared" si="240"/>
        <v>0</v>
      </c>
      <c r="G118" s="239"/>
      <c r="H118" s="685">
        <f t="shared" si="218"/>
        <v>0</v>
      </c>
      <c r="I118" s="234"/>
      <c r="J118" s="597">
        <f t="shared" si="219"/>
        <v>0</v>
      </c>
      <c r="K118" s="478">
        <f t="shared" si="220"/>
        <v>0</v>
      </c>
      <c r="L118" s="234"/>
      <c r="M118" s="235">
        <f t="shared" si="221"/>
        <v>0</v>
      </c>
      <c r="N118" s="479">
        <f t="shared" si="222"/>
        <v>0</v>
      </c>
      <c r="O118" s="234"/>
      <c r="P118" s="235">
        <f t="shared" si="223"/>
        <v>0</v>
      </c>
      <c r="Q118" s="651">
        <f t="shared" si="224"/>
        <v>0</v>
      </c>
      <c r="R118" s="479">
        <f>IF(J118&gt;0,IF(OR(ManualMode=FALSE,ISBLANK(S118)),'Pricing - Advanced'!$F$16*J118+'Pricing - Advanced'!$F$17,"N/A"),0)</f>
        <v>0</v>
      </c>
      <c r="S118" s="234"/>
      <c r="T118" s="235">
        <f t="shared" si="225"/>
        <v>0</v>
      </c>
      <c r="U118" s="599">
        <f>IF(OR(ManualMode=FALSE,ISBLANK(V118)),SUM(K118:L118)*'Pricing - Advanced'!$F$19+SUM(N118,O118)*'Pricing - Advanced'!$F$18,"N/A")</f>
        <v>0</v>
      </c>
      <c r="V118" s="234"/>
      <c r="W118" s="236">
        <f t="shared" si="226"/>
        <v>0</v>
      </c>
      <c r="X118" s="237">
        <f>'Pricing - Advanced'!$F$20*SUM(H118:I118)+IF(J118&gt;1,'Pricing - Advanced'!$F$21,0)</f>
        <v>0</v>
      </c>
      <c r="Y118" s="688">
        <f>IF(AND(FullTerm&gt;=B118,AB117&gt;0),AB117*'Pricing - Advanced'!$I$128,0)</f>
        <v>0</v>
      </c>
      <c r="Z118" s="233">
        <f t="shared" si="227"/>
        <v>0</v>
      </c>
      <c r="AA118" s="234"/>
      <c r="AB118" s="597">
        <f t="shared" si="228"/>
        <v>0</v>
      </c>
      <c r="AC118" s="236">
        <f t="shared" si="185"/>
        <v>0</v>
      </c>
      <c r="AF118" s="762" t="e">
        <f t="shared" si="229"/>
        <v>#N/A</v>
      </c>
      <c r="AG118" s="759" t="e">
        <f t="shared" si="186"/>
        <v>#N/A</v>
      </c>
      <c r="AH118" s="759">
        <f>IF(J118=0,0,J118-SUM($N$6:N118)-AB117)</f>
        <v>0</v>
      </c>
      <c r="AI118" s="759">
        <f t="shared" si="187"/>
        <v>0</v>
      </c>
      <c r="AJ118" s="760">
        <f t="shared" si="176"/>
        <v>3.0000000000000001E-3</v>
      </c>
      <c r="AK118" s="760">
        <f t="shared" si="177"/>
        <v>3.0000000000000001E-3</v>
      </c>
      <c r="AN118" s="1" t="b">
        <f t="shared" si="238"/>
        <v>1</v>
      </c>
      <c r="AQ118" s="15">
        <f>IF(J117&gt;1,IF(int_method=2,$AG$229*J117,$AG$229*'Pricing - Advanced'!$E$4),0)</f>
        <v>0</v>
      </c>
      <c r="AR118" s="5">
        <f t="shared" si="230"/>
        <v>0</v>
      </c>
      <c r="AS118" s="204">
        <f t="shared" si="239"/>
        <v>43752</v>
      </c>
      <c r="AT118" s="1">
        <f>IF($AT$4=FALSE,B118*'Pricing - Advanced'!$K$5,AT117+E118-E117)</f>
        <v>3409</v>
      </c>
      <c r="AW118">
        <f t="shared" si="231"/>
        <v>0</v>
      </c>
      <c r="AX118">
        <f t="shared" si="188"/>
        <v>0</v>
      </c>
      <c r="AY118">
        <f t="shared" si="189"/>
        <v>0</v>
      </c>
      <c r="AZ118">
        <f t="shared" si="190"/>
        <v>0</v>
      </c>
      <c r="BA118" s="603">
        <f t="shared" si="168"/>
        <v>0</v>
      </c>
      <c r="BB118" s="603">
        <f t="shared" si="169"/>
        <v>0</v>
      </c>
      <c r="BC118" s="5">
        <f t="shared" si="191"/>
        <v>0</v>
      </c>
      <c r="BE118" s="157">
        <f t="shared" si="192"/>
        <v>112</v>
      </c>
      <c r="BF118" s="489">
        <f t="shared" si="232"/>
        <v>3409</v>
      </c>
      <c r="BG118" s="146">
        <f t="shared" si="193"/>
        <v>0</v>
      </c>
      <c r="BH118" s="147">
        <f t="shared" si="194"/>
        <v>0</v>
      </c>
      <c r="BI118" s="154" t="e">
        <f t="shared" si="195"/>
        <v>#NUM!</v>
      </c>
      <c r="BJ118" s="277" t="e">
        <f t="shared" si="181"/>
        <v>#NUM!</v>
      </c>
      <c r="BK118" s="147" t="e">
        <f t="shared" si="182"/>
        <v>#NUM!</v>
      </c>
      <c r="BL118" s="132" t="e">
        <f t="shared" si="183"/>
        <v>#NUM!</v>
      </c>
      <c r="BN118" s="497">
        <f t="shared" si="196"/>
        <v>112</v>
      </c>
      <c r="BO118" s="497">
        <f t="shared" si="197"/>
        <v>3409</v>
      </c>
      <c r="BP118">
        <f t="shared" si="198"/>
        <v>0</v>
      </c>
      <c r="BQ118">
        <f t="shared" si="199"/>
        <v>0</v>
      </c>
      <c r="BR118" s="499" t="e">
        <f t="shared" si="200"/>
        <v>#NUM!</v>
      </c>
      <c r="BS118" s="277" t="e">
        <f t="shared" si="180"/>
        <v>#NUM!</v>
      </c>
      <c r="BT118" s="5" t="e">
        <f t="shared" si="201"/>
        <v>#NUM!</v>
      </c>
      <c r="BU118" s="5" t="e">
        <f t="shared" si="202"/>
        <v>#NUM!</v>
      </c>
      <c r="BW118" s="5"/>
      <c r="BX118" s="5"/>
      <c r="BY118" s="5"/>
      <c r="BZ118" s="5"/>
      <c r="CA118" s="130" t="e">
        <f t="shared" si="203"/>
        <v>#NUM!</v>
      </c>
      <c r="CB118" s="5"/>
      <c r="CC118" s="5" t="e">
        <f t="shared" si="204"/>
        <v>#NUM!</v>
      </c>
      <c r="CD118" s="5" t="e">
        <f t="shared" si="205"/>
        <v>#NUM!</v>
      </c>
      <c r="CE118" s="5"/>
      <c r="CI118" s="130">
        <f t="shared" si="206"/>
        <v>3.8856178763334532</v>
      </c>
      <c r="CJ118" s="130">
        <f t="shared" si="207"/>
        <v>3.8856178763334532</v>
      </c>
      <c r="CK118" s="296">
        <f t="shared" si="233"/>
        <v>4.2694666305648301</v>
      </c>
      <c r="CL118" s="130">
        <f t="shared" si="208"/>
        <v>4.2694666305648301</v>
      </c>
      <c r="CM118" s="5">
        <f t="shared" si="234"/>
        <v>0</v>
      </c>
      <c r="CN118" s="5">
        <f t="shared" si="209"/>
        <v>0</v>
      </c>
      <c r="DE118" s="130" t="e">
        <f t="shared" si="210"/>
        <v>#NUM!</v>
      </c>
      <c r="DF118" s="130" t="e">
        <f t="shared" si="211"/>
        <v>#NUM!</v>
      </c>
      <c r="DG118" s="130" t="e">
        <f t="shared" si="235"/>
        <v>#NUM!</v>
      </c>
      <c r="DH118" s="130" t="e">
        <f t="shared" si="212"/>
        <v>#NUM!</v>
      </c>
      <c r="DJ118" s="130" t="e">
        <f t="shared" si="213"/>
        <v>#NUM!</v>
      </c>
      <c r="DK118" s="130" t="e">
        <f t="shared" si="214"/>
        <v>#NUM!</v>
      </c>
      <c r="DL118" s="130" t="e">
        <f t="shared" si="236"/>
        <v>#NUM!</v>
      </c>
      <c r="DO118" s="130" t="e">
        <f t="shared" si="215"/>
        <v>#NUM!</v>
      </c>
      <c r="DP118" s="130" t="e">
        <f t="shared" si="216"/>
        <v>#NUM!</v>
      </c>
      <c r="DQ118" s="130" t="e">
        <f t="shared" si="237"/>
        <v>#NUM!</v>
      </c>
    </row>
    <row r="119" spans="2:121" hidden="1">
      <c r="B119" s="231">
        <v>113</v>
      </c>
      <c r="C119" s="280"/>
      <c r="D119" s="475"/>
      <c r="E119" s="318">
        <f t="shared" si="217"/>
        <v>43783</v>
      </c>
      <c r="F119" s="542">
        <f t="shared" si="240"/>
        <v>0</v>
      </c>
      <c r="G119" s="239"/>
      <c r="H119" s="685">
        <f t="shared" si="218"/>
        <v>0</v>
      </c>
      <c r="I119" s="234"/>
      <c r="J119" s="597">
        <f t="shared" si="219"/>
        <v>0</v>
      </c>
      <c r="K119" s="478">
        <f t="shared" si="220"/>
        <v>0</v>
      </c>
      <c r="L119" s="234"/>
      <c r="M119" s="235">
        <f t="shared" si="221"/>
        <v>0</v>
      </c>
      <c r="N119" s="479">
        <f t="shared" si="222"/>
        <v>0</v>
      </c>
      <c r="O119" s="234"/>
      <c r="P119" s="235">
        <f t="shared" si="223"/>
        <v>0</v>
      </c>
      <c r="Q119" s="651">
        <f t="shared" si="224"/>
        <v>0</v>
      </c>
      <c r="R119" s="479">
        <f>IF(J119&gt;0,IF(OR(ManualMode=FALSE,ISBLANK(S119)),'Pricing - Advanced'!$F$16*J119+'Pricing - Advanced'!$F$17,"N/A"),0)</f>
        <v>0</v>
      </c>
      <c r="S119" s="234"/>
      <c r="T119" s="235">
        <f t="shared" si="225"/>
        <v>0</v>
      </c>
      <c r="U119" s="599">
        <f>IF(OR(ManualMode=FALSE,ISBLANK(V119)),SUM(K119:L119)*'Pricing - Advanced'!$F$19+SUM(N119,O119)*'Pricing - Advanced'!$F$18,"N/A")</f>
        <v>0</v>
      </c>
      <c r="V119" s="234"/>
      <c r="W119" s="236">
        <f t="shared" si="226"/>
        <v>0</v>
      </c>
      <c r="X119" s="237">
        <f>'Pricing - Advanced'!$F$20*SUM(H119:I119)+IF(J119&gt;1,'Pricing - Advanced'!$F$21,0)</f>
        <v>0</v>
      </c>
      <c r="Y119" s="688">
        <f>IF(AND(FullTerm&gt;=B119,AB118&gt;0),AB118*'Pricing - Advanced'!$I$128,0)</f>
        <v>0</v>
      </c>
      <c r="Z119" s="233">
        <f t="shared" si="227"/>
        <v>0</v>
      </c>
      <c r="AA119" s="234"/>
      <c r="AB119" s="597">
        <f t="shared" si="228"/>
        <v>0</v>
      </c>
      <c r="AC119" s="236">
        <f t="shared" si="185"/>
        <v>0</v>
      </c>
      <c r="AF119" s="762" t="e">
        <f t="shared" si="229"/>
        <v>#N/A</v>
      </c>
      <c r="AG119" s="759" t="e">
        <f t="shared" si="186"/>
        <v>#N/A</v>
      </c>
      <c r="AH119" s="759">
        <f>IF(J119=0,0,J119-SUM($N$6:N119)-AB118)</f>
        <v>0</v>
      </c>
      <c r="AI119" s="759">
        <f t="shared" si="187"/>
        <v>0</v>
      </c>
      <c r="AJ119" s="760">
        <f t="shared" si="176"/>
        <v>3.0000000000000001E-3</v>
      </c>
      <c r="AK119" s="760">
        <f t="shared" si="177"/>
        <v>3.0000000000000001E-3</v>
      </c>
      <c r="AN119" s="1" t="b">
        <f t="shared" si="238"/>
        <v>1</v>
      </c>
      <c r="AQ119" s="15">
        <f>IF(J118&gt;1,IF(int_method=2,$AG$229*J118,$AG$229*'Pricing - Advanced'!$E$4),0)</f>
        <v>0</v>
      </c>
      <c r="AR119" s="5">
        <f t="shared" si="230"/>
        <v>0</v>
      </c>
      <c r="AS119" s="204">
        <f t="shared" si="239"/>
        <v>43783</v>
      </c>
      <c r="AT119" s="1">
        <f>IF($AT$4=FALSE,B119*'Pricing - Advanced'!$K$5,AT118+E119-E118)</f>
        <v>3440</v>
      </c>
      <c r="AW119">
        <f t="shared" si="231"/>
        <v>0</v>
      </c>
      <c r="AX119">
        <f t="shared" si="188"/>
        <v>0</v>
      </c>
      <c r="AY119">
        <f t="shared" si="189"/>
        <v>0</v>
      </c>
      <c r="AZ119">
        <f t="shared" si="190"/>
        <v>0</v>
      </c>
      <c r="BA119" s="603">
        <f t="shared" si="168"/>
        <v>0</v>
      </c>
      <c r="BB119" s="603">
        <f t="shared" si="169"/>
        <v>0</v>
      </c>
      <c r="BC119" s="5">
        <f t="shared" si="191"/>
        <v>0</v>
      </c>
      <c r="BE119" s="157">
        <f t="shared" si="192"/>
        <v>113</v>
      </c>
      <c r="BF119" s="489">
        <f t="shared" si="232"/>
        <v>3440</v>
      </c>
      <c r="BG119" s="146">
        <f t="shared" si="193"/>
        <v>0</v>
      </c>
      <c r="BH119" s="147">
        <f t="shared" si="194"/>
        <v>0</v>
      </c>
      <c r="BI119" s="154" t="e">
        <f t="shared" si="195"/>
        <v>#NUM!</v>
      </c>
      <c r="BJ119" s="277" t="e">
        <f t="shared" si="181"/>
        <v>#NUM!</v>
      </c>
      <c r="BK119" s="147" t="e">
        <f t="shared" si="182"/>
        <v>#NUM!</v>
      </c>
      <c r="BL119" s="132" t="e">
        <f t="shared" si="183"/>
        <v>#NUM!</v>
      </c>
      <c r="BN119" s="497">
        <f t="shared" si="196"/>
        <v>113</v>
      </c>
      <c r="BO119" s="497">
        <f t="shared" si="197"/>
        <v>3440</v>
      </c>
      <c r="BP119">
        <f t="shared" si="198"/>
        <v>0</v>
      </c>
      <c r="BQ119">
        <f t="shared" si="199"/>
        <v>0</v>
      </c>
      <c r="BR119" s="499" t="e">
        <f t="shared" si="200"/>
        <v>#NUM!</v>
      </c>
      <c r="BS119" s="277" t="e">
        <f t="shared" si="180"/>
        <v>#NUM!</v>
      </c>
      <c r="BT119" s="5" t="e">
        <f t="shared" si="201"/>
        <v>#NUM!</v>
      </c>
      <c r="BU119" s="5" t="e">
        <f t="shared" si="202"/>
        <v>#NUM!</v>
      </c>
      <c r="BW119" s="5"/>
      <c r="BX119" s="5"/>
      <c r="BY119" s="5"/>
      <c r="BZ119" s="5"/>
      <c r="CA119" s="130" t="e">
        <f t="shared" si="203"/>
        <v>#NUM!</v>
      </c>
      <c r="CB119" s="5"/>
      <c r="CC119" s="5" t="e">
        <f t="shared" si="204"/>
        <v>#NUM!</v>
      </c>
      <c r="CD119" s="5" t="e">
        <f t="shared" si="205"/>
        <v>#NUM!</v>
      </c>
      <c r="CE119" s="5"/>
      <c r="CI119" s="130">
        <f t="shared" si="206"/>
        <v>3.9329925613297054</v>
      </c>
      <c r="CJ119" s="130">
        <f t="shared" si="207"/>
        <v>3.9338734831690019</v>
      </c>
      <c r="CK119" s="296">
        <f t="shared" si="233"/>
        <v>4.325157824628616</v>
      </c>
      <c r="CL119" s="130">
        <f t="shared" si="208"/>
        <v>4.325157824628616</v>
      </c>
      <c r="CM119" s="5">
        <f t="shared" si="234"/>
        <v>0</v>
      </c>
      <c r="CN119" s="5">
        <f t="shared" si="209"/>
        <v>0</v>
      </c>
      <c r="DE119" s="130" t="e">
        <f t="shared" si="210"/>
        <v>#NUM!</v>
      </c>
      <c r="DF119" s="130" t="e">
        <f t="shared" si="211"/>
        <v>#NUM!</v>
      </c>
      <c r="DG119" s="130" t="e">
        <f t="shared" si="235"/>
        <v>#NUM!</v>
      </c>
      <c r="DH119" s="130" t="e">
        <f t="shared" si="212"/>
        <v>#NUM!</v>
      </c>
      <c r="DJ119" s="130" t="e">
        <f t="shared" si="213"/>
        <v>#NUM!</v>
      </c>
      <c r="DK119" s="130" t="e">
        <f t="shared" si="214"/>
        <v>#NUM!</v>
      </c>
      <c r="DL119" s="130" t="e">
        <f t="shared" si="236"/>
        <v>#NUM!</v>
      </c>
      <c r="DO119" s="130" t="e">
        <f t="shared" si="215"/>
        <v>#NUM!</v>
      </c>
      <c r="DP119" s="130" t="e">
        <f t="shared" si="216"/>
        <v>#NUM!</v>
      </c>
      <c r="DQ119" s="130" t="e">
        <f t="shared" si="237"/>
        <v>#NUM!</v>
      </c>
    </row>
    <row r="120" spans="2:121" hidden="1">
      <c r="B120" s="231">
        <v>114</v>
      </c>
      <c r="C120" s="280"/>
      <c r="D120" s="475"/>
      <c r="E120" s="318">
        <f t="shared" si="217"/>
        <v>43813</v>
      </c>
      <c r="F120" s="542">
        <f t="shared" si="240"/>
        <v>0</v>
      </c>
      <c r="G120" s="239"/>
      <c r="H120" s="685">
        <f t="shared" si="218"/>
        <v>0</v>
      </c>
      <c r="I120" s="234"/>
      <c r="J120" s="597">
        <f t="shared" si="219"/>
        <v>0</v>
      </c>
      <c r="K120" s="478">
        <f t="shared" si="220"/>
        <v>0</v>
      </c>
      <c r="L120" s="234"/>
      <c r="M120" s="235">
        <f t="shared" si="221"/>
        <v>0</v>
      </c>
      <c r="N120" s="479">
        <f t="shared" si="222"/>
        <v>0</v>
      </c>
      <c r="O120" s="234"/>
      <c r="P120" s="235">
        <f t="shared" si="223"/>
        <v>0</v>
      </c>
      <c r="Q120" s="651">
        <f t="shared" si="224"/>
        <v>0</v>
      </c>
      <c r="R120" s="479">
        <f>IF(J120&gt;0,IF(OR(ManualMode=FALSE,ISBLANK(S120)),'Pricing - Advanced'!$F$16*J120+'Pricing - Advanced'!$F$17,"N/A"),0)</f>
        <v>0</v>
      </c>
      <c r="S120" s="234"/>
      <c r="T120" s="235">
        <f t="shared" si="225"/>
        <v>0</v>
      </c>
      <c r="U120" s="599">
        <f>IF(OR(ManualMode=FALSE,ISBLANK(V120)),SUM(K120:L120)*'Pricing - Advanced'!$F$19+SUM(N120,O120)*'Pricing - Advanced'!$F$18,"N/A")</f>
        <v>0</v>
      </c>
      <c r="V120" s="234"/>
      <c r="W120" s="236">
        <f t="shared" si="226"/>
        <v>0</v>
      </c>
      <c r="X120" s="237">
        <f>'Pricing - Advanced'!$F$20*SUM(H120:I120)+IF(J120&gt;1,'Pricing - Advanced'!$F$21,0)</f>
        <v>0</v>
      </c>
      <c r="Y120" s="688">
        <f>IF(AND(FullTerm&gt;=B120,AB119&gt;0),AB119*'Pricing - Advanced'!$I$128,0)</f>
        <v>0</v>
      </c>
      <c r="Z120" s="233">
        <f t="shared" si="227"/>
        <v>0</v>
      </c>
      <c r="AA120" s="234"/>
      <c r="AB120" s="597">
        <f t="shared" si="228"/>
        <v>0</v>
      </c>
      <c r="AC120" s="236">
        <f t="shared" si="185"/>
        <v>0</v>
      </c>
      <c r="AF120" s="762" t="e">
        <f t="shared" si="229"/>
        <v>#N/A</v>
      </c>
      <c r="AG120" s="759" t="e">
        <f t="shared" si="186"/>
        <v>#N/A</v>
      </c>
      <c r="AH120" s="759">
        <f>IF(J120=0,0,J120-SUM($N$6:N120)-AB119)</f>
        <v>0</v>
      </c>
      <c r="AI120" s="759">
        <f t="shared" si="187"/>
        <v>0</v>
      </c>
      <c r="AJ120" s="760">
        <f t="shared" si="176"/>
        <v>3.0000000000000001E-3</v>
      </c>
      <c r="AK120" s="760">
        <f t="shared" si="177"/>
        <v>3.0000000000000001E-3</v>
      </c>
      <c r="AN120" s="1" t="b">
        <f t="shared" si="238"/>
        <v>1</v>
      </c>
      <c r="AQ120" s="15">
        <f>IF(J119&gt;1,IF(int_method=2,$AG$229*J119,$AG$229*'Pricing - Advanced'!$E$4),0)</f>
        <v>0</v>
      </c>
      <c r="AR120" s="5">
        <f t="shared" si="230"/>
        <v>0</v>
      </c>
      <c r="AS120" s="204">
        <f t="shared" si="239"/>
        <v>43813</v>
      </c>
      <c r="AT120" s="1">
        <f>IF($AT$4=FALSE,B120*'Pricing - Advanced'!$K$5,AT119+E120-E119)</f>
        <v>3470</v>
      </c>
      <c r="AW120">
        <f t="shared" si="231"/>
        <v>0</v>
      </c>
      <c r="AX120">
        <f t="shared" si="188"/>
        <v>0</v>
      </c>
      <c r="AY120">
        <f t="shared" si="189"/>
        <v>0</v>
      </c>
      <c r="AZ120">
        <f t="shared" si="190"/>
        <v>0</v>
      </c>
      <c r="BA120" s="603">
        <f t="shared" si="168"/>
        <v>0</v>
      </c>
      <c r="BB120" s="603">
        <f t="shared" si="169"/>
        <v>0</v>
      </c>
      <c r="BC120" s="5">
        <f t="shared" si="191"/>
        <v>0</v>
      </c>
      <c r="BE120" s="157">
        <f t="shared" si="192"/>
        <v>114</v>
      </c>
      <c r="BF120" s="489">
        <f t="shared" si="232"/>
        <v>3470</v>
      </c>
      <c r="BG120" s="146">
        <f t="shared" si="193"/>
        <v>0</v>
      </c>
      <c r="BH120" s="147">
        <f t="shared" si="194"/>
        <v>0</v>
      </c>
      <c r="BI120" s="154" t="e">
        <f t="shared" si="195"/>
        <v>#NUM!</v>
      </c>
      <c r="BJ120" s="277" t="e">
        <f t="shared" si="181"/>
        <v>#NUM!</v>
      </c>
      <c r="BK120" s="147" t="e">
        <f t="shared" si="182"/>
        <v>#NUM!</v>
      </c>
      <c r="BL120" s="132" t="e">
        <f t="shared" si="183"/>
        <v>#NUM!</v>
      </c>
      <c r="BN120" s="497">
        <f t="shared" si="196"/>
        <v>114</v>
      </c>
      <c r="BO120" s="497">
        <f t="shared" si="197"/>
        <v>3470</v>
      </c>
      <c r="BP120">
        <f t="shared" si="198"/>
        <v>0</v>
      </c>
      <c r="BQ120">
        <f t="shared" si="199"/>
        <v>0</v>
      </c>
      <c r="BR120" s="499" t="e">
        <f t="shared" si="200"/>
        <v>#NUM!</v>
      </c>
      <c r="BS120" s="277" t="e">
        <f t="shared" si="180"/>
        <v>#NUM!</v>
      </c>
      <c r="BT120" s="5" t="e">
        <f t="shared" si="201"/>
        <v>#NUM!</v>
      </c>
      <c r="BU120" s="5" t="e">
        <f t="shared" si="202"/>
        <v>#NUM!</v>
      </c>
      <c r="BW120" s="5"/>
      <c r="BX120" s="5"/>
      <c r="BY120" s="5"/>
      <c r="BZ120" s="5"/>
      <c r="CA120" s="130" t="e">
        <f t="shared" si="203"/>
        <v>#NUM!</v>
      </c>
      <c r="CB120" s="5"/>
      <c r="CC120" s="5" t="e">
        <f t="shared" si="204"/>
        <v>#NUM!</v>
      </c>
      <c r="CD120" s="5" t="e">
        <f t="shared" si="205"/>
        <v>#NUM!</v>
      </c>
      <c r="CE120" s="5"/>
      <c r="CI120" s="130">
        <f t="shared" si="206"/>
        <v>3.9809448535045142</v>
      </c>
      <c r="CJ120" s="130">
        <f t="shared" si="207"/>
        <v>3.9811429834290224</v>
      </c>
      <c r="CK120" s="296">
        <f t="shared" si="233"/>
        <v>4.3815754581670765</v>
      </c>
      <c r="CL120" s="130">
        <f t="shared" si="208"/>
        <v>4.3815754581670765</v>
      </c>
      <c r="CM120" s="5">
        <f t="shared" si="234"/>
        <v>0</v>
      </c>
      <c r="CN120" s="5">
        <f t="shared" si="209"/>
        <v>0</v>
      </c>
      <c r="DE120" s="130" t="e">
        <f t="shared" si="210"/>
        <v>#NUM!</v>
      </c>
      <c r="DF120" s="130" t="e">
        <f t="shared" si="211"/>
        <v>#NUM!</v>
      </c>
      <c r="DG120" s="130" t="e">
        <f t="shared" si="235"/>
        <v>#NUM!</v>
      </c>
      <c r="DH120" s="130" t="e">
        <f t="shared" si="212"/>
        <v>#NUM!</v>
      </c>
      <c r="DJ120" s="130" t="e">
        <f t="shared" si="213"/>
        <v>#NUM!</v>
      </c>
      <c r="DK120" s="130" t="e">
        <f t="shared" si="214"/>
        <v>#NUM!</v>
      </c>
      <c r="DL120" s="130" t="e">
        <f t="shared" si="236"/>
        <v>#NUM!</v>
      </c>
      <c r="DO120" s="130" t="e">
        <f t="shared" si="215"/>
        <v>#NUM!</v>
      </c>
      <c r="DP120" s="130" t="e">
        <f t="shared" si="216"/>
        <v>#NUM!</v>
      </c>
      <c r="DQ120" s="130" t="e">
        <f t="shared" si="237"/>
        <v>#NUM!</v>
      </c>
    </row>
    <row r="121" spans="2:121" hidden="1">
      <c r="B121" s="231">
        <v>115</v>
      </c>
      <c r="C121" s="280"/>
      <c r="D121" s="475"/>
      <c r="E121" s="318">
        <f t="shared" si="217"/>
        <v>43844</v>
      </c>
      <c r="F121" s="542">
        <f t="shared" si="240"/>
        <v>0</v>
      </c>
      <c r="G121" s="239"/>
      <c r="H121" s="685">
        <f t="shared" si="218"/>
        <v>0</v>
      </c>
      <c r="I121" s="234"/>
      <c r="J121" s="597">
        <f t="shared" si="219"/>
        <v>0</v>
      </c>
      <c r="K121" s="478">
        <f t="shared" si="220"/>
        <v>0</v>
      </c>
      <c r="L121" s="234"/>
      <c r="M121" s="235">
        <f t="shared" si="221"/>
        <v>0</v>
      </c>
      <c r="N121" s="479">
        <f t="shared" si="222"/>
        <v>0</v>
      </c>
      <c r="O121" s="234"/>
      <c r="P121" s="235">
        <f t="shared" si="223"/>
        <v>0</v>
      </c>
      <c r="Q121" s="651">
        <f t="shared" si="224"/>
        <v>0</v>
      </c>
      <c r="R121" s="479">
        <f>IF(J121&gt;0,IF(OR(ManualMode=FALSE,ISBLANK(S121)),'Pricing - Advanced'!$F$16*J121+'Pricing - Advanced'!$F$17,"N/A"),0)</f>
        <v>0</v>
      </c>
      <c r="S121" s="234"/>
      <c r="T121" s="235">
        <f t="shared" si="225"/>
        <v>0</v>
      </c>
      <c r="U121" s="599">
        <f>IF(OR(ManualMode=FALSE,ISBLANK(V121)),SUM(K121:L121)*'Pricing - Advanced'!$F$19+SUM(N121,O121)*'Pricing - Advanced'!$F$18,"N/A")</f>
        <v>0</v>
      </c>
      <c r="V121" s="234"/>
      <c r="W121" s="236">
        <f t="shared" si="226"/>
        <v>0</v>
      </c>
      <c r="X121" s="237">
        <f>'Pricing - Advanced'!$F$20*SUM(H121:I121)+IF(J121&gt;1,'Pricing - Advanced'!$F$21,0)</f>
        <v>0</v>
      </c>
      <c r="Y121" s="688">
        <f>IF(AND(FullTerm&gt;=B121,AB120&gt;0),AB120*'Pricing - Advanced'!$I$128,0)</f>
        <v>0</v>
      </c>
      <c r="Z121" s="233">
        <f t="shared" si="227"/>
        <v>0</v>
      </c>
      <c r="AA121" s="234"/>
      <c r="AB121" s="597">
        <f t="shared" si="228"/>
        <v>0</v>
      </c>
      <c r="AC121" s="236">
        <f t="shared" si="185"/>
        <v>0</v>
      </c>
      <c r="AF121" s="762" t="e">
        <f t="shared" si="229"/>
        <v>#N/A</v>
      </c>
      <c r="AG121" s="759" t="e">
        <f t="shared" si="186"/>
        <v>#N/A</v>
      </c>
      <c r="AH121" s="759">
        <f>IF(J121=0,0,J121-SUM($N$6:N121)-AB120)</f>
        <v>0</v>
      </c>
      <c r="AI121" s="759">
        <f t="shared" si="187"/>
        <v>0</v>
      </c>
      <c r="AJ121" s="760">
        <f t="shared" si="176"/>
        <v>3.0000000000000001E-3</v>
      </c>
      <c r="AK121" s="760">
        <f t="shared" si="177"/>
        <v>3.0000000000000001E-3</v>
      </c>
      <c r="AN121" s="1" t="b">
        <f t="shared" si="238"/>
        <v>1</v>
      </c>
      <c r="AQ121" s="15">
        <f>IF(J120&gt;1,IF(int_method=2,$AG$229*J120,$AG$229*'Pricing - Advanced'!$E$4),0)</f>
        <v>0</v>
      </c>
      <c r="AR121" s="5">
        <f t="shared" si="230"/>
        <v>0</v>
      </c>
      <c r="AS121" s="204">
        <f t="shared" si="239"/>
        <v>43844</v>
      </c>
      <c r="AT121" s="1">
        <f>IF($AT$4=FALSE,B121*'Pricing - Advanced'!$K$5,AT120+E121-E120)</f>
        <v>3501</v>
      </c>
      <c r="AW121">
        <f t="shared" si="231"/>
        <v>0</v>
      </c>
      <c r="AX121">
        <f t="shared" si="188"/>
        <v>0</v>
      </c>
      <c r="AY121">
        <f t="shared" si="189"/>
        <v>0</v>
      </c>
      <c r="AZ121">
        <f t="shared" si="190"/>
        <v>0</v>
      </c>
      <c r="BA121" s="603">
        <f t="shared" si="168"/>
        <v>0</v>
      </c>
      <c r="BB121" s="603">
        <f t="shared" si="169"/>
        <v>0</v>
      </c>
      <c r="BC121" s="5">
        <f t="shared" si="191"/>
        <v>0</v>
      </c>
      <c r="BE121" s="157">
        <f t="shared" si="192"/>
        <v>115</v>
      </c>
      <c r="BF121" s="489">
        <f t="shared" si="232"/>
        <v>3501</v>
      </c>
      <c r="BG121" s="146">
        <f t="shared" si="193"/>
        <v>0</v>
      </c>
      <c r="BH121" s="147">
        <f t="shared" si="194"/>
        <v>0</v>
      </c>
      <c r="BI121" s="154" t="e">
        <f t="shared" si="195"/>
        <v>#NUM!</v>
      </c>
      <c r="BJ121" s="277" t="e">
        <f t="shared" si="181"/>
        <v>#NUM!</v>
      </c>
      <c r="BK121" s="147" t="e">
        <f t="shared" si="182"/>
        <v>#NUM!</v>
      </c>
      <c r="BL121" s="132" t="e">
        <f t="shared" si="183"/>
        <v>#NUM!</v>
      </c>
      <c r="BN121" s="497">
        <f t="shared" si="196"/>
        <v>115</v>
      </c>
      <c r="BO121" s="497">
        <f t="shared" si="197"/>
        <v>3501</v>
      </c>
      <c r="BP121">
        <f t="shared" si="198"/>
        <v>0</v>
      </c>
      <c r="BQ121">
        <f t="shared" si="199"/>
        <v>0</v>
      </c>
      <c r="BR121" s="499" t="e">
        <f t="shared" si="200"/>
        <v>#NUM!</v>
      </c>
      <c r="BS121" s="277" t="e">
        <f t="shared" si="180"/>
        <v>#NUM!</v>
      </c>
      <c r="BT121" s="5" t="e">
        <f t="shared" si="201"/>
        <v>#NUM!</v>
      </c>
      <c r="BU121" s="5" t="e">
        <f t="shared" si="202"/>
        <v>#NUM!</v>
      </c>
      <c r="BW121" s="5"/>
      <c r="BX121" s="5"/>
      <c r="BY121" s="5"/>
      <c r="BZ121" s="5"/>
      <c r="CA121" s="130" t="e">
        <f t="shared" si="203"/>
        <v>#NUM!</v>
      </c>
      <c r="CB121" s="5"/>
      <c r="CC121" s="5" t="e">
        <f t="shared" si="204"/>
        <v>#NUM!</v>
      </c>
      <c r="CD121" s="5" t="e">
        <f t="shared" si="205"/>
        <v>#NUM!</v>
      </c>
      <c r="CE121" s="5"/>
      <c r="CI121" s="130">
        <f t="shared" si="206"/>
        <v>4.029481795227718</v>
      </c>
      <c r="CJ121" s="130">
        <f t="shared" si="207"/>
        <v>4.0305849194810914</v>
      </c>
      <c r="CK121" s="296">
        <f t="shared" si="233"/>
        <v>4.4387290069028866</v>
      </c>
      <c r="CL121" s="130">
        <f t="shared" si="208"/>
        <v>4.4387290069028866</v>
      </c>
      <c r="CM121" s="5">
        <f t="shared" si="234"/>
        <v>0</v>
      </c>
      <c r="CN121" s="5">
        <f t="shared" si="209"/>
        <v>0</v>
      </c>
      <c r="DE121" s="130" t="e">
        <f t="shared" si="210"/>
        <v>#NUM!</v>
      </c>
      <c r="DF121" s="130" t="e">
        <f t="shared" si="211"/>
        <v>#NUM!</v>
      </c>
      <c r="DG121" s="130" t="e">
        <f t="shared" si="235"/>
        <v>#NUM!</v>
      </c>
      <c r="DH121" s="130" t="e">
        <f t="shared" si="212"/>
        <v>#NUM!</v>
      </c>
      <c r="DJ121" s="130" t="e">
        <f t="shared" si="213"/>
        <v>#NUM!</v>
      </c>
      <c r="DK121" s="130" t="e">
        <f t="shared" si="214"/>
        <v>#NUM!</v>
      </c>
      <c r="DL121" s="130" t="e">
        <f t="shared" si="236"/>
        <v>#NUM!</v>
      </c>
      <c r="DO121" s="130" t="e">
        <f t="shared" si="215"/>
        <v>#NUM!</v>
      </c>
      <c r="DP121" s="130" t="e">
        <f t="shared" si="216"/>
        <v>#NUM!</v>
      </c>
      <c r="DQ121" s="130" t="e">
        <f t="shared" si="237"/>
        <v>#NUM!</v>
      </c>
    </row>
    <row r="122" spans="2:121" hidden="1">
      <c r="B122" s="231">
        <v>116</v>
      </c>
      <c r="C122" s="280"/>
      <c r="D122" s="475"/>
      <c r="E122" s="318">
        <f t="shared" si="217"/>
        <v>43875</v>
      </c>
      <c r="F122" s="542">
        <f t="shared" si="240"/>
        <v>0</v>
      </c>
      <c r="G122" s="239"/>
      <c r="H122" s="685">
        <f t="shared" si="218"/>
        <v>0</v>
      </c>
      <c r="I122" s="234"/>
      <c r="J122" s="597">
        <f t="shared" si="219"/>
        <v>0</v>
      </c>
      <c r="K122" s="478">
        <f t="shared" si="220"/>
        <v>0</v>
      </c>
      <c r="L122" s="234"/>
      <c r="M122" s="235">
        <f t="shared" si="221"/>
        <v>0</v>
      </c>
      <c r="N122" s="479">
        <f t="shared" si="222"/>
        <v>0</v>
      </c>
      <c r="O122" s="234"/>
      <c r="P122" s="235">
        <f t="shared" si="223"/>
        <v>0</v>
      </c>
      <c r="Q122" s="651">
        <f t="shared" si="224"/>
        <v>0</v>
      </c>
      <c r="R122" s="479">
        <f>IF(J122&gt;0,IF(OR(ManualMode=FALSE,ISBLANK(S122)),'Pricing - Advanced'!$F$16*J122+'Pricing - Advanced'!$F$17,"N/A"),0)</f>
        <v>0</v>
      </c>
      <c r="S122" s="234"/>
      <c r="T122" s="235">
        <f t="shared" si="225"/>
        <v>0</v>
      </c>
      <c r="U122" s="599">
        <f>IF(OR(ManualMode=FALSE,ISBLANK(V122)),SUM(K122:L122)*'Pricing - Advanced'!$F$19+SUM(N122,O122)*'Pricing - Advanced'!$F$18,"N/A")</f>
        <v>0</v>
      </c>
      <c r="V122" s="234"/>
      <c r="W122" s="236">
        <f t="shared" si="226"/>
        <v>0</v>
      </c>
      <c r="X122" s="237">
        <f>'Pricing - Advanced'!$F$20*SUM(H122:I122)+IF(J122&gt;1,'Pricing - Advanced'!$F$21,0)</f>
        <v>0</v>
      </c>
      <c r="Y122" s="688">
        <f>IF(AND(FullTerm&gt;=B122,AB121&gt;0),AB121*'Pricing - Advanced'!$I$128,0)</f>
        <v>0</v>
      </c>
      <c r="Z122" s="233">
        <f t="shared" si="227"/>
        <v>0</v>
      </c>
      <c r="AA122" s="234"/>
      <c r="AB122" s="597">
        <f t="shared" si="228"/>
        <v>0</v>
      </c>
      <c r="AC122" s="236">
        <f t="shared" si="185"/>
        <v>0</v>
      </c>
      <c r="AF122" s="762" t="e">
        <f t="shared" si="229"/>
        <v>#N/A</v>
      </c>
      <c r="AG122" s="759" t="e">
        <f t="shared" si="186"/>
        <v>#N/A</v>
      </c>
      <c r="AH122" s="759">
        <f>IF(J122=0,0,J122-SUM($N$6:N122)-AB121)</f>
        <v>0</v>
      </c>
      <c r="AI122" s="759">
        <f t="shared" si="187"/>
        <v>0</v>
      </c>
      <c r="AJ122" s="760">
        <f t="shared" si="176"/>
        <v>3.0000000000000001E-3</v>
      </c>
      <c r="AK122" s="760">
        <f t="shared" si="177"/>
        <v>3.0000000000000001E-3</v>
      </c>
      <c r="AN122" s="1" t="b">
        <f t="shared" si="238"/>
        <v>1</v>
      </c>
      <c r="AQ122" s="15">
        <f>IF(J121&gt;1,IF(int_method=2,$AG$229*J121,$AG$229*'Pricing - Advanced'!$E$4),0)</f>
        <v>0</v>
      </c>
      <c r="AR122" s="5">
        <f t="shared" si="230"/>
        <v>0</v>
      </c>
      <c r="AS122" s="204">
        <f t="shared" si="239"/>
        <v>43875</v>
      </c>
      <c r="AT122" s="1">
        <f>IF($AT$4=FALSE,B122*'Pricing - Advanced'!$K$5,AT121+E122-E121)</f>
        <v>3532</v>
      </c>
      <c r="AW122">
        <f t="shared" si="231"/>
        <v>0</v>
      </c>
      <c r="AX122">
        <f t="shared" si="188"/>
        <v>0</v>
      </c>
      <c r="AY122">
        <f t="shared" si="189"/>
        <v>0</v>
      </c>
      <c r="AZ122">
        <f t="shared" si="190"/>
        <v>0</v>
      </c>
      <c r="BA122" s="603">
        <f t="shared" si="168"/>
        <v>0</v>
      </c>
      <c r="BB122" s="603">
        <f t="shared" si="169"/>
        <v>0</v>
      </c>
      <c r="BC122" s="5">
        <f t="shared" si="191"/>
        <v>0</v>
      </c>
      <c r="BE122" s="157">
        <f t="shared" si="192"/>
        <v>116</v>
      </c>
      <c r="BF122" s="489">
        <f t="shared" si="232"/>
        <v>3532</v>
      </c>
      <c r="BG122" s="146">
        <f t="shared" si="193"/>
        <v>0</v>
      </c>
      <c r="BH122" s="147">
        <f t="shared" si="194"/>
        <v>0</v>
      </c>
      <c r="BI122" s="154" t="e">
        <f t="shared" si="195"/>
        <v>#NUM!</v>
      </c>
      <c r="BJ122" s="277" t="e">
        <f t="shared" si="181"/>
        <v>#NUM!</v>
      </c>
      <c r="BK122" s="147" t="e">
        <f t="shared" si="182"/>
        <v>#NUM!</v>
      </c>
      <c r="BL122" s="132" t="e">
        <f t="shared" si="183"/>
        <v>#NUM!</v>
      </c>
      <c r="BN122" s="497">
        <f t="shared" si="196"/>
        <v>116</v>
      </c>
      <c r="BO122" s="497">
        <f t="shared" si="197"/>
        <v>3532</v>
      </c>
      <c r="BP122">
        <f t="shared" si="198"/>
        <v>0</v>
      </c>
      <c r="BQ122">
        <f t="shared" si="199"/>
        <v>0</v>
      </c>
      <c r="BR122" s="499" t="e">
        <f t="shared" si="200"/>
        <v>#NUM!</v>
      </c>
      <c r="BS122" s="277" t="e">
        <f t="shared" si="180"/>
        <v>#NUM!</v>
      </c>
      <c r="BT122" s="5" t="e">
        <f t="shared" si="201"/>
        <v>#NUM!</v>
      </c>
      <c r="BU122" s="5" t="e">
        <f t="shared" si="202"/>
        <v>#NUM!</v>
      </c>
      <c r="BW122" s="5"/>
      <c r="BX122" s="5"/>
      <c r="BY122" s="5"/>
      <c r="BZ122" s="5"/>
      <c r="CA122" s="130" t="e">
        <f t="shared" si="203"/>
        <v>#NUM!</v>
      </c>
      <c r="CB122" s="5"/>
      <c r="CC122" s="5" t="e">
        <f t="shared" si="204"/>
        <v>#NUM!</v>
      </c>
      <c r="CD122" s="5" t="e">
        <f t="shared" si="205"/>
        <v>#NUM!</v>
      </c>
      <c r="CE122" s="5"/>
      <c r="CI122" s="130">
        <f t="shared" si="206"/>
        <v>4.0786105147319578</v>
      </c>
      <c r="CJ122" s="130">
        <f t="shared" si="207"/>
        <v>4.080640876443927</v>
      </c>
      <c r="CK122" s="296">
        <f t="shared" si="233"/>
        <v>4.49662807016065</v>
      </c>
      <c r="CL122" s="130">
        <f t="shared" si="208"/>
        <v>4.49662807016065</v>
      </c>
      <c r="CM122" s="5">
        <f t="shared" si="234"/>
        <v>0</v>
      </c>
      <c r="CN122" s="5">
        <f t="shared" si="209"/>
        <v>0</v>
      </c>
      <c r="DE122" s="130" t="e">
        <f t="shared" si="210"/>
        <v>#NUM!</v>
      </c>
      <c r="DF122" s="130" t="e">
        <f t="shared" si="211"/>
        <v>#NUM!</v>
      </c>
      <c r="DG122" s="130" t="e">
        <f t="shared" si="235"/>
        <v>#NUM!</v>
      </c>
      <c r="DH122" s="130" t="e">
        <f t="shared" si="212"/>
        <v>#NUM!</v>
      </c>
      <c r="DJ122" s="130" t="e">
        <f t="shared" si="213"/>
        <v>#NUM!</v>
      </c>
      <c r="DK122" s="130" t="e">
        <f t="shared" si="214"/>
        <v>#NUM!</v>
      </c>
      <c r="DL122" s="130" t="e">
        <f t="shared" si="236"/>
        <v>#NUM!</v>
      </c>
      <c r="DO122" s="130" t="e">
        <f t="shared" si="215"/>
        <v>#NUM!</v>
      </c>
      <c r="DP122" s="130" t="e">
        <f t="shared" si="216"/>
        <v>#NUM!</v>
      </c>
      <c r="DQ122" s="130" t="e">
        <f t="shared" si="237"/>
        <v>#NUM!</v>
      </c>
    </row>
    <row r="123" spans="2:121" hidden="1">
      <c r="B123" s="231">
        <v>117</v>
      </c>
      <c r="C123" s="280"/>
      <c r="D123" s="475"/>
      <c r="E123" s="318">
        <f t="shared" si="217"/>
        <v>43904</v>
      </c>
      <c r="F123" s="542">
        <f t="shared" si="240"/>
        <v>0</v>
      </c>
      <c r="G123" s="239"/>
      <c r="H123" s="685">
        <f t="shared" si="218"/>
        <v>0</v>
      </c>
      <c r="I123" s="234"/>
      <c r="J123" s="597">
        <f t="shared" si="219"/>
        <v>0</v>
      </c>
      <c r="K123" s="478">
        <f t="shared" si="220"/>
        <v>0</v>
      </c>
      <c r="L123" s="234"/>
      <c r="M123" s="235">
        <f t="shared" si="221"/>
        <v>0</v>
      </c>
      <c r="N123" s="479">
        <f t="shared" si="222"/>
        <v>0</v>
      </c>
      <c r="O123" s="234"/>
      <c r="P123" s="235">
        <f t="shared" si="223"/>
        <v>0</v>
      </c>
      <c r="Q123" s="651">
        <f t="shared" si="224"/>
        <v>0</v>
      </c>
      <c r="R123" s="479">
        <f>IF(J123&gt;0,IF(OR(ManualMode=FALSE,ISBLANK(S123)),'Pricing - Advanced'!$F$16*J123+'Pricing - Advanced'!$F$17,"N/A"),0)</f>
        <v>0</v>
      </c>
      <c r="S123" s="234"/>
      <c r="T123" s="235">
        <f t="shared" si="225"/>
        <v>0</v>
      </c>
      <c r="U123" s="599">
        <f>IF(OR(ManualMode=FALSE,ISBLANK(V123)),SUM(K123:L123)*'Pricing - Advanced'!$F$19+SUM(N123,O123)*'Pricing - Advanced'!$F$18,"N/A")</f>
        <v>0</v>
      </c>
      <c r="V123" s="234"/>
      <c r="W123" s="236">
        <f t="shared" si="226"/>
        <v>0</v>
      </c>
      <c r="X123" s="237">
        <f>'Pricing - Advanced'!$F$20*SUM(H123:I123)+IF(J123&gt;1,'Pricing - Advanced'!$F$21,0)</f>
        <v>0</v>
      </c>
      <c r="Y123" s="688">
        <f>IF(AND(FullTerm&gt;=B123,AB122&gt;0),AB122*'Pricing - Advanced'!$I$128,0)</f>
        <v>0</v>
      </c>
      <c r="Z123" s="233">
        <f t="shared" si="227"/>
        <v>0</v>
      </c>
      <c r="AA123" s="234"/>
      <c r="AB123" s="597">
        <f t="shared" si="228"/>
        <v>0</v>
      </c>
      <c r="AC123" s="236">
        <f t="shared" si="185"/>
        <v>0</v>
      </c>
      <c r="AF123" s="762" t="e">
        <f t="shared" si="229"/>
        <v>#N/A</v>
      </c>
      <c r="AG123" s="759" t="e">
        <f t="shared" si="186"/>
        <v>#N/A</v>
      </c>
      <c r="AH123" s="759">
        <f>IF(J123=0,0,J123-SUM($N$6:N123)-AB122)</f>
        <v>0</v>
      </c>
      <c r="AI123" s="759">
        <f t="shared" si="187"/>
        <v>0</v>
      </c>
      <c r="AJ123" s="760">
        <f t="shared" si="176"/>
        <v>3.0000000000000001E-3</v>
      </c>
      <c r="AK123" s="760">
        <f t="shared" si="177"/>
        <v>3.0000000000000001E-3</v>
      </c>
      <c r="AN123" s="1" t="b">
        <f t="shared" si="238"/>
        <v>1</v>
      </c>
      <c r="AQ123" s="15">
        <f>IF(J122&gt;1,IF(int_method=2,$AG$229*J122,$AG$229*'Pricing - Advanced'!$E$4),0)</f>
        <v>0</v>
      </c>
      <c r="AR123" s="5">
        <f t="shared" si="230"/>
        <v>0</v>
      </c>
      <c r="AS123" s="204">
        <f t="shared" si="239"/>
        <v>43904</v>
      </c>
      <c r="AT123" s="1">
        <f>IF($AT$4=FALSE,B123*'Pricing - Advanced'!$K$5,AT122+E123-E122)</f>
        <v>3561</v>
      </c>
      <c r="AW123">
        <f t="shared" si="231"/>
        <v>0</v>
      </c>
      <c r="AX123">
        <f t="shared" si="188"/>
        <v>0</v>
      </c>
      <c r="AY123">
        <f t="shared" si="189"/>
        <v>0</v>
      </c>
      <c r="AZ123">
        <f t="shared" si="190"/>
        <v>0</v>
      </c>
      <c r="BA123" s="603">
        <f t="shared" si="168"/>
        <v>0</v>
      </c>
      <c r="BB123" s="603">
        <f t="shared" si="169"/>
        <v>0</v>
      </c>
      <c r="BC123" s="5">
        <f t="shared" si="191"/>
        <v>0</v>
      </c>
      <c r="BE123" s="157">
        <f t="shared" si="192"/>
        <v>117</v>
      </c>
      <c r="BF123" s="489">
        <f t="shared" si="232"/>
        <v>3561</v>
      </c>
      <c r="BG123" s="146">
        <f t="shared" si="193"/>
        <v>0</v>
      </c>
      <c r="BH123" s="147">
        <f t="shared" si="194"/>
        <v>0</v>
      </c>
      <c r="BI123" s="154" t="e">
        <f t="shared" si="195"/>
        <v>#NUM!</v>
      </c>
      <c r="BJ123" s="277" t="e">
        <f t="shared" si="181"/>
        <v>#NUM!</v>
      </c>
      <c r="BK123" s="147" t="e">
        <f t="shared" si="182"/>
        <v>#NUM!</v>
      </c>
      <c r="BL123" s="132" t="e">
        <f t="shared" si="183"/>
        <v>#NUM!</v>
      </c>
      <c r="BN123" s="497">
        <f t="shared" si="196"/>
        <v>117</v>
      </c>
      <c r="BO123" s="497">
        <f t="shared" si="197"/>
        <v>3561</v>
      </c>
      <c r="BP123">
        <f t="shared" si="198"/>
        <v>0</v>
      </c>
      <c r="BQ123">
        <f t="shared" si="199"/>
        <v>0</v>
      </c>
      <c r="BR123" s="499" t="e">
        <f t="shared" si="200"/>
        <v>#NUM!</v>
      </c>
      <c r="BS123" s="277" t="e">
        <f t="shared" si="180"/>
        <v>#NUM!</v>
      </c>
      <c r="BT123" s="5" t="e">
        <f t="shared" si="201"/>
        <v>#NUM!</v>
      </c>
      <c r="BU123" s="5" t="e">
        <f t="shared" si="202"/>
        <v>#NUM!</v>
      </c>
      <c r="BW123" s="5"/>
      <c r="BX123" s="5"/>
      <c r="BY123" s="5"/>
      <c r="BZ123" s="5"/>
      <c r="CA123" s="130" t="e">
        <f t="shared" si="203"/>
        <v>#NUM!</v>
      </c>
      <c r="CB123" s="5"/>
      <c r="CC123" s="5" t="e">
        <f t="shared" si="204"/>
        <v>#NUM!</v>
      </c>
      <c r="CD123" s="5" t="e">
        <f t="shared" si="205"/>
        <v>#NUM!</v>
      </c>
      <c r="CE123" s="5"/>
      <c r="CI123" s="130">
        <f t="shared" si="206"/>
        <v>4.1283382271595528</v>
      </c>
      <c r="CJ123" s="130">
        <f t="shared" si="207"/>
        <v>4.1280300478874592</v>
      </c>
      <c r="CK123" s="296">
        <f t="shared" si="233"/>
        <v>4.5552823724791702</v>
      </c>
      <c r="CL123" s="130">
        <f t="shared" si="208"/>
        <v>4.5552823724791702</v>
      </c>
      <c r="CM123" s="5">
        <f t="shared" si="234"/>
        <v>0</v>
      </c>
      <c r="CN123" s="5">
        <f t="shared" si="209"/>
        <v>0</v>
      </c>
      <c r="DE123" s="130" t="e">
        <f t="shared" si="210"/>
        <v>#NUM!</v>
      </c>
      <c r="DF123" s="130" t="e">
        <f t="shared" si="211"/>
        <v>#NUM!</v>
      </c>
      <c r="DG123" s="130" t="e">
        <f t="shared" si="235"/>
        <v>#NUM!</v>
      </c>
      <c r="DH123" s="130" t="e">
        <f t="shared" si="212"/>
        <v>#NUM!</v>
      </c>
      <c r="DJ123" s="130" t="e">
        <f t="shared" si="213"/>
        <v>#NUM!</v>
      </c>
      <c r="DK123" s="130" t="e">
        <f t="shared" si="214"/>
        <v>#NUM!</v>
      </c>
      <c r="DL123" s="130" t="e">
        <f t="shared" si="236"/>
        <v>#NUM!</v>
      </c>
      <c r="DO123" s="130" t="e">
        <f t="shared" si="215"/>
        <v>#NUM!</v>
      </c>
      <c r="DP123" s="130" t="e">
        <f t="shared" si="216"/>
        <v>#NUM!</v>
      </c>
      <c r="DQ123" s="130" t="e">
        <f t="shared" si="237"/>
        <v>#NUM!</v>
      </c>
    </row>
    <row r="124" spans="2:121" hidden="1">
      <c r="B124" s="231">
        <v>118</v>
      </c>
      <c r="C124" s="280"/>
      <c r="D124" s="475"/>
      <c r="E124" s="318">
        <f t="shared" si="217"/>
        <v>43935</v>
      </c>
      <c r="F124" s="542">
        <f t="shared" si="240"/>
        <v>0</v>
      </c>
      <c r="G124" s="239"/>
      <c r="H124" s="685">
        <f t="shared" si="218"/>
        <v>0</v>
      </c>
      <c r="I124" s="234"/>
      <c r="J124" s="597">
        <f t="shared" si="219"/>
        <v>0</v>
      </c>
      <c r="K124" s="478">
        <f t="shared" si="220"/>
        <v>0</v>
      </c>
      <c r="L124" s="234"/>
      <c r="M124" s="235">
        <f t="shared" si="221"/>
        <v>0</v>
      </c>
      <c r="N124" s="479">
        <f t="shared" si="222"/>
        <v>0</v>
      </c>
      <c r="O124" s="234"/>
      <c r="P124" s="235">
        <f t="shared" si="223"/>
        <v>0</v>
      </c>
      <c r="Q124" s="651">
        <f t="shared" si="224"/>
        <v>0</v>
      </c>
      <c r="R124" s="479">
        <f>IF(J124&gt;0,IF(OR(ManualMode=FALSE,ISBLANK(S124)),'Pricing - Advanced'!$F$16*J124+'Pricing - Advanced'!$F$17,"N/A"),0)</f>
        <v>0</v>
      </c>
      <c r="S124" s="234"/>
      <c r="T124" s="235">
        <f t="shared" si="225"/>
        <v>0</v>
      </c>
      <c r="U124" s="599">
        <f>IF(OR(ManualMode=FALSE,ISBLANK(V124)),SUM(K124:L124)*'Pricing - Advanced'!$F$19+SUM(N124,O124)*'Pricing - Advanced'!$F$18,"N/A")</f>
        <v>0</v>
      </c>
      <c r="V124" s="234"/>
      <c r="W124" s="236">
        <f t="shared" si="226"/>
        <v>0</v>
      </c>
      <c r="X124" s="237">
        <f>'Pricing - Advanced'!$F$20*SUM(H124:I124)+IF(J124&gt;1,'Pricing - Advanced'!$F$21,0)</f>
        <v>0</v>
      </c>
      <c r="Y124" s="688">
        <f>IF(AND(FullTerm&gt;=B124,AB123&gt;0),AB123*'Pricing - Advanced'!$I$128,0)</f>
        <v>0</v>
      </c>
      <c r="Z124" s="233">
        <f t="shared" si="227"/>
        <v>0</v>
      </c>
      <c r="AA124" s="234"/>
      <c r="AB124" s="597">
        <f t="shared" si="228"/>
        <v>0</v>
      </c>
      <c r="AC124" s="236">
        <f t="shared" si="185"/>
        <v>0</v>
      </c>
      <c r="AF124" s="762" t="e">
        <f t="shared" si="229"/>
        <v>#N/A</v>
      </c>
      <c r="AG124" s="759" t="e">
        <f t="shared" si="186"/>
        <v>#N/A</v>
      </c>
      <c r="AH124" s="759">
        <f>IF(J124=0,0,J124-SUM($N$6:N124)-AB123)</f>
        <v>0</v>
      </c>
      <c r="AI124" s="759">
        <f t="shared" si="187"/>
        <v>0</v>
      </c>
      <c r="AJ124" s="760">
        <f t="shared" si="176"/>
        <v>3.0000000000000001E-3</v>
      </c>
      <c r="AK124" s="760">
        <f t="shared" si="177"/>
        <v>3.0000000000000001E-3</v>
      </c>
      <c r="AN124" s="1" t="b">
        <f t="shared" si="238"/>
        <v>1</v>
      </c>
      <c r="AQ124" s="15">
        <f>IF(J123&gt;1,IF(int_method=2,$AG$229*J123,$AG$229*'Pricing - Advanced'!$E$4),0)</f>
        <v>0</v>
      </c>
      <c r="AR124" s="5">
        <f t="shared" si="230"/>
        <v>0</v>
      </c>
      <c r="AS124" s="204">
        <f t="shared" si="239"/>
        <v>43935</v>
      </c>
      <c r="AT124" s="1">
        <f>IF($AT$4=FALSE,B124*'Pricing - Advanced'!$K$5,AT123+E124-E123)</f>
        <v>3592</v>
      </c>
      <c r="AW124">
        <f t="shared" si="231"/>
        <v>0</v>
      </c>
      <c r="AX124">
        <f t="shared" si="188"/>
        <v>0</v>
      </c>
      <c r="AY124">
        <f t="shared" si="189"/>
        <v>0</v>
      </c>
      <c r="AZ124">
        <f t="shared" si="190"/>
        <v>0</v>
      </c>
      <c r="BA124" s="603">
        <f t="shared" si="168"/>
        <v>0</v>
      </c>
      <c r="BB124" s="603">
        <f t="shared" si="169"/>
        <v>0</v>
      </c>
      <c r="BC124" s="5">
        <f t="shared" si="191"/>
        <v>0</v>
      </c>
      <c r="BE124" s="157">
        <f t="shared" si="192"/>
        <v>118</v>
      </c>
      <c r="BF124" s="489">
        <f t="shared" si="232"/>
        <v>3592</v>
      </c>
      <c r="BG124" s="146">
        <f t="shared" si="193"/>
        <v>0</v>
      </c>
      <c r="BH124" s="147">
        <f t="shared" si="194"/>
        <v>0</v>
      </c>
      <c r="BI124" s="154" t="e">
        <f t="shared" si="195"/>
        <v>#NUM!</v>
      </c>
      <c r="BJ124" s="277" t="e">
        <f t="shared" si="181"/>
        <v>#NUM!</v>
      </c>
      <c r="BK124" s="147" t="e">
        <f t="shared" si="182"/>
        <v>#NUM!</v>
      </c>
      <c r="BL124" s="132" t="e">
        <f t="shared" si="183"/>
        <v>#NUM!</v>
      </c>
      <c r="BN124" s="497">
        <f t="shared" si="196"/>
        <v>118</v>
      </c>
      <c r="BO124" s="497">
        <f t="shared" si="197"/>
        <v>3592</v>
      </c>
      <c r="BP124">
        <f t="shared" si="198"/>
        <v>0</v>
      </c>
      <c r="BQ124">
        <f t="shared" si="199"/>
        <v>0</v>
      </c>
      <c r="BR124" s="499" t="e">
        <f t="shared" si="200"/>
        <v>#NUM!</v>
      </c>
      <c r="BS124" s="277" t="e">
        <f t="shared" si="180"/>
        <v>#NUM!</v>
      </c>
      <c r="BT124" s="5" t="e">
        <f t="shared" si="201"/>
        <v>#NUM!</v>
      </c>
      <c r="BU124" s="5" t="e">
        <f t="shared" si="202"/>
        <v>#NUM!</v>
      </c>
      <c r="BW124" s="5"/>
      <c r="BX124" s="5"/>
      <c r="BY124" s="5"/>
      <c r="BZ124" s="5"/>
      <c r="CA124" s="130" t="e">
        <f t="shared" si="203"/>
        <v>#NUM!</v>
      </c>
      <c r="CB124" s="5"/>
      <c r="CC124" s="5" t="e">
        <f t="shared" si="204"/>
        <v>#NUM!</v>
      </c>
      <c r="CD124" s="5" t="e">
        <f t="shared" si="205"/>
        <v>#NUM!</v>
      </c>
      <c r="CE124" s="5"/>
      <c r="CI124" s="130">
        <f t="shared" si="206"/>
        <v>4.1786722356221215</v>
      </c>
      <c r="CJ124" s="130">
        <f t="shared" si="207"/>
        <v>4.1792961788699925</v>
      </c>
      <c r="CK124" s="296">
        <f t="shared" si="233"/>
        <v>4.6147017652447522</v>
      </c>
      <c r="CL124" s="130">
        <f t="shared" si="208"/>
        <v>4.6147017652447522</v>
      </c>
      <c r="CM124" s="5">
        <f t="shared" si="234"/>
        <v>0</v>
      </c>
      <c r="CN124" s="5">
        <f t="shared" si="209"/>
        <v>0</v>
      </c>
      <c r="DE124" s="130" t="e">
        <f t="shared" si="210"/>
        <v>#NUM!</v>
      </c>
      <c r="DF124" s="130" t="e">
        <f t="shared" si="211"/>
        <v>#NUM!</v>
      </c>
      <c r="DG124" s="130" t="e">
        <f t="shared" si="235"/>
        <v>#NUM!</v>
      </c>
      <c r="DH124" s="130" t="e">
        <f t="shared" si="212"/>
        <v>#NUM!</v>
      </c>
      <c r="DJ124" s="130" t="e">
        <f t="shared" si="213"/>
        <v>#NUM!</v>
      </c>
      <c r="DK124" s="130" t="e">
        <f t="shared" si="214"/>
        <v>#NUM!</v>
      </c>
      <c r="DL124" s="130" t="e">
        <f t="shared" si="236"/>
        <v>#NUM!</v>
      </c>
      <c r="DO124" s="130" t="e">
        <f t="shared" si="215"/>
        <v>#NUM!</v>
      </c>
      <c r="DP124" s="130" t="e">
        <f t="shared" si="216"/>
        <v>#NUM!</v>
      </c>
      <c r="DQ124" s="130" t="e">
        <f t="shared" si="237"/>
        <v>#NUM!</v>
      </c>
    </row>
    <row r="125" spans="2:121" hidden="1">
      <c r="B125" s="231">
        <v>119</v>
      </c>
      <c r="C125" s="280"/>
      <c r="D125" s="475"/>
      <c r="E125" s="318">
        <f t="shared" si="217"/>
        <v>43965</v>
      </c>
      <c r="F125" s="542">
        <f t="shared" si="240"/>
        <v>0</v>
      </c>
      <c r="G125" s="239"/>
      <c r="H125" s="685">
        <f t="shared" si="218"/>
        <v>0</v>
      </c>
      <c r="I125" s="234"/>
      <c r="J125" s="597">
        <f t="shared" si="219"/>
        <v>0</v>
      </c>
      <c r="K125" s="478">
        <f t="shared" si="220"/>
        <v>0</v>
      </c>
      <c r="L125" s="234"/>
      <c r="M125" s="235">
        <f t="shared" si="221"/>
        <v>0</v>
      </c>
      <c r="N125" s="479">
        <f t="shared" si="222"/>
        <v>0</v>
      </c>
      <c r="O125" s="234"/>
      <c r="P125" s="235">
        <f t="shared" si="223"/>
        <v>0</v>
      </c>
      <c r="Q125" s="651">
        <f t="shared" si="224"/>
        <v>0</v>
      </c>
      <c r="R125" s="479">
        <f>IF(J125&gt;0,IF(OR(ManualMode=FALSE,ISBLANK(S125)),'Pricing - Advanced'!$F$16*J125+'Pricing - Advanced'!$F$17,"N/A"),0)</f>
        <v>0</v>
      </c>
      <c r="S125" s="234"/>
      <c r="T125" s="235">
        <f t="shared" si="225"/>
        <v>0</v>
      </c>
      <c r="U125" s="599">
        <f>IF(OR(ManualMode=FALSE,ISBLANK(V125)),SUM(K125:L125)*'Pricing - Advanced'!$F$19+SUM(N125,O125)*'Pricing - Advanced'!$F$18,"N/A")</f>
        <v>0</v>
      </c>
      <c r="V125" s="234"/>
      <c r="W125" s="236">
        <f t="shared" si="226"/>
        <v>0</v>
      </c>
      <c r="X125" s="237">
        <f>'Pricing - Advanced'!$F$20*SUM(H125:I125)+IF(J125&gt;1,'Pricing - Advanced'!$F$21,0)</f>
        <v>0</v>
      </c>
      <c r="Y125" s="688">
        <f>IF(AND(FullTerm&gt;=B125,AB124&gt;0),AB124*'Pricing - Advanced'!$I$128,0)</f>
        <v>0</v>
      </c>
      <c r="Z125" s="233">
        <f t="shared" si="227"/>
        <v>0</v>
      </c>
      <c r="AA125" s="234"/>
      <c r="AB125" s="597">
        <f t="shared" si="228"/>
        <v>0</v>
      </c>
      <c r="AC125" s="236">
        <f t="shared" si="185"/>
        <v>0</v>
      </c>
      <c r="AF125" s="762" t="e">
        <f t="shared" si="229"/>
        <v>#N/A</v>
      </c>
      <c r="AG125" s="759" t="e">
        <f t="shared" si="186"/>
        <v>#N/A</v>
      </c>
      <c r="AH125" s="759">
        <f>IF(J125=0,0,J125-SUM($N$6:N125)-AB124)</f>
        <v>0</v>
      </c>
      <c r="AI125" s="759">
        <f t="shared" si="187"/>
        <v>0</v>
      </c>
      <c r="AJ125" s="760">
        <f t="shared" si="176"/>
        <v>3.0000000000000001E-3</v>
      </c>
      <c r="AK125" s="760">
        <f t="shared" si="177"/>
        <v>3.0000000000000001E-3</v>
      </c>
      <c r="AN125" s="1" t="b">
        <f t="shared" si="238"/>
        <v>1</v>
      </c>
      <c r="AQ125" s="15">
        <f>IF(J124&gt;1,IF(int_method=2,$AG$229*J124,$AG$229*'Pricing - Advanced'!$E$4),0)</f>
        <v>0</v>
      </c>
      <c r="AR125" s="5">
        <f t="shared" si="230"/>
        <v>0</v>
      </c>
      <c r="AS125" s="204">
        <f t="shared" si="239"/>
        <v>43965</v>
      </c>
      <c r="AT125" s="1">
        <f>IF($AT$4=FALSE,B125*'Pricing - Advanced'!$K$5,AT124+E125-E124)</f>
        <v>3622</v>
      </c>
      <c r="AW125">
        <f t="shared" si="231"/>
        <v>0</v>
      </c>
      <c r="AX125">
        <f t="shared" si="188"/>
        <v>0</v>
      </c>
      <c r="AY125">
        <f t="shared" si="189"/>
        <v>0</v>
      </c>
      <c r="AZ125">
        <f t="shared" si="190"/>
        <v>0</v>
      </c>
      <c r="BA125" s="603">
        <f t="shared" si="168"/>
        <v>0</v>
      </c>
      <c r="BB125" s="603">
        <f t="shared" si="169"/>
        <v>0</v>
      </c>
      <c r="BC125" s="5">
        <f t="shared" si="191"/>
        <v>0</v>
      </c>
      <c r="BE125" s="157">
        <f t="shared" si="192"/>
        <v>119</v>
      </c>
      <c r="BF125" s="489">
        <f t="shared" si="232"/>
        <v>3622</v>
      </c>
      <c r="BG125" s="146">
        <f t="shared" si="193"/>
        <v>0</v>
      </c>
      <c r="BH125" s="147">
        <f t="shared" si="194"/>
        <v>0</v>
      </c>
      <c r="BI125" s="154" t="e">
        <f t="shared" si="195"/>
        <v>#NUM!</v>
      </c>
      <c r="BJ125" s="277" t="e">
        <f t="shared" si="181"/>
        <v>#NUM!</v>
      </c>
      <c r="BK125" s="147" t="e">
        <f t="shared" si="182"/>
        <v>#NUM!</v>
      </c>
      <c r="BL125" s="132" t="e">
        <f t="shared" si="183"/>
        <v>#NUM!</v>
      </c>
      <c r="BN125" s="497">
        <f t="shared" si="196"/>
        <v>119</v>
      </c>
      <c r="BO125" s="497">
        <f t="shared" si="197"/>
        <v>3622</v>
      </c>
      <c r="BP125">
        <f t="shared" si="198"/>
        <v>0</v>
      </c>
      <c r="BQ125">
        <f t="shared" si="199"/>
        <v>0</v>
      </c>
      <c r="BR125" s="499" t="e">
        <f t="shared" si="200"/>
        <v>#NUM!</v>
      </c>
      <c r="BS125" s="277" t="e">
        <f t="shared" si="180"/>
        <v>#NUM!</v>
      </c>
      <c r="BT125" s="5" t="e">
        <f t="shared" si="201"/>
        <v>#NUM!</v>
      </c>
      <c r="BU125" s="5" t="e">
        <f t="shared" si="202"/>
        <v>#NUM!</v>
      </c>
      <c r="BW125" s="5"/>
      <c r="BX125" s="5"/>
      <c r="BY125" s="5"/>
      <c r="BZ125" s="5"/>
      <c r="CA125" s="130" t="e">
        <f t="shared" si="203"/>
        <v>#NUM!</v>
      </c>
      <c r="CB125" s="5"/>
      <c r="CC125" s="5" t="e">
        <f t="shared" si="204"/>
        <v>#NUM!</v>
      </c>
      <c r="CD125" s="5" t="e">
        <f t="shared" si="205"/>
        <v>#NUM!</v>
      </c>
      <c r="CE125" s="5"/>
      <c r="CI125" s="130">
        <f t="shared" si="206"/>
        <v>4.229619932273132</v>
      </c>
      <c r="CJ125" s="130">
        <f t="shared" si="207"/>
        <v>4.2295146830133081</v>
      </c>
      <c r="CK125" s="296">
        <f t="shared" si="233"/>
        <v>4.6748962283458111</v>
      </c>
      <c r="CL125" s="130">
        <f t="shared" si="208"/>
        <v>4.6748962283458111</v>
      </c>
      <c r="CM125" s="5">
        <f t="shared" si="234"/>
        <v>0</v>
      </c>
      <c r="CN125" s="5">
        <f t="shared" si="209"/>
        <v>0</v>
      </c>
      <c r="DE125" s="130" t="e">
        <f t="shared" si="210"/>
        <v>#NUM!</v>
      </c>
      <c r="DF125" s="130" t="e">
        <f t="shared" si="211"/>
        <v>#NUM!</v>
      </c>
      <c r="DG125" s="130" t="e">
        <f t="shared" si="235"/>
        <v>#NUM!</v>
      </c>
      <c r="DH125" s="130" t="e">
        <f t="shared" si="212"/>
        <v>#NUM!</v>
      </c>
      <c r="DJ125" s="130" t="e">
        <f t="shared" si="213"/>
        <v>#NUM!</v>
      </c>
      <c r="DK125" s="130" t="e">
        <f t="shared" si="214"/>
        <v>#NUM!</v>
      </c>
      <c r="DL125" s="130" t="e">
        <f t="shared" si="236"/>
        <v>#NUM!</v>
      </c>
      <c r="DO125" s="130" t="e">
        <f t="shared" si="215"/>
        <v>#NUM!</v>
      </c>
      <c r="DP125" s="130" t="e">
        <f t="shared" si="216"/>
        <v>#NUM!</v>
      </c>
      <c r="DQ125" s="130" t="e">
        <f t="shared" si="237"/>
        <v>#NUM!</v>
      </c>
    </row>
    <row r="126" spans="2:121" hidden="1">
      <c r="B126" s="231">
        <v>120</v>
      </c>
      <c r="C126" s="280"/>
      <c r="D126" s="475"/>
      <c r="E126" s="318">
        <f t="shared" si="217"/>
        <v>43996</v>
      </c>
      <c r="F126" s="542">
        <f t="shared" si="240"/>
        <v>0</v>
      </c>
      <c r="G126" s="239"/>
      <c r="H126" s="685">
        <f t="shared" si="218"/>
        <v>0</v>
      </c>
      <c r="I126" s="234"/>
      <c r="J126" s="597">
        <f t="shared" si="219"/>
        <v>0</v>
      </c>
      <c r="K126" s="478">
        <f t="shared" si="220"/>
        <v>0</v>
      </c>
      <c r="L126" s="234"/>
      <c r="M126" s="235">
        <f t="shared" si="221"/>
        <v>0</v>
      </c>
      <c r="N126" s="479">
        <f t="shared" si="222"/>
        <v>0</v>
      </c>
      <c r="O126" s="234"/>
      <c r="P126" s="235">
        <f t="shared" si="223"/>
        <v>0</v>
      </c>
      <c r="Q126" s="651">
        <f t="shared" si="224"/>
        <v>0</v>
      </c>
      <c r="R126" s="479">
        <f>IF(J126&gt;0,IF(OR(ManualMode=FALSE,ISBLANK(S126)),'Pricing - Advanced'!$F$16*J126+'Pricing - Advanced'!$F$17,"N/A"),0)</f>
        <v>0</v>
      </c>
      <c r="S126" s="234"/>
      <c r="T126" s="235">
        <f t="shared" si="225"/>
        <v>0</v>
      </c>
      <c r="U126" s="599">
        <f>IF(OR(ManualMode=FALSE,ISBLANK(V126)),SUM(K126:L126)*'Pricing - Advanced'!$F$19+SUM(N126,O126)*'Pricing - Advanced'!$F$18,"N/A")</f>
        <v>0</v>
      </c>
      <c r="V126" s="234"/>
      <c r="W126" s="236">
        <f t="shared" si="226"/>
        <v>0</v>
      </c>
      <c r="X126" s="237">
        <f>'Pricing - Advanced'!$F$20*SUM(H126:I126)+IF(J126&gt;1,'Pricing - Advanced'!$F$21,0)</f>
        <v>0</v>
      </c>
      <c r="Y126" s="688">
        <f>IF(AND(FullTerm&gt;=B126,AB125&gt;0),AB125*'Pricing - Advanced'!$I$128,0)</f>
        <v>0</v>
      </c>
      <c r="Z126" s="233">
        <f t="shared" si="227"/>
        <v>0</v>
      </c>
      <c r="AA126" s="234"/>
      <c r="AB126" s="597">
        <f t="shared" si="228"/>
        <v>0</v>
      </c>
      <c r="AC126" s="236">
        <f t="shared" si="185"/>
        <v>0</v>
      </c>
      <c r="AF126" s="762" t="e">
        <f t="shared" si="229"/>
        <v>#N/A</v>
      </c>
      <c r="AG126" s="759" t="e">
        <f t="shared" si="186"/>
        <v>#N/A</v>
      </c>
      <c r="AH126" s="759">
        <f>IF(J126=0,0,J126-SUM($N$6:N126)-AB125)</f>
        <v>0</v>
      </c>
      <c r="AI126" s="759">
        <f t="shared" si="187"/>
        <v>0</v>
      </c>
      <c r="AJ126" s="760">
        <f t="shared" si="176"/>
        <v>3.0000000000000001E-3</v>
      </c>
      <c r="AK126" s="760">
        <f t="shared" si="177"/>
        <v>3.0000000000000001E-3</v>
      </c>
      <c r="AN126" s="1" t="b">
        <f t="shared" si="238"/>
        <v>1</v>
      </c>
      <c r="AQ126" s="15">
        <f>IF(J125&gt;1,IF(int_method=2,$AG$229*J125,$AG$229*'Pricing - Advanced'!$E$4),0)</f>
        <v>0</v>
      </c>
      <c r="AR126" s="5">
        <f t="shared" si="230"/>
        <v>0</v>
      </c>
      <c r="AS126" s="204">
        <f t="shared" si="239"/>
        <v>43996</v>
      </c>
      <c r="AT126" s="1">
        <f>IF($AT$4=FALSE,B126*'Pricing - Advanced'!$K$5,AT125+E126-E125)</f>
        <v>3653</v>
      </c>
      <c r="AW126">
        <f t="shared" ref="AW126:AW188" si="241">G126</f>
        <v>0</v>
      </c>
      <c r="AX126">
        <f t="shared" si="188"/>
        <v>0</v>
      </c>
      <c r="AY126">
        <f t="shared" ref="AY126:AY188" si="242">IF(ManualMode=FALSE,H126+K126,SUM(H126,I126,K126,L126))</f>
        <v>0</v>
      </c>
      <c r="AZ126">
        <f t="shared" ref="AZ126:AZ188" si="243">AY126+IF(ISNUMBER(N126),N126,O126)</f>
        <v>0</v>
      </c>
      <c r="BA126" s="603">
        <f t="shared" si="168"/>
        <v>0</v>
      </c>
      <c r="BB126" s="603">
        <f t="shared" si="169"/>
        <v>0</v>
      </c>
      <c r="BC126" s="5">
        <f t="shared" ref="BC126:BC188" si="244">BB126+X126</f>
        <v>0</v>
      </c>
      <c r="BE126" s="157">
        <f t="shared" si="192"/>
        <v>120</v>
      </c>
      <c r="BF126" s="489">
        <f t="shared" si="232"/>
        <v>3653</v>
      </c>
      <c r="BG126" s="146">
        <f t="shared" si="193"/>
        <v>0</v>
      </c>
      <c r="BH126" s="147">
        <f t="shared" si="194"/>
        <v>0</v>
      </c>
      <c r="BI126" s="154" t="e">
        <f t="shared" si="195"/>
        <v>#NUM!</v>
      </c>
      <c r="BJ126" s="277" t="e">
        <f t="shared" ref="BJ126:BJ188" si="245">BI126/BI125-1</f>
        <v>#NUM!</v>
      </c>
      <c r="BK126" s="147" t="e">
        <f t="shared" ref="BK126:BK188" si="246">BG126/$BI126</f>
        <v>#NUM!</v>
      </c>
      <c r="BL126" s="132" t="e">
        <f t="shared" ref="BL126:BL188" si="247">BH126/$BI126</f>
        <v>#NUM!</v>
      </c>
      <c r="BN126" s="497">
        <f t="shared" si="196"/>
        <v>120</v>
      </c>
      <c r="BO126" s="497">
        <f t="shared" si="197"/>
        <v>3653</v>
      </c>
      <c r="BP126">
        <f t="shared" si="198"/>
        <v>0</v>
      </c>
      <c r="BQ126">
        <f t="shared" si="199"/>
        <v>0</v>
      </c>
      <c r="BR126" s="499" t="e">
        <f t="shared" si="200"/>
        <v>#NUM!</v>
      </c>
      <c r="BS126" s="277" t="e">
        <f t="shared" ref="BS126:BS188" si="248">BR126/BR125-1</f>
        <v>#NUM!</v>
      </c>
      <c r="BT126" s="5" t="e">
        <f t="shared" ref="BT126:BT188" si="249">$AW126/BR126</f>
        <v>#NUM!</v>
      </c>
      <c r="BU126" s="5" t="e">
        <f t="shared" ref="BU126:BU188" si="250">$AZ126/BR126</f>
        <v>#NUM!</v>
      </c>
      <c r="BW126" s="5"/>
      <c r="BX126" s="5"/>
      <c r="BY126" s="5"/>
      <c r="BZ126" s="5"/>
      <c r="CA126" s="130" t="e">
        <f t="shared" si="203"/>
        <v>#NUM!</v>
      </c>
      <c r="CB126" s="5"/>
      <c r="CC126" s="5" t="e">
        <f t="shared" ref="CC126:CC188" si="251">$AW126/CA126</f>
        <v>#NUM!</v>
      </c>
      <c r="CD126" s="5" t="e">
        <f t="shared" ref="CD126:CD188" si="252">$BB126/CA126</f>
        <v>#NUM!</v>
      </c>
      <c r="CE126" s="5"/>
      <c r="CI126" s="130">
        <f t="shared" si="206"/>
        <v>4.2811887993935374</v>
      </c>
      <c r="CJ126" s="130">
        <f t="shared" si="207"/>
        <v>4.2820411547726103</v>
      </c>
      <c r="CK126" s="296">
        <f t="shared" si="233"/>
        <v>4.7358758718490614</v>
      </c>
      <c r="CL126" s="130">
        <f t="shared" ref="CL126:CL188" si="253">IF($CR$1=1,CI126,IF($CR$1=2,CK126,CJ126))</f>
        <v>4.7358758718490614</v>
      </c>
      <c r="CM126" s="5">
        <f t="shared" ref="CM126:CM188" si="254">$AX126/CL126</f>
        <v>0</v>
      </c>
      <c r="CN126" s="5">
        <f t="shared" si="209"/>
        <v>0</v>
      </c>
      <c r="DE126" s="130" t="e">
        <f t="shared" si="210"/>
        <v>#NUM!</v>
      </c>
      <c r="DF126" s="130" t="e">
        <f t="shared" si="211"/>
        <v>#NUM!</v>
      </c>
      <c r="DG126" s="130" t="e">
        <f t="shared" si="235"/>
        <v>#NUM!</v>
      </c>
      <c r="DH126" s="130" t="e">
        <f t="shared" si="212"/>
        <v>#NUM!</v>
      </c>
      <c r="DJ126" s="130" t="e">
        <f t="shared" si="213"/>
        <v>#NUM!</v>
      </c>
      <c r="DK126" s="130" t="e">
        <f t="shared" si="214"/>
        <v>#NUM!</v>
      </c>
      <c r="DL126" s="130" t="e">
        <f t="shared" ref="DL126:DL188" si="255">DL125*(1+DK$3/PeriodsYr)</f>
        <v>#NUM!</v>
      </c>
      <c r="DO126" s="130" t="e">
        <f t="shared" si="215"/>
        <v>#NUM!</v>
      </c>
      <c r="DP126" s="130" t="e">
        <f t="shared" si="216"/>
        <v>#NUM!</v>
      </c>
      <c r="DQ126" s="130" t="e">
        <f t="shared" ref="DQ126:DQ188" si="256">DQ125*(1+DP$3/PeriodsYr)</f>
        <v>#NUM!</v>
      </c>
    </row>
    <row r="127" spans="2:121" hidden="1">
      <c r="B127" s="231">
        <v>121</v>
      </c>
      <c r="C127" s="280"/>
      <c r="D127" s="475"/>
      <c r="E127" s="318">
        <f t="shared" si="217"/>
        <v>44026</v>
      </c>
      <c r="F127" s="542">
        <f t="shared" si="240"/>
        <v>0</v>
      </c>
      <c r="G127" s="239"/>
      <c r="H127" s="685">
        <f t="shared" si="218"/>
        <v>0</v>
      </c>
      <c r="I127" s="234"/>
      <c r="J127" s="597">
        <f t="shared" si="219"/>
        <v>0</v>
      </c>
      <c r="K127" s="478">
        <f t="shared" si="220"/>
        <v>0</v>
      </c>
      <c r="L127" s="234"/>
      <c r="M127" s="235">
        <f t="shared" si="221"/>
        <v>0</v>
      </c>
      <c r="N127" s="479">
        <f t="shared" si="222"/>
        <v>0</v>
      </c>
      <c r="O127" s="234"/>
      <c r="P127" s="235">
        <f t="shared" si="223"/>
        <v>0</v>
      </c>
      <c r="Q127" s="651">
        <f t="shared" si="224"/>
        <v>0</v>
      </c>
      <c r="R127" s="479">
        <f>IF(J127&gt;0,IF(OR(ManualMode=FALSE,ISBLANK(S127)),'Pricing - Advanced'!$F$16*J127+'Pricing - Advanced'!$F$17,"N/A"),0)</f>
        <v>0</v>
      </c>
      <c r="S127" s="234"/>
      <c r="T127" s="235">
        <f t="shared" si="225"/>
        <v>0</v>
      </c>
      <c r="U127" s="599">
        <f>IF(OR(ManualMode=FALSE,ISBLANK(V127)),SUM(K127:L127)*'Pricing - Advanced'!$F$19+SUM(N127,O127)*'Pricing - Advanced'!$F$18,"N/A")</f>
        <v>0</v>
      </c>
      <c r="V127" s="234"/>
      <c r="W127" s="236">
        <f t="shared" si="226"/>
        <v>0</v>
      </c>
      <c r="X127" s="237">
        <f>'Pricing - Advanced'!$F$20*SUM(H127:I127)+IF(J127&gt;1,'Pricing - Advanced'!$F$21,0)</f>
        <v>0</v>
      </c>
      <c r="Y127" s="688">
        <f>IF(AND(FullTerm&gt;=B127,AB126&gt;0),AB126*'Pricing - Advanced'!$I$128,0)</f>
        <v>0</v>
      </c>
      <c r="Z127" s="233">
        <f t="shared" si="227"/>
        <v>0</v>
      </c>
      <c r="AA127" s="234"/>
      <c r="AB127" s="597">
        <f t="shared" si="228"/>
        <v>0</v>
      </c>
      <c r="AC127" s="236">
        <f t="shared" si="185"/>
        <v>0</v>
      </c>
      <c r="AF127" s="762" t="e">
        <f t="shared" si="229"/>
        <v>#N/A</v>
      </c>
      <c r="AG127" s="759" t="e">
        <f t="shared" si="186"/>
        <v>#N/A</v>
      </c>
      <c r="AH127" s="759">
        <f>IF(J127=0,0,J127-SUM($N$6:N127)-AB126)</f>
        <v>0</v>
      </c>
      <c r="AI127" s="759">
        <f t="shared" si="187"/>
        <v>0</v>
      </c>
      <c r="AJ127" s="760">
        <f t="shared" si="176"/>
        <v>3.0000000000000001E-3</v>
      </c>
      <c r="AK127" s="760">
        <f t="shared" si="177"/>
        <v>3.0000000000000001E-3</v>
      </c>
      <c r="AN127" s="1" t="b">
        <f t="shared" si="238"/>
        <v>1</v>
      </c>
      <c r="AQ127" s="15">
        <f>IF(J126&gt;1,IF(int_method=2,$AG$229*J126,$AG$229*'Pricing - Advanced'!$E$4),0)</f>
        <v>0</v>
      </c>
      <c r="AR127" s="5">
        <f t="shared" si="230"/>
        <v>0</v>
      </c>
      <c r="AS127" s="204">
        <f t="shared" si="239"/>
        <v>44026</v>
      </c>
      <c r="AT127" s="1">
        <f>IF($AT$4=FALSE,B127*'Pricing - Advanced'!$K$5,AT126+E127-E126)</f>
        <v>3683</v>
      </c>
      <c r="AW127">
        <f t="shared" si="241"/>
        <v>0</v>
      </c>
      <c r="AX127">
        <f t="shared" si="188"/>
        <v>0</v>
      </c>
      <c r="AY127">
        <f t="shared" si="242"/>
        <v>0</v>
      </c>
      <c r="AZ127">
        <f t="shared" si="243"/>
        <v>0</v>
      </c>
      <c r="BA127" s="603">
        <f t="shared" si="168"/>
        <v>0</v>
      </c>
      <c r="BB127" s="603">
        <f t="shared" si="169"/>
        <v>0</v>
      </c>
      <c r="BC127" s="5">
        <f t="shared" si="244"/>
        <v>0</v>
      </c>
      <c r="BE127" s="157">
        <f t="shared" si="192"/>
        <v>121</v>
      </c>
      <c r="BF127" s="489">
        <f t="shared" si="232"/>
        <v>3683</v>
      </c>
      <c r="BG127" s="146">
        <f t="shared" si="193"/>
        <v>0</v>
      </c>
      <c r="BH127" s="147">
        <f t="shared" si="194"/>
        <v>0</v>
      </c>
      <c r="BI127" s="154" t="e">
        <f t="shared" si="195"/>
        <v>#NUM!</v>
      </c>
      <c r="BJ127" s="277" t="e">
        <f t="shared" si="245"/>
        <v>#NUM!</v>
      </c>
      <c r="BK127" s="147" t="e">
        <f t="shared" si="246"/>
        <v>#NUM!</v>
      </c>
      <c r="BL127" s="132" t="e">
        <f t="shared" si="247"/>
        <v>#NUM!</v>
      </c>
      <c r="BN127" s="497">
        <f t="shared" si="196"/>
        <v>121</v>
      </c>
      <c r="BO127" s="497">
        <f t="shared" si="197"/>
        <v>3683</v>
      </c>
      <c r="BP127">
        <f t="shared" si="198"/>
        <v>0</v>
      </c>
      <c r="BQ127">
        <f t="shared" si="199"/>
        <v>0</v>
      </c>
      <c r="BR127" s="499" t="e">
        <f t="shared" si="200"/>
        <v>#NUM!</v>
      </c>
      <c r="BS127" s="277" t="e">
        <f t="shared" si="248"/>
        <v>#NUM!</v>
      </c>
      <c r="BT127" s="5" t="e">
        <f t="shared" si="249"/>
        <v>#NUM!</v>
      </c>
      <c r="BU127" s="5" t="e">
        <f t="shared" si="250"/>
        <v>#NUM!</v>
      </c>
      <c r="BW127" s="5"/>
      <c r="BX127" s="5"/>
      <c r="BY127" s="5"/>
      <c r="BZ127" s="5"/>
      <c r="CA127" s="130" t="e">
        <f t="shared" si="203"/>
        <v>#NUM!</v>
      </c>
      <c r="CB127" s="5"/>
      <c r="CC127" s="5" t="e">
        <f t="shared" si="251"/>
        <v>#NUM!</v>
      </c>
      <c r="CD127" s="5" t="e">
        <f t="shared" si="252"/>
        <v>#NUM!</v>
      </c>
      <c r="CE127" s="5"/>
      <c r="CI127" s="130">
        <f t="shared" si="206"/>
        <v>4.3333864104906299</v>
      </c>
      <c r="CJ127" s="130">
        <f t="shared" si="207"/>
        <v>4.3334942445440428</v>
      </c>
      <c r="CK127" s="296">
        <f t="shared" si="233"/>
        <v>4.7976509376975685</v>
      </c>
      <c r="CL127" s="130">
        <f t="shared" si="253"/>
        <v>4.7976509376975685</v>
      </c>
      <c r="CM127" s="5">
        <f t="shared" si="254"/>
        <v>0</v>
      </c>
      <c r="CN127" s="5">
        <f t="shared" si="209"/>
        <v>0</v>
      </c>
      <c r="DE127" s="130" t="e">
        <f t="shared" si="210"/>
        <v>#NUM!</v>
      </c>
      <c r="DF127" s="130" t="e">
        <f t="shared" si="211"/>
        <v>#NUM!</v>
      </c>
      <c r="DG127" s="130" t="e">
        <f t="shared" si="235"/>
        <v>#NUM!</v>
      </c>
      <c r="DH127" s="130" t="e">
        <f t="shared" si="212"/>
        <v>#NUM!</v>
      </c>
      <c r="DJ127" s="130" t="e">
        <f t="shared" si="213"/>
        <v>#NUM!</v>
      </c>
      <c r="DK127" s="130" t="e">
        <f t="shared" si="214"/>
        <v>#NUM!</v>
      </c>
      <c r="DL127" s="130" t="e">
        <f t="shared" si="255"/>
        <v>#NUM!</v>
      </c>
      <c r="DO127" s="130" t="e">
        <f t="shared" si="215"/>
        <v>#NUM!</v>
      </c>
      <c r="DP127" s="130" t="e">
        <f t="shared" si="216"/>
        <v>#NUM!</v>
      </c>
      <c r="DQ127" s="130" t="e">
        <f t="shared" si="256"/>
        <v>#NUM!</v>
      </c>
    </row>
    <row r="128" spans="2:121" hidden="1">
      <c r="B128" s="231">
        <v>122</v>
      </c>
      <c r="C128" s="280"/>
      <c r="D128" s="475"/>
      <c r="E128" s="318">
        <f t="shared" si="217"/>
        <v>44057</v>
      </c>
      <c r="F128" s="542">
        <f t="shared" si="240"/>
        <v>0</v>
      </c>
      <c r="G128" s="239"/>
      <c r="H128" s="685">
        <f t="shared" si="218"/>
        <v>0</v>
      </c>
      <c r="I128" s="234"/>
      <c r="J128" s="597">
        <f t="shared" si="219"/>
        <v>0</v>
      </c>
      <c r="K128" s="478">
        <f t="shared" si="220"/>
        <v>0</v>
      </c>
      <c r="L128" s="234"/>
      <c r="M128" s="235">
        <f t="shared" si="221"/>
        <v>0</v>
      </c>
      <c r="N128" s="479">
        <f t="shared" si="222"/>
        <v>0</v>
      </c>
      <c r="O128" s="234"/>
      <c r="P128" s="235">
        <f t="shared" si="223"/>
        <v>0</v>
      </c>
      <c r="Q128" s="651">
        <f t="shared" si="224"/>
        <v>0</v>
      </c>
      <c r="R128" s="479">
        <f>IF(J128&gt;0,IF(OR(ManualMode=FALSE,ISBLANK(S128)),'Pricing - Advanced'!$F$16*J128+'Pricing - Advanced'!$F$17,"N/A"),0)</f>
        <v>0</v>
      </c>
      <c r="S128" s="234"/>
      <c r="T128" s="235">
        <f t="shared" si="225"/>
        <v>0</v>
      </c>
      <c r="U128" s="599">
        <f>IF(OR(ManualMode=FALSE,ISBLANK(V128)),SUM(K128:L128)*'Pricing - Advanced'!$F$19+SUM(N128,O128)*'Pricing - Advanced'!$F$18,"N/A")</f>
        <v>0</v>
      </c>
      <c r="V128" s="234"/>
      <c r="W128" s="236">
        <f t="shared" si="226"/>
        <v>0</v>
      </c>
      <c r="X128" s="237">
        <f>'Pricing - Advanced'!$F$20*SUM(H128:I128)+IF(J128&gt;1,'Pricing - Advanced'!$F$21,0)</f>
        <v>0</v>
      </c>
      <c r="Y128" s="688">
        <f>IF(AND(FullTerm&gt;=B128,AB127&gt;0),AB127*'Pricing - Advanced'!$I$128,0)</f>
        <v>0</v>
      </c>
      <c r="Z128" s="233">
        <f t="shared" si="227"/>
        <v>0</v>
      </c>
      <c r="AA128" s="234"/>
      <c r="AB128" s="597">
        <f t="shared" si="228"/>
        <v>0</v>
      </c>
      <c r="AC128" s="236">
        <f t="shared" si="185"/>
        <v>0</v>
      </c>
      <c r="AF128" s="762" t="e">
        <f t="shared" si="229"/>
        <v>#N/A</v>
      </c>
      <c r="AG128" s="759" t="e">
        <f t="shared" si="186"/>
        <v>#N/A</v>
      </c>
      <c r="AH128" s="759">
        <f>IF(J128=0,0,J128-SUM($N$6:N128)-AB127)</f>
        <v>0</v>
      </c>
      <c r="AI128" s="759">
        <f t="shared" si="187"/>
        <v>0</v>
      </c>
      <c r="AJ128" s="760">
        <f t="shared" si="176"/>
        <v>3.0000000000000001E-3</v>
      </c>
      <c r="AK128" s="760">
        <f t="shared" si="177"/>
        <v>3.0000000000000001E-3</v>
      </c>
      <c r="AN128" s="1" t="b">
        <f t="shared" si="238"/>
        <v>1</v>
      </c>
      <c r="AQ128" s="15">
        <f>IF(J127&gt;1,IF(int_method=2,$AG$229*J127,$AG$229*'Pricing - Advanced'!$E$4),0)</f>
        <v>0</v>
      </c>
      <c r="AR128" s="5">
        <f t="shared" si="230"/>
        <v>0</v>
      </c>
      <c r="AS128" s="204">
        <f t="shared" si="239"/>
        <v>44057</v>
      </c>
      <c r="AT128" s="1">
        <f>IF($AT$4=FALSE,B128*'Pricing - Advanced'!$K$5,AT127+E128-E127)</f>
        <v>3714</v>
      </c>
      <c r="AW128">
        <f t="shared" si="241"/>
        <v>0</v>
      </c>
      <c r="AX128">
        <f t="shared" si="188"/>
        <v>0</v>
      </c>
      <c r="AY128">
        <f t="shared" si="242"/>
        <v>0</v>
      </c>
      <c r="AZ128">
        <f t="shared" si="243"/>
        <v>0</v>
      </c>
      <c r="BA128" s="603">
        <f t="shared" si="168"/>
        <v>0</v>
      </c>
      <c r="BB128" s="603">
        <f t="shared" si="169"/>
        <v>0</v>
      </c>
      <c r="BC128" s="5">
        <f t="shared" si="244"/>
        <v>0</v>
      </c>
      <c r="BE128" s="157">
        <f t="shared" si="192"/>
        <v>122</v>
      </c>
      <c r="BF128" s="489">
        <f t="shared" si="232"/>
        <v>3714</v>
      </c>
      <c r="BG128" s="146">
        <f t="shared" si="193"/>
        <v>0</v>
      </c>
      <c r="BH128" s="147">
        <f t="shared" si="194"/>
        <v>0</v>
      </c>
      <c r="BI128" s="154" t="e">
        <f t="shared" si="195"/>
        <v>#NUM!</v>
      </c>
      <c r="BJ128" s="277" t="e">
        <f t="shared" si="245"/>
        <v>#NUM!</v>
      </c>
      <c r="BK128" s="147" t="e">
        <f t="shared" si="246"/>
        <v>#NUM!</v>
      </c>
      <c r="BL128" s="132" t="e">
        <f t="shared" si="247"/>
        <v>#NUM!</v>
      </c>
      <c r="BN128" s="497">
        <f t="shared" si="196"/>
        <v>122</v>
      </c>
      <c r="BO128" s="497">
        <f t="shared" si="197"/>
        <v>3714</v>
      </c>
      <c r="BP128">
        <f t="shared" si="198"/>
        <v>0</v>
      </c>
      <c r="BQ128">
        <f t="shared" si="199"/>
        <v>0</v>
      </c>
      <c r="BR128" s="499" t="e">
        <f t="shared" si="200"/>
        <v>#NUM!</v>
      </c>
      <c r="BS128" s="277" t="e">
        <f t="shared" si="248"/>
        <v>#NUM!</v>
      </c>
      <c r="BT128" s="5" t="e">
        <f t="shared" si="249"/>
        <v>#NUM!</v>
      </c>
      <c r="BU128" s="5" t="e">
        <f t="shared" si="250"/>
        <v>#NUM!</v>
      </c>
      <c r="BW128" s="5"/>
      <c r="BX128" s="5"/>
      <c r="BY128" s="5"/>
      <c r="BZ128" s="5"/>
      <c r="CA128" s="130" t="e">
        <f t="shared" si="203"/>
        <v>#NUM!</v>
      </c>
      <c r="CB128" s="5"/>
      <c r="CC128" s="5" t="e">
        <f t="shared" si="251"/>
        <v>#NUM!</v>
      </c>
      <c r="CD128" s="5" t="e">
        <f t="shared" si="252"/>
        <v>#NUM!</v>
      </c>
      <c r="CE128" s="5"/>
      <c r="CI128" s="130">
        <f t="shared" si="206"/>
        <v>4.3862204314102966</v>
      </c>
      <c r="CJ128" s="130">
        <f t="shared" si="207"/>
        <v>4.3873120416471778</v>
      </c>
      <c r="CK128" s="296">
        <f t="shared" si="233"/>
        <v>4.8602318014309551</v>
      </c>
      <c r="CL128" s="130">
        <f t="shared" si="253"/>
        <v>4.8602318014309551</v>
      </c>
      <c r="CM128" s="5">
        <f t="shared" si="254"/>
        <v>0</v>
      </c>
      <c r="CN128" s="5">
        <f t="shared" si="209"/>
        <v>0</v>
      </c>
      <c r="DE128" s="130" t="e">
        <f t="shared" si="210"/>
        <v>#NUM!</v>
      </c>
      <c r="DF128" s="130" t="e">
        <f t="shared" si="211"/>
        <v>#NUM!</v>
      </c>
      <c r="DG128" s="130" t="e">
        <f t="shared" si="235"/>
        <v>#NUM!</v>
      </c>
      <c r="DH128" s="130" t="e">
        <f t="shared" si="212"/>
        <v>#NUM!</v>
      </c>
      <c r="DJ128" s="130" t="e">
        <f t="shared" si="213"/>
        <v>#NUM!</v>
      </c>
      <c r="DK128" s="130" t="e">
        <f t="shared" si="214"/>
        <v>#NUM!</v>
      </c>
      <c r="DL128" s="130" t="e">
        <f t="shared" si="255"/>
        <v>#NUM!</v>
      </c>
      <c r="DO128" s="130" t="e">
        <f t="shared" si="215"/>
        <v>#NUM!</v>
      </c>
      <c r="DP128" s="130" t="e">
        <f t="shared" si="216"/>
        <v>#NUM!</v>
      </c>
      <c r="DQ128" s="130" t="e">
        <f t="shared" si="256"/>
        <v>#NUM!</v>
      </c>
    </row>
    <row r="129" spans="2:121" hidden="1">
      <c r="B129" s="231">
        <v>123</v>
      </c>
      <c r="C129" s="280"/>
      <c r="D129" s="475"/>
      <c r="E129" s="318">
        <f t="shared" si="217"/>
        <v>44088</v>
      </c>
      <c r="F129" s="542">
        <f t="shared" si="240"/>
        <v>0</v>
      </c>
      <c r="G129" s="239"/>
      <c r="H129" s="685">
        <f t="shared" si="218"/>
        <v>0</v>
      </c>
      <c r="I129" s="234"/>
      <c r="J129" s="597">
        <f t="shared" si="219"/>
        <v>0</v>
      </c>
      <c r="K129" s="478">
        <f t="shared" si="220"/>
        <v>0</v>
      </c>
      <c r="L129" s="234"/>
      <c r="M129" s="235">
        <f t="shared" si="221"/>
        <v>0</v>
      </c>
      <c r="N129" s="479">
        <f t="shared" si="222"/>
        <v>0</v>
      </c>
      <c r="O129" s="234"/>
      <c r="P129" s="235">
        <f t="shared" si="223"/>
        <v>0</v>
      </c>
      <c r="Q129" s="651">
        <f t="shared" si="224"/>
        <v>0</v>
      </c>
      <c r="R129" s="479">
        <f>IF(J129&gt;0,IF(OR(ManualMode=FALSE,ISBLANK(S129)),'Pricing - Advanced'!$F$16*J129+'Pricing - Advanced'!$F$17,"N/A"),0)</f>
        <v>0</v>
      </c>
      <c r="S129" s="234"/>
      <c r="T129" s="235">
        <f t="shared" si="225"/>
        <v>0</v>
      </c>
      <c r="U129" s="599">
        <f>IF(OR(ManualMode=FALSE,ISBLANK(V129)),SUM(K129:L129)*'Pricing - Advanced'!$F$19+SUM(N129,O129)*'Pricing - Advanced'!$F$18,"N/A")</f>
        <v>0</v>
      </c>
      <c r="V129" s="234"/>
      <c r="W129" s="236">
        <f t="shared" si="226"/>
        <v>0</v>
      </c>
      <c r="X129" s="237">
        <f>'Pricing - Advanced'!$F$20*SUM(H129:I129)+IF(J129&gt;1,'Pricing - Advanced'!$F$21,0)</f>
        <v>0</v>
      </c>
      <c r="Y129" s="688">
        <f>IF(AND(FullTerm&gt;=B129,AB128&gt;0),AB128*'Pricing - Advanced'!$I$128,0)</f>
        <v>0</v>
      </c>
      <c r="Z129" s="233">
        <f t="shared" si="227"/>
        <v>0</v>
      </c>
      <c r="AA129" s="234"/>
      <c r="AB129" s="597">
        <f t="shared" si="228"/>
        <v>0</v>
      </c>
      <c r="AC129" s="236">
        <f t="shared" si="185"/>
        <v>0</v>
      </c>
      <c r="AF129" s="762" t="e">
        <f t="shared" si="229"/>
        <v>#N/A</v>
      </c>
      <c r="AG129" s="759" t="e">
        <f t="shared" si="186"/>
        <v>#N/A</v>
      </c>
      <c r="AH129" s="759">
        <f>IF(J129=0,0,J129-SUM($N$6:N129)-AB128)</f>
        <v>0</v>
      </c>
      <c r="AI129" s="759">
        <f t="shared" si="187"/>
        <v>0</v>
      </c>
      <c r="AJ129" s="760">
        <f t="shared" si="176"/>
        <v>3.0000000000000001E-3</v>
      </c>
      <c r="AK129" s="760">
        <f t="shared" si="177"/>
        <v>3.0000000000000001E-3</v>
      </c>
      <c r="AN129" s="1" t="b">
        <f t="shared" si="238"/>
        <v>1</v>
      </c>
      <c r="AQ129" s="15">
        <f>IF(J128&gt;1,IF(int_method=2,$AG$229*J128,$AG$229*'Pricing - Advanced'!$E$4),0)</f>
        <v>0</v>
      </c>
      <c r="AR129" s="5">
        <f t="shared" si="230"/>
        <v>0</v>
      </c>
      <c r="AS129" s="204">
        <f t="shared" si="239"/>
        <v>44088</v>
      </c>
      <c r="AT129" s="1">
        <f>IF($AT$4=FALSE,B129*'Pricing - Advanced'!$K$5,AT128+E129-E128)</f>
        <v>3745</v>
      </c>
      <c r="AW129">
        <f t="shared" si="241"/>
        <v>0</v>
      </c>
      <c r="AX129">
        <f t="shared" si="188"/>
        <v>0</v>
      </c>
      <c r="AY129">
        <f t="shared" si="242"/>
        <v>0</v>
      </c>
      <c r="AZ129">
        <f t="shared" si="243"/>
        <v>0</v>
      </c>
      <c r="BA129" s="603">
        <f t="shared" si="168"/>
        <v>0</v>
      </c>
      <c r="BB129" s="603">
        <f t="shared" si="169"/>
        <v>0</v>
      </c>
      <c r="BC129" s="5">
        <f t="shared" si="244"/>
        <v>0</v>
      </c>
      <c r="BE129" s="157">
        <f t="shared" si="192"/>
        <v>123</v>
      </c>
      <c r="BF129" s="489">
        <f t="shared" si="232"/>
        <v>3745</v>
      </c>
      <c r="BG129" s="146">
        <f t="shared" si="193"/>
        <v>0</v>
      </c>
      <c r="BH129" s="147">
        <f t="shared" si="194"/>
        <v>0</v>
      </c>
      <c r="BI129" s="154" t="e">
        <f t="shared" si="195"/>
        <v>#NUM!</v>
      </c>
      <c r="BJ129" s="277" t="e">
        <f t="shared" si="245"/>
        <v>#NUM!</v>
      </c>
      <c r="BK129" s="147" t="e">
        <f t="shared" si="246"/>
        <v>#NUM!</v>
      </c>
      <c r="BL129" s="132" t="e">
        <f t="shared" si="247"/>
        <v>#NUM!</v>
      </c>
      <c r="BN129" s="497">
        <f t="shared" si="196"/>
        <v>123</v>
      </c>
      <c r="BO129" s="497">
        <f t="shared" si="197"/>
        <v>3745</v>
      </c>
      <c r="BP129">
        <f t="shared" si="198"/>
        <v>0</v>
      </c>
      <c r="BQ129">
        <f t="shared" si="199"/>
        <v>0</v>
      </c>
      <c r="BR129" s="499" t="e">
        <f t="shared" si="200"/>
        <v>#NUM!</v>
      </c>
      <c r="BS129" s="277" t="e">
        <f t="shared" si="248"/>
        <v>#NUM!</v>
      </c>
      <c r="BT129" s="5" t="e">
        <f t="shared" si="249"/>
        <v>#NUM!</v>
      </c>
      <c r="BU129" s="5" t="e">
        <f t="shared" si="250"/>
        <v>#NUM!</v>
      </c>
      <c r="BW129" s="5"/>
      <c r="BX129" s="5"/>
      <c r="BY129" s="5"/>
      <c r="BZ129" s="5"/>
      <c r="CA129" s="130" t="e">
        <f t="shared" si="203"/>
        <v>#NUM!</v>
      </c>
      <c r="CB129" s="5"/>
      <c r="CC129" s="5" t="e">
        <f t="shared" si="251"/>
        <v>#NUM!</v>
      </c>
      <c r="CD129" s="5" t="e">
        <f t="shared" si="252"/>
        <v>#NUM!</v>
      </c>
      <c r="CE129" s="5"/>
      <c r="CI129" s="130">
        <f t="shared" si="206"/>
        <v>4.439698621462858</v>
      </c>
      <c r="CJ129" s="130">
        <f t="shared" si="207"/>
        <v>4.4417982036128443</v>
      </c>
      <c r="CK129" s="296">
        <f t="shared" si="233"/>
        <v>4.9236289739280412</v>
      </c>
      <c r="CL129" s="130">
        <f t="shared" si="253"/>
        <v>4.9236289739280412</v>
      </c>
      <c r="CM129" s="5">
        <f t="shared" si="254"/>
        <v>0</v>
      </c>
      <c r="CN129" s="5">
        <f t="shared" si="209"/>
        <v>0</v>
      </c>
      <c r="DE129" s="130" t="e">
        <f t="shared" si="210"/>
        <v>#NUM!</v>
      </c>
      <c r="DF129" s="130" t="e">
        <f t="shared" si="211"/>
        <v>#NUM!</v>
      </c>
      <c r="DG129" s="130" t="e">
        <f t="shared" si="235"/>
        <v>#NUM!</v>
      </c>
      <c r="DH129" s="130" t="e">
        <f t="shared" si="212"/>
        <v>#NUM!</v>
      </c>
      <c r="DJ129" s="130" t="e">
        <f t="shared" si="213"/>
        <v>#NUM!</v>
      </c>
      <c r="DK129" s="130" t="e">
        <f t="shared" si="214"/>
        <v>#NUM!</v>
      </c>
      <c r="DL129" s="130" t="e">
        <f t="shared" si="255"/>
        <v>#NUM!</v>
      </c>
      <c r="DO129" s="130" t="e">
        <f t="shared" si="215"/>
        <v>#NUM!</v>
      </c>
      <c r="DP129" s="130" t="e">
        <f t="shared" si="216"/>
        <v>#NUM!</v>
      </c>
      <c r="DQ129" s="130" t="e">
        <f t="shared" si="256"/>
        <v>#NUM!</v>
      </c>
    </row>
    <row r="130" spans="2:121" hidden="1">
      <c r="B130" s="231">
        <v>124</v>
      </c>
      <c r="C130" s="280"/>
      <c r="D130" s="475"/>
      <c r="E130" s="318">
        <f t="shared" si="217"/>
        <v>44118</v>
      </c>
      <c r="F130" s="542">
        <f t="shared" si="240"/>
        <v>0</v>
      </c>
      <c r="G130" s="239"/>
      <c r="H130" s="685">
        <f t="shared" si="218"/>
        <v>0</v>
      </c>
      <c r="I130" s="234"/>
      <c r="J130" s="597">
        <f t="shared" si="219"/>
        <v>0</v>
      </c>
      <c r="K130" s="478">
        <f t="shared" si="220"/>
        <v>0</v>
      </c>
      <c r="L130" s="234"/>
      <c r="M130" s="235">
        <f t="shared" si="221"/>
        <v>0</v>
      </c>
      <c r="N130" s="479">
        <f t="shared" si="222"/>
        <v>0</v>
      </c>
      <c r="O130" s="234"/>
      <c r="P130" s="235">
        <f t="shared" si="223"/>
        <v>0</v>
      </c>
      <c r="Q130" s="651">
        <f t="shared" si="224"/>
        <v>0</v>
      </c>
      <c r="R130" s="479">
        <f>IF(J130&gt;0,IF(OR(ManualMode=FALSE,ISBLANK(S130)),'Pricing - Advanced'!$F$16*J130+'Pricing - Advanced'!$F$17,"N/A"),0)</f>
        <v>0</v>
      </c>
      <c r="S130" s="234"/>
      <c r="T130" s="235">
        <f t="shared" si="225"/>
        <v>0</v>
      </c>
      <c r="U130" s="599">
        <f>IF(OR(ManualMode=FALSE,ISBLANK(V130)),SUM(K130:L130)*'Pricing - Advanced'!$F$19+SUM(N130,O130)*'Pricing - Advanced'!$F$18,"N/A")</f>
        <v>0</v>
      </c>
      <c r="V130" s="234"/>
      <c r="W130" s="236">
        <f t="shared" si="226"/>
        <v>0</v>
      </c>
      <c r="X130" s="237">
        <f>'Pricing - Advanced'!$F$20*SUM(H130:I130)+IF(J130&gt;1,'Pricing - Advanced'!$F$21,0)</f>
        <v>0</v>
      </c>
      <c r="Y130" s="688">
        <f>IF(AND(FullTerm&gt;=B130,AB129&gt;0),AB129*'Pricing - Advanced'!$I$128,0)</f>
        <v>0</v>
      </c>
      <c r="Z130" s="233">
        <f t="shared" si="227"/>
        <v>0</v>
      </c>
      <c r="AA130" s="234"/>
      <c r="AB130" s="597">
        <f t="shared" si="228"/>
        <v>0</v>
      </c>
      <c r="AC130" s="236">
        <f t="shared" si="185"/>
        <v>0</v>
      </c>
      <c r="AF130" s="762" t="e">
        <f t="shared" si="229"/>
        <v>#N/A</v>
      </c>
      <c r="AG130" s="759" t="e">
        <f t="shared" si="186"/>
        <v>#N/A</v>
      </c>
      <c r="AH130" s="759">
        <f>IF(J130=0,0,J130-SUM($N$6:N130)-AB129)</f>
        <v>0</v>
      </c>
      <c r="AI130" s="759">
        <f t="shared" si="187"/>
        <v>0</v>
      </c>
      <c r="AJ130" s="760">
        <f t="shared" si="176"/>
        <v>3.0000000000000001E-3</v>
      </c>
      <c r="AK130" s="760">
        <f t="shared" si="177"/>
        <v>3.0000000000000001E-3</v>
      </c>
      <c r="AN130" s="1" t="b">
        <f t="shared" si="238"/>
        <v>1</v>
      </c>
      <c r="AQ130" s="15">
        <f>IF(J129&gt;1,IF(int_method=2,$AG$229*J129,$AG$229*'Pricing - Advanced'!$E$4),0)</f>
        <v>0</v>
      </c>
      <c r="AR130" s="5">
        <f t="shared" si="230"/>
        <v>0</v>
      </c>
      <c r="AS130" s="204">
        <f t="shared" si="239"/>
        <v>44118</v>
      </c>
      <c r="AT130" s="1">
        <f>IF($AT$4=FALSE,B130*'Pricing - Advanced'!$K$5,AT129+E130-E129)</f>
        <v>3775</v>
      </c>
      <c r="AW130">
        <f t="shared" si="241"/>
        <v>0</v>
      </c>
      <c r="AX130">
        <f t="shared" si="188"/>
        <v>0</v>
      </c>
      <c r="AY130">
        <f t="shared" si="242"/>
        <v>0</v>
      </c>
      <c r="AZ130">
        <f t="shared" si="243"/>
        <v>0</v>
      </c>
      <c r="BA130" s="603">
        <f t="shared" si="168"/>
        <v>0</v>
      </c>
      <c r="BB130" s="603">
        <f t="shared" si="169"/>
        <v>0</v>
      </c>
      <c r="BC130" s="5">
        <f t="shared" si="244"/>
        <v>0</v>
      </c>
      <c r="BE130" s="157">
        <f t="shared" si="192"/>
        <v>124</v>
      </c>
      <c r="BF130" s="489">
        <f t="shared" si="232"/>
        <v>3775</v>
      </c>
      <c r="BG130" s="146">
        <f t="shared" si="193"/>
        <v>0</v>
      </c>
      <c r="BH130" s="147">
        <f t="shared" si="194"/>
        <v>0</v>
      </c>
      <c r="BI130" s="154" t="e">
        <f t="shared" si="195"/>
        <v>#NUM!</v>
      </c>
      <c r="BJ130" s="277" t="e">
        <f t="shared" si="245"/>
        <v>#NUM!</v>
      </c>
      <c r="BK130" s="147" t="e">
        <f t="shared" si="246"/>
        <v>#NUM!</v>
      </c>
      <c r="BL130" s="132" t="e">
        <f t="shared" si="247"/>
        <v>#NUM!</v>
      </c>
      <c r="BN130" s="497">
        <f t="shared" si="196"/>
        <v>124</v>
      </c>
      <c r="BO130" s="497">
        <f t="shared" si="197"/>
        <v>3775</v>
      </c>
      <c r="BP130">
        <f t="shared" si="198"/>
        <v>0</v>
      </c>
      <c r="BQ130">
        <f t="shared" si="199"/>
        <v>0</v>
      </c>
      <c r="BR130" s="499" t="e">
        <f t="shared" si="200"/>
        <v>#NUM!</v>
      </c>
      <c r="BS130" s="277" t="e">
        <f t="shared" si="248"/>
        <v>#NUM!</v>
      </c>
      <c r="BT130" s="5" t="e">
        <f t="shared" si="249"/>
        <v>#NUM!</v>
      </c>
      <c r="BU130" s="5" t="e">
        <f t="shared" si="250"/>
        <v>#NUM!</v>
      </c>
      <c r="BW130" s="5"/>
      <c r="BX130" s="5"/>
      <c r="BY130" s="5"/>
      <c r="BZ130" s="5"/>
      <c r="CA130" s="130" t="e">
        <f t="shared" si="203"/>
        <v>#NUM!</v>
      </c>
      <c r="CB130" s="5"/>
      <c r="CC130" s="5" t="e">
        <f t="shared" si="251"/>
        <v>#NUM!</v>
      </c>
      <c r="CD130" s="5" t="e">
        <f t="shared" si="252"/>
        <v>#NUM!</v>
      </c>
      <c r="CE130" s="5"/>
      <c r="CI130" s="130">
        <f t="shared" si="206"/>
        <v>4.4938288345626027</v>
      </c>
      <c r="CJ130" s="130">
        <f t="shared" si="207"/>
        <v>4.4951709371892941</v>
      </c>
      <c r="CK130" s="296">
        <f t="shared" si="233"/>
        <v>4.9878531031722195</v>
      </c>
      <c r="CL130" s="130">
        <f t="shared" si="253"/>
        <v>4.9878531031722195</v>
      </c>
      <c r="CM130" s="5">
        <f t="shared" si="254"/>
        <v>0</v>
      </c>
      <c r="CN130" s="5">
        <f t="shared" si="209"/>
        <v>0</v>
      </c>
      <c r="DE130" s="130" t="e">
        <f t="shared" si="210"/>
        <v>#NUM!</v>
      </c>
      <c r="DF130" s="130" t="e">
        <f t="shared" si="211"/>
        <v>#NUM!</v>
      </c>
      <c r="DG130" s="130" t="e">
        <f t="shared" si="235"/>
        <v>#NUM!</v>
      </c>
      <c r="DH130" s="130" t="e">
        <f t="shared" si="212"/>
        <v>#NUM!</v>
      </c>
      <c r="DJ130" s="130" t="e">
        <f t="shared" si="213"/>
        <v>#NUM!</v>
      </c>
      <c r="DK130" s="130" t="e">
        <f t="shared" si="214"/>
        <v>#NUM!</v>
      </c>
      <c r="DL130" s="130" t="e">
        <f t="shared" si="255"/>
        <v>#NUM!</v>
      </c>
      <c r="DO130" s="130" t="e">
        <f t="shared" si="215"/>
        <v>#NUM!</v>
      </c>
      <c r="DP130" s="130" t="e">
        <f t="shared" si="216"/>
        <v>#NUM!</v>
      </c>
      <c r="DQ130" s="130" t="e">
        <f t="shared" si="256"/>
        <v>#NUM!</v>
      </c>
    </row>
    <row r="131" spans="2:121" hidden="1">
      <c r="B131" s="231">
        <v>125</v>
      </c>
      <c r="C131" s="280"/>
      <c r="D131" s="475"/>
      <c r="E131" s="318">
        <f t="shared" si="217"/>
        <v>44149</v>
      </c>
      <c r="F131" s="542">
        <f t="shared" si="240"/>
        <v>0</v>
      </c>
      <c r="G131" s="239"/>
      <c r="H131" s="685">
        <f t="shared" si="218"/>
        <v>0</v>
      </c>
      <c r="I131" s="234"/>
      <c r="J131" s="597">
        <f t="shared" si="219"/>
        <v>0</v>
      </c>
      <c r="K131" s="478">
        <f t="shared" si="220"/>
        <v>0</v>
      </c>
      <c r="L131" s="234"/>
      <c r="M131" s="235">
        <f t="shared" si="221"/>
        <v>0</v>
      </c>
      <c r="N131" s="479">
        <f t="shared" si="222"/>
        <v>0</v>
      </c>
      <c r="O131" s="234"/>
      <c r="P131" s="235">
        <f t="shared" si="223"/>
        <v>0</v>
      </c>
      <c r="Q131" s="651">
        <f t="shared" si="224"/>
        <v>0</v>
      </c>
      <c r="R131" s="479">
        <f>IF(J131&gt;0,IF(OR(ManualMode=FALSE,ISBLANK(S131)),'Pricing - Advanced'!$F$16*J131+'Pricing - Advanced'!$F$17,"N/A"),0)</f>
        <v>0</v>
      </c>
      <c r="S131" s="234"/>
      <c r="T131" s="235">
        <f t="shared" si="225"/>
        <v>0</v>
      </c>
      <c r="U131" s="599">
        <f>IF(OR(ManualMode=FALSE,ISBLANK(V131)),SUM(K131:L131)*'Pricing - Advanced'!$F$19+SUM(N131,O131)*'Pricing - Advanced'!$F$18,"N/A")</f>
        <v>0</v>
      </c>
      <c r="V131" s="234"/>
      <c r="W131" s="236">
        <f t="shared" si="226"/>
        <v>0</v>
      </c>
      <c r="X131" s="237">
        <f>'Pricing - Advanced'!$F$20*SUM(H131:I131)+IF(J131&gt;1,'Pricing - Advanced'!$F$21,0)</f>
        <v>0</v>
      </c>
      <c r="Y131" s="688">
        <f>IF(AND(FullTerm&gt;=B131,AB130&gt;0),AB130*'Pricing - Advanced'!$I$128,0)</f>
        <v>0</v>
      </c>
      <c r="Z131" s="233">
        <f t="shared" si="227"/>
        <v>0</v>
      </c>
      <c r="AA131" s="234"/>
      <c r="AB131" s="597">
        <f t="shared" si="228"/>
        <v>0</v>
      </c>
      <c r="AC131" s="236">
        <f t="shared" si="185"/>
        <v>0</v>
      </c>
      <c r="AF131" s="762" t="e">
        <f t="shared" si="229"/>
        <v>#N/A</v>
      </c>
      <c r="AG131" s="759" t="e">
        <f t="shared" si="186"/>
        <v>#N/A</v>
      </c>
      <c r="AH131" s="759">
        <f>IF(J131=0,0,J131-SUM($N$6:N131)-AB130)</f>
        <v>0</v>
      </c>
      <c r="AI131" s="759">
        <f t="shared" si="187"/>
        <v>0</v>
      </c>
      <c r="AJ131" s="760">
        <f t="shared" si="176"/>
        <v>3.0000000000000001E-3</v>
      </c>
      <c r="AK131" s="760">
        <f t="shared" si="177"/>
        <v>3.0000000000000001E-3</v>
      </c>
      <c r="AN131" s="1" t="b">
        <f t="shared" si="238"/>
        <v>1</v>
      </c>
      <c r="AQ131" s="15">
        <f>IF(J130&gt;1,IF(int_method=2,$AG$229*J130,$AG$229*'Pricing - Advanced'!$E$4),0)</f>
        <v>0</v>
      </c>
      <c r="AR131" s="5">
        <f t="shared" si="230"/>
        <v>0</v>
      </c>
      <c r="AS131" s="204">
        <f t="shared" si="239"/>
        <v>44149</v>
      </c>
      <c r="AT131" s="1">
        <f>IF($AT$4=FALSE,B131*'Pricing - Advanced'!$K$5,AT130+E131-E130)</f>
        <v>3806</v>
      </c>
      <c r="AW131">
        <f t="shared" si="241"/>
        <v>0</v>
      </c>
      <c r="AX131">
        <f t="shared" si="188"/>
        <v>0</v>
      </c>
      <c r="AY131">
        <f t="shared" si="242"/>
        <v>0</v>
      </c>
      <c r="AZ131">
        <f t="shared" si="243"/>
        <v>0</v>
      </c>
      <c r="BA131" s="603">
        <f t="shared" si="168"/>
        <v>0</v>
      </c>
      <c r="BB131" s="603">
        <f t="shared" si="169"/>
        <v>0</v>
      </c>
      <c r="BC131" s="5">
        <f t="shared" si="244"/>
        <v>0</v>
      </c>
      <c r="BE131" s="157">
        <f t="shared" si="192"/>
        <v>125</v>
      </c>
      <c r="BF131" s="489">
        <f t="shared" si="232"/>
        <v>3806</v>
      </c>
      <c r="BG131" s="146">
        <f t="shared" si="193"/>
        <v>0</v>
      </c>
      <c r="BH131" s="147">
        <f t="shared" si="194"/>
        <v>0</v>
      </c>
      <c r="BI131" s="154" t="e">
        <f t="shared" si="195"/>
        <v>#NUM!</v>
      </c>
      <c r="BJ131" s="277" t="e">
        <f t="shared" si="245"/>
        <v>#NUM!</v>
      </c>
      <c r="BK131" s="147" t="e">
        <f t="shared" si="246"/>
        <v>#NUM!</v>
      </c>
      <c r="BL131" s="132" t="e">
        <f t="shared" si="247"/>
        <v>#NUM!</v>
      </c>
      <c r="BN131" s="497">
        <f t="shared" si="196"/>
        <v>125</v>
      </c>
      <c r="BO131" s="497">
        <f t="shared" si="197"/>
        <v>3806</v>
      </c>
      <c r="BP131">
        <f t="shared" si="198"/>
        <v>0</v>
      </c>
      <c r="BQ131">
        <f t="shared" si="199"/>
        <v>0</v>
      </c>
      <c r="BR131" s="499" t="e">
        <f t="shared" si="200"/>
        <v>#NUM!</v>
      </c>
      <c r="BS131" s="277" t="e">
        <f t="shared" si="248"/>
        <v>#NUM!</v>
      </c>
      <c r="BT131" s="5" t="e">
        <f t="shared" si="249"/>
        <v>#NUM!</v>
      </c>
      <c r="BU131" s="5" t="e">
        <f t="shared" si="250"/>
        <v>#NUM!</v>
      </c>
      <c r="BW131" s="5"/>
      <c r="BX131" s="5"/>
      <c r="BY131" s="5"/>
      <c r="BZ131" s="5"/>
      <c r="CA131" s="130" t="e">
        <f t="shared" si="203"/>
        <v>#NUM!</v>
      </c>
      <c r="CB131" s="5"/>
      <c r="CC131" s="5" t="e">
        <f t="shared" si="251"/>
        <v>#NUM!</v>
      </c>
      <c r="CD131" s="5" t="e">
        <f t="shared" si="252"/>
        <v>#NUM!</v>
      </c>
      <c r="CE131" s="5"/>
      <c r="CI131" s="130">
        <f t="shared" si="206"/>
        <v>4.5486190203812269</v>
      </c>
      <c r="CJ131" s="130">
        <f t="shared" si="207"/>
        <v>4.5509966020661192</v>
      </c>
      <c r="CK131" s="296">
        <f t="shared" si="233"/>
        <v>5.0529149760398546</v>
      </c>
      <c r="CL131" s="130">
        <f t="shared" si="253"/>
        <v>5.0529149760398546</v>
      </c>
      <c r="CM131" s="5">
        <f t="shared" si="254"/>
        <v>0</v>
      </c>
      <c r="CN131" s="5">
        <f t="shared" si="209"/>
        <v>0</v>
      </c>
      <c r="DE131" s="130" t="e">
        <f t="shared" si="210"/>
        <v>#NUM!</v>
      </c>
      <c r="DF131" s="130" t="e">
        <f t="shared" si="211"/>
        <v>#NUM!</v>
      </c>
      <c r="DG131" s="130" t="e">
        <f t="shared" si="235"/>
        <v>#NUM!</v>
      </c>
      <c r="DH131" s="130" t="e">
        <f t="shared" si="212"/>
        <v>#NUM!</v>
      </c>
      <c r="DJ131" s="130" t="e">
        <f t="shared" si="213"/>
        <v>#NUM!</v>
      </c>
      <c r="DK131" s="130" t="e">
        <f t="shared" si="214"/>
        <v>#NUM!</v>
      </c>
      <c r="DL131" s="130" t="e">
        <f t="shared" si="255"/>
        <v>#NUM!</v>
      </c>
      <c r="DO131" s="130" t="e">
        <f t="shared" si="215"/>
        <v>#NUM!</v>
      </c>
      <c r="DP131" s="130" t="e">
        <f t="shared" si="216"/>
        <v>#NUM!</v>
      </c>
      <c r="DQ131" s="130" t="e">
        <f t="shared" si="256"/>
        <v>#NUM!</v>
      </c>
    </row>
    <row r="132" spans="2:121" hidden="1">
      <c r="B132" s="231">
        <v>126</v>
      </c>
      <c r="C132" s="280"/>
      <c r="D132" s="475"/>
      <c r="E132" s="318">
        <f t="shared" si="217"/>
        <v>44179</v>
      </c>
      <c r="F132" s="542">
        <f t="shared" si="240"/>
        <v>0</v>
      </c>
      <c r="G132" s="239"/>
      <c r="H132" s="685">
        <f t="shared" si="218"/>
        <v>0</v>
      </c>
      <c r="I132" s="234"/>
      <c r="J132" s="597">
        <f t="shared" si="219"/>
        <v>0</v>
      </c>
      <c r="K132" s="478">
        <f t="shared" si="220"/>
        <v>0</v>
      </c>
      <c r="L132" s="234"/>
      <c r="M132" s="235">
        <f t="shared" si="221"/>
        <v>0</v>
      </c>
      <c r="N132" s="479">
        <f t="shared" si="222"/>
        <v>0</v>
      </c>
      <c r="O132" s="234"/>
      <c r="P132" s="235">
        <f t="shared" si="223"/>
        <v>0</v>
      </c>
      <c r="Q132" s="651">
        <f t="shared" si="224"/>
        <v>0</v>
      </c>
      <c r="R132" s="479">
        <f>IF(J132&gt;0,IF(OR(ManualMode=FALSE,ISBLANK(S132)),'Pricing - Advanced'!$F$16*J132+'Pricing - Advanced'!$F$17,"N/A"),0)</f>
        <v>0</v>
      </c>
      <c r="S132" s="234"/>
      <c r="T132" s="235">
        <f t="shared" si="225"/>
        <v>0</v>
      </c>
      <c r="U132" s="599">
        <f>IF(OR(ManualMode=FALSE,ISBLANK(V132)),SUM(K132:L132)*'Pricing - Advanced'!$F$19+SUM(N132,O132)*'Pricing - Advanced'!$F$18,"N/A")</f>
        <v>0</v>
      </c>
      <c r="V132" s="234"/>
      <c r="W132" s="236">
        <f t="shared" si="226"/>
        <v>0</v>
      </c>
      <c r="X132" s="237">
        <f>'Pricing - Advanced'!$F$20*SUM(H132:I132)+IF(J132&gt;1,'Pricing - Advanced'!$F$21,0)</f>
        <v>0</v>
      </c>
      <c r="Y132" s="688">
        <f>IF(AND(FullTerm&gt;=B132,AB131&gt;0),AB131*'Pricing - Advanced'!$I$128,0)</f>
        <v>0</v>
      </c>
      <c r="Z132" s="233">
        <f t="shared" si="227"/>
        <v>0</v>
      </c>
      <c r="AA132" s="234"/>
      <c r="AB132" s="597">
        <f t="shared" si="228"/>
        <v>0</v>
      </c>
      <c r="AC132" s="236">
        <f t="shared" si="185"/>
        <v>0</v>
      </c>
      <c r="AF132" s="762" t="e">
        <f t="shared" si="229"/>
        <v>#N/A</v>
      </c>
      <c r="AG132" s="759" t="e">
        <f t="shared" si="186"/>
        <v>#N/A</v>
      </c>
      <c r="AH132" s="759">
        <f>IF(J132=0,0,J132-SUM($N$6:N132)-AB131)</f>
        <v>0</v>
      </c>
      <c r="AI132" s="759">
        <f t="shared" si="187"/>
        <v>0</v>
      </c>
      <c r="AJ132" s="760">
        <f t="shared" si="176"/>
        <v>3.0000000000000001E-3</v>
      </c>
      <c r="AK132" s="760">
        <f t="shared" si="177"/>
        <v>3.0000000000000001E-3</v>
      </c>
      <c r="AN132" s="1" t="b">
        <f t="shared" si="238"/>
        <v>1</v>
      </c>
      <c r="AQ132" s="15">
        <f>IF(J131&gt;1,IF(int_method=2,$AG$229*J131,$AG$229*'Pricing - Advanced'!$E$4),0)</f>
        <v>0</v>
      </c>
      <c r="AR132" s="5">
        <f t="shared" si="230"/>
        <v>0</v>
      </c>
      <c r="AS132" s="204">
        <f t="shared" si="239"/>
        <v>44179</v>
      </c>
      <c r="AT132" s="1">
        <f>IF($AT$4=FALSE,B132*'Pricing - Advanced'!$K$5,AT131+E132-E131)</f>
        <v>3836</v>
      </c>
      <c r="AW132">
        <f t="shared" si="241"/>
        <v>0</v>
      </c>
      <c r="AX132">
        <f t="shared" si="188"/>
        <v>0</v>
      </c>
      <c r="AY132">
        <f t="shared" si="242"/>
        <v>0</v>
      </c>
      <c r="AZ132">
        <f t="shared" si="243"/>
        <v>0</v>
      </c>
      <c r="BA132" s="603">
        <f t="shared" si="168"/>
        <v>0</v>
      </c>
      <c r="BB132" s="603">
        <f t="shared" si="169"/>
        <v>0</v>
      </c>
      <c r="BC132" s="5">
        <f t="shared" si="244"/>
        <v>0</v>
      </c>
      <c r="BE132" s="157">
        <f t="shared" si="192"/>
        <v>126</v>
      </c>
      <c r="BF132" s="489">
        <f t="shared" si="232"/>
        <v>3836</v>
      </c>
      <c r="BG132" s="146">
        <f t="shared" si="193"/>
        <v>0</v>
      </c>
      <c r="BH132" s="147">
        <f t="shared" si="194"/>
        <v>0</v>
      </c>
      <c r="BI132" s="154" t="e">
        <f t="shared" si="195"/>
        <v>#NUM!</v>
      </c>
      <c r="BJ132" s="277" t="e">
        <f t="shared" si="245"/>
        <v>#NUM!</v>
      </c>
      <c r="BK132" s="147" t="e">
        <f t="shared" si="246"/>
        <v>#NUM!</v>
      </c>
      <c r="BL132" s="132" t="e">
        <f t="shared" si="247"/>
        <v>#NUM!</v>
      </c>
      <c r="BN132" s="497">
        <f t="shared" si="196"/>
        <v>126</v>
      </c>
      <c r="BO132" s="497">
        <f t="shared" si="197"/>
        <v>3836</v>
      </c>
      <c r="BP132">
        <f t="shared" si="198"/>
        <v>0</v>
      </c>
      <c r="BQ132">
        <f t="shared" si="199"/>
        <v>0</v>
      </c>
      <c r="BR132" s="499" t="e">
        <f t="shared" si="200"/>
        <v>#NUM!</v>
      </c>
      <c r="BS132" s="277" t="e">
        <f t="shared" si="248"/>
        <v>#NUM!</v>
      </c>
      <c r="BT132" s="5" t="e">
        <f t="shared" si="249"/>
        <v>#NUM!</v>
      </c>
      <c r="BU132" s="5" t="e">
        <f t="shared" si="250"/>
        <v>#NUM!</v>
      </c>
      <c r="BW132" s="5"/>
      <c r="BX132" s="5"/>
      <c r="BY132" s="5"/>
      <c r="BZ132" s="5"/>
      <c r="CA132" s="130" t="e">
        <f t="shared" si="203"/>
        <v>#NUM!</v>
      </c>
      <c r="CB132" s="5"/>
      <c r="CC132" s="5" t="e">
        <f t="shared" si="251"/>
        <v>#NUM!</v>
      </c>
      <c r="CD132" s="5" t="e">
        <f t="shared" si="252"/>
        <v>#NUM!</v>
      </c>
      <c r="CE132" s="5"/>
      <c r="CI132" s="130">
        <f t="shared" si="206"/>
        <v>4.6040772255153524</v>
      </c>
      <c r="CJ132" s="130">
        <f t="shared" si="207"/>
        <v>4.6056814657215268</v>
      </c>
      <c r="CK132" s="296">
        <f t="shared" si="233"/>
        <v>5.1188255201120105</v>
      </c>
      <c r="CL132" s="130">
        <f t="shared" si="253"/>
        <v>5.1188255201120105</v>
      </c>
      <c r="CM132" s="5">
        <f t="shared" si="254"/>
        <v>0</v>
      </c>
      <c r="CN132" s="5">
        <f t="shared" si="209"/>
        <v>0</v>
      </c>
      <c r="DE132" s="130" t="e">
        <f t="shared" si="210"/>
        <v>#NUM!</v>
      </c>
      <c r="DF132" s="130" t="e">
        <f t="shared" si="211"/>
        <v>#NUM!</v>
      </c>
      <c r="DG132" s="130" t="e">
        <f t="shared" si="235"/>
        <v>#NUM!</v>
      </c>
      <c r="DH132" s="130" t="e">
        <f t="shared" si="212"/>
        <v>#NUM!</v>
      </c>
      <c r="DJ132" s="130" t="e">
        <f t="shared" si="213"/>
        <v>#NUM!</v>
      </c>
      <c r="DK132" s="130" t="e">
        <f t="shared" si="214"/>
        <v>#NUM!</v>
      </c>
      <c r="DL132" s="130" t="e">
        <f t="shared" si="255"/>
        <v>#NUM!</v>
      </c>
      <c r="DO132" s="130" t="e">
        <f t="shared" si="215"/>
        <v>#NUM!</v>
      </c>
      <c r="DP132" s="130" t="e">
        <f t="shared" si="216"/>
        <v>#NUM!</v>
      </c>
      <c r="DQ132" s="130" t="e">
        <f t="shared" si="256"/>
        <v>#NUM!</v>
      </c>
    </row>
    <row r="133" spans="2:121" hidden="1">
      <c r="B133" s="231">
        <v>127</v>
      </c>
      <c r="C133" s="280"/>
      <c r="D133" s="475"/>
      <c r="E133" s="318">
        <f t="shared" si="217"/>
        <v>44210</v>
      </c>
      <c r="F133" s="542">
        <f t="shared" si="240"/>
        <v>0</v>
      </c>
      <c r="G133" s="239"/>
      <c r="H133" s="685">
        <f t="shared" si="218"/>
        <v>0</v>
      </c>
      <c r="I133" s="234"/>
      <c r="J133" s="597">
        <f t="shared" si="219"/>
        <v>0</v>
      </c>
      <c r="K133" s="478">
        <f t="shared" si="220"/>
        <v>0</v>
      </c>
      <c r="L133" s="234"/>
      <c r="M133" s="235">
        <f t="shared" si="221"/>
        <v>0</v>
      </c>
      <c r="N133" s="479">
        <f t="shared" si="222"/>
        <v>0</v>
      </c>
      <c r="O133" s="234"/>
      <c r="P133" s="235">
        <f t="shared" si="223"/>
        <v>0</v>
      </c>
      <c r="Q133" s="651">
        <f t="shared" si="224"/>
        <v>0</v>
      </c>
      <c r="R133" s="479">
        <f>IF(J133&gt;0,IF(OR(ManualMode=FALSE,ISBLANK(S133)),'Pricing - Advanced'!$F$16*J133+'Pricing - Advanced'!$F$17,"N/A"),0)</f>
        <v>0</v>
      </c>
      <c r="S133" s="234"/>
      <c r="T133" s="235">
        <f t="shared" si="225"/>
        <v>0</v>
      </c>
      <c r="U133" s="599">
        <f>IF(OR(ManualMode=FALSE,ISBLANK(V133)),SUM(K133:L133)*'Pricing - Advanced'!$F$19+SUM(N133,O133)*'Pricing - Advanced'!$F$18,"N/A")</f>
        <v>0</v>
      </c>
      <c r="V133" s="234"/>
      <c r="W133" s="236">
        <f t="shared" si="226"/>
        <v>0</v>
      </c>
      <c r="X133" s="237">
        <f>'Pricing - Advanced'!$F$20*SUM(H133:I133)+IF(J133&gt;1,'Pricing - Advanced'!$F$21,0)</f>
        <v>0</v>
      </c>
      <c r="Y133" s="688">
        <f>IF(AND(FullTerm&gt;=B133,AB132&gt;0),AB132*'Pricing - Advanced'!$I$128,0)</f>
        <v>0</v>
      </c>
      <c r="Z133" s="233">
        <f t="shared" si="227"/>
        <v>0</v>
      </c>
      <c r="AA133" s="234"/>
      <c r="AB133" s="597">
        <f t="shared" si="228"/>
        <v>0</v>
      </c>
      <c r="AC133" s="236">
        <f t="shared" si="185"/>
        <v>0</v>
      </c>
      <c r="AF133" s="762" t="e">
        <f t="shared" si="229"/>
        <v>#N/A</v>
      </c>
      <c r="AG133" s="759" t="e">
        <f t="shared" si="186"/>
        <v>#N/A</v>
      </c>
      <c r="AH133" s="759">
        <f>IF(J133=0,0,J133-SUM($N$6:N133)-AB132)</f>
        <v>0</v>
      </c>
      <c r="AI133" s="759">
        <f t="shared" si="187"/>
        <v>0</v>
      </c>
      <c r="AJ133" s="760">
        <f t="shared" si="176"/>
        <v>3.0000000000000001E-3</v>
      </c>
      <c r="AK133" s="760">
        <f t="shared" si="177"/>
        <v>3.0000000000000001E-3</v>
      </c>
      <c r="AN133" s="1" t="b">
        <f t="shared" si="238"/>
        <v>1</v>
      </c>
      <c r="AQ133" s="15">
        <f>IF(J132&gt;1,IF(int_method=2,$AG$229*J132,$AG$229*'Pricing - Advanced'!$E$4),0)</f>
        <v>0</v>
      </c>
      <c r="AR133" s="5">
        <f t="shared" si="230"/>
        <v>0</v>
      </c>
      <c r="AS133" s="204">
        <f t="shared" si="239"/>
        <v>44210</v>
      </c>
      <c r="AT133" s="1">
        <f>IF($AT$4=FALSE,B133*'Pricing - Advanced'!$K$5,AT132+E133-E132)</f>
        <v>3867</v>
      </c>
      <c r="AW133">
        <f t="shared" si="241"/>
        <v>0</v>
      </c>
      <c r="AX133">
        <f t="shared" si="188"/>
        <v>0</v>
      </c>
      <c r="AY133">
        <f t="shared" si="242"/>
        <v>0</v>
      </c>
      <c r="AZ133">
        <f t="shared" si="243"/>
        <v>0</v>
      </c>
      <c r="BA133" s="603">
        <f t="shared" si="168"/>
        <v>0</v>
      </c>
      <c r="BB133" s="603">
        <f t="shared" si="169"/>
        <v>0</v>
      </c>
      <c r="BC133" s="5">
        <f t="shared" si="244"/>
        <v>0</v>
      </c>
      <c r="BE133" s="157">
        <f t="shared" si="192"/>
        <v>127</v>
      </c>
      <c r="BF133" s="489">
        <f t="shared" si="232"/>
        <v>3867</v>
      </c>
      <c r="BG133" s="146">
        <f t="shared" si="193"/>
        <v>0</v>
      </c>
      <c r="BH133" s="147">
        <f t="shared" si="194"/>
        <v>0</v>
      </c>
      <c r="BI133" s="154" t="e">
        <f t="shared" si="195"/>
        <v>#NUM!</v>
      </c>
      <c r="BJ133" s="277" t="e">
        <f t="shared" si="245"/>
        <v>#NUM!</v>
      </c>
      <c r="BK133" s="147" t="e">
        <f t="shared" si="246"/>
        <v>#NUM!</v>
      </c>
      <c r="BL133" s="132" t="e">
        <f t="shared" si="247"/>
        <v>#NUM!</v>
      </c>
      <c r="BN133" s="497">
        <f t="shared" si="196"/>
        <v>127</v>
      </c>
      <c r="BO133" s="497">
        <f t="shared" si="197"/>
        <v>3867</v>
      </c>
      <c r="BP133">
        <f t="shared" si="198"/>
        <v>0</v>
      </c>
      <c r="BQ133">
        <f t="shared" si="199"/>
        <v>0</v>
      </c>
      <c r="BR133" s="499" t="e">
        <f t="shared" si="200"/>
        <v>#NUM!</v>
      </c>
      <c r="BS133" s="277" t="e">
        <f t="shared" si="248"/>
        <v>#NUM!</v>
      </c>
      <c r="BT133" s="5" t="e">
        <f t="shared" si="249"/>
        <v>#NUM!</v>
      </c>
      <c r="BU133" s="5" t="e">
        <f t="shared" si="250"/>
        <v>#NUM!</v>
      </c>
      <c r="BW133" s="5"/>
      <c r="BX133" s="5"/>
      <c r="BY133" s="5"/>
      <c r="BZ133" s="5"/>
      <c r="CA133" s="130" t="e">
        <f t="shared" si="203"/>
        <v>#NUM!</v>
      </c>
      <c r="CB133" s="5"/>
      <c r="CC133" s="5" t="e">
        <f t="shared" si="251"/>
        <v>#NUM!</v>
      </c>
      <c r="CD133" s="5" t="e">
        <f t="shared" si="252"/>
        <v>#NUM!</v>
      </c>
      <c r="CE133" s="5"/>
      <c r="CI133" s="130">
        <f t="shared" si="206"/>
        <v>4.6602115946682545</v>
      </c>
      <c r="CJ133" s="130">
        <f t="shared" si="207"/>
        <v>4.6628795642204324</v>
      </c>
      <c r="CK133" s="296">
        <f t="shared" si="233"/>
        <v>5.1855958055098146</v>
      </c>
      <c r="CL133" s="130">
        <f t="shared" si="253"/>
        <v>5.1855958055098146</v>
      </c>
      <c r="CM133" s="5">
        <f t="shared" si="254"/>
        <v>0</v>
      </c>
      <c r="CN133" s="5">
        <f t="shared" si="209"/>
        <v>0</v>
      </c>
      <c r="DE133" s="130" t="e">
        <f t="shared" si="210"/>
        <v>#NUM!</v>
      </c>
      <c r="DF133" s="130" t="e">
        <f t="shared" si="211"/>
        <v>#NUM!</v>
      </c>
      <c r="DG133" s="130" t="e">
        <f t="shared" si="235"/>
        <v>#NUM!</v>
      </c>
      <c r="DH133" s="130" t="e">
        <f t="shared" si="212"/>
        <v>#NUM!</v>
      </c>
      <c r="DJ133" s="130" t="e">
        <f t="shared" si="213"/>
        <v>#NUM!</v>
      </c>
      <c r="DK133" s="130" t="e">
        <f t="shared" si="214"/>
        <v>#NUM!</v>
      </c>
      <c r="DL133" s="130" t="e">
        <f t="shared" si="255"/>
        <v>#NUM!</v>
      </c>
      <c r="DO133" s="130" t="e">
        <f t="shared" si="215"/>
        <v>#NUM!</v>
      </c>
      <c r="DP133" s="130" t="e">
        <f t="shared" si="216"/>
        <v>#NUM!</v>
      </c>
      <c r="DQ133" s="130" t="e">
        <f t="shared" si="256"/>
        <v>#NUM!</v>
      </c>
    </row>
    <row r="134" spans="2:121" hidden="1">
      <c r="B134" s="231">
        <v>128</v>
      </c>
      <c r="C134" s="280"/>
      <c r="D134" s="475"/>
      <c r="E134" s="318">
        <f t="shared" si="217"/>
        <v>44241</v>
      </c>
      <c r="F134" s="542">
        <f t="shared" si="240"/>
        <v>0</v>
      </c>
      <c r="G134" s="239"/>
      <c r="H134" s="685">
        <f t="shared" si="218"/>
        <v>0</v>
      </c>
      <c r="I134" s="234"/>
      <c r="J134" s="597">
        <f t="shared" si="219"/>
        <v>0</v>
      </c>
      <c r="K134" s="478">
        <f t="shared" si="220"/>
        <v>0</v>
      </c>
      <c r="L134" s="234"/>
      <c r="M134" s="235">
        <f t="shared" si="221"/>
        <v>0</v>
      </c>
      <c r="N134" s="479">
        <f t="shared" si="222"/>
        <v>0</v>
      </c>
      <c r="O134" s="234"/>
      <c r="P134" s="235">
        <f t="shared" si="223"/>
        <v>0</v>
      </c>
      <c r="Q134" s="651">
        <f t="shared" si="224"/>
        <v>0</v>
      </c>
      <c r="R134" s="479">
        <f>IF(J134&gt;0,IF(OR(ManualMode=FALSE,ISBLANK(S134)),'Pricing - Advanced'!$F$16*J134+'Pricing - Advanced'!$F$17,"N/A"),0)</f>
        <v>0</v>
      </c>
      <c r="S134" s="234"/>
      <c r="T134" s="235">
        <f t="shared" si="225"/>
        <v>0</v>
      </c>
      <c r="U134" s="599">
        <f>IF(OR(ManualMode=FALSE,ISBLANK(V134)),SUM(K134:L134)*'Pricing - Advanced'!$F$19+SUM(N134,O134)*'Pricing - Advanced'!$F$18,"N/A")</f>
        <v>0</v>
      </c>
      <c r="V134" s="234"/>
      <c r="W134" s="236">
        <f t="shared" si="226"/>
        <v>0</v>
      </c>
      <c r="X134" s="237">
        <f>'Pricing - Advanced'!$F$20*SUM(H134:I134)+IF(J134&gt;1,'Pricing - Advanced'!$F$21,0)</f>
        <v>0</v>
      </c>
      <c r="Y134" s="688">
        <f>IF(AND(FullTerm&gt;=B134,AB133&gt;0),AB133*'Pricing - Advanced'!$I$128,0)</f>
        <v>0</v>
      </c>
      <c r="Z134" s="233">
        <f t="shared" si="227"/>
        <v>0</v>
      </c>
      <c r="AA134" s="234"/>
      <c r="AB134" s="597">
        <f t="shared" si="228"/>
        <v>0</v>
      </c>
      <c r="AC134" s="236">
        <f t="shared" ref="AC134:AC165" si="257">IF(AND(ManualMode=TRUE,NOT(ISBLANK(AA134)),AN134="x"),W134-AA134,W134-X134+Z134)</f>
        <v>0</v>
      </c>
      <c r="AF134" s="762" t="e">
        <f t="shared" si="229"/>
        <v>#N/A</v>
      </c>
      <c r="AG134" s="759" t="e">
        <f t="shared" ref="AG134:AG165" si="258">IF(AB134&gt;0,AB134,NA())</f>
        <v>#N/A</v>
      </c>
      <c r="AH134" s="759">
        <f>IF(J134=0,0,J134-SUM($N$6:N134)-AB133)</f>
        <v>0</v>
      </c>
      <c r="AI134" s="759">
        <f t="shared" ref="AI134:AI165" si="259">IF(AND(AH134&lt;0,B134&lt;=term),1,0)</f>
        <v>0</v>
      </c>
      <c r="AJ134" s="760">
        <f t="shared" si="176"/>
        <v>3.0000000000000001E-3</v>
      </c>
      <c r="AK134" s="760">
        <f t="shared" si="177"/>
        <v>3.0000000000000001E-3</v>
      </c>
      <c r="AN134" s="1" t="b">
        <f t="shared" si="238"/>
        <v>1</v>
      </c>
      <c r="AQ134" s="15">
        <f>IF(J133&gt;1,IF(int_method=2,$AG$229*J133,$AG$229*'Pricing - Advanced'!$E$4),0)</f>
        <v>0</v>
      </c>
      <c r="AR134" s="5">
        <f t="shared" si="230"/>
        <v>0</v>
      </c>
      <c r="AS134" s="204">
        <f t="shared" si="239"/>
        <v>44241</v>
      </c>
      <c r="AT134" s="1">
        <f>IF($AT$4=FALSE,B134*'Pricing - Advanced'!$K$5,AT133+E134-E133)</f>
        <v>3898</v>
      </c>
      <c r="AW134">
        <f t="shared" si="241"/>
        <v>0</v>
      </c>
      <c r="AX134">
        <f t="shared" ref="AX134:AX165" si="260">G134+Z134</f>
        <v>0</v>
      </c>
      <c r="AY134">
        <f t="shared" si="242"/>
        <v>0</v>
      </c>
      <c r="AZ134">
        <f t="shared" si="243"/>
        <v>0</v>
      </c>
      <c r="BA134" s="603">
        <f t="shared" si="168"/>
        <v>0</v>
      </c>
      <c r="BB134" s="603">
        <f t="shared" si="169"/>
        <v>0</v>
      </c>
      <c r="BC134" s="5">
        <f t="shared" si="244"/>
        <v>0</v>
      </c>
      <c r="BE134" s="157">
        <f t="shared" ref="BE134:BE165" si="261">B134</f>
        <v>128</v>
      </c>
      <c r="BF134" s="489">
        <f t="shared" si="232"/>
        <v>3898</v>
      </c>
      <c r="BG134" s="146">
        <f t="shared" ref="BG134:BG165" si="262">AW134</f>
        <v>0</v>
      </c>
      <c r="BH134" s="147">
        <f t="shared" ref="BH134:BH165" si="263">AY134</f>
        <v>0</v>
      </c>
      <c r="BI134" s="154" t="e">
        <f t="shared" ref="BI134:BI165" si="264">DH134</f>
        <v>#NUM!</v>
      </c>
      <c r="BJ134" s="277" t="e">
        <f t="shared" si="245"/>
        <v>#NUM!</v>
      </c>
      <c r="BK134" s="147" t="e">
        <f t="shared" si="246"/>
        <v>#NUM!</v>
      </c>
      <c r="BL134" s="132" t="e">
        <f t="shared" si="247"/>
        <v>#NUM!</v>
      </c>
      <c r="BN134" s="497">
        <f t="shared" ref="BN134:BN165" si="265">BE134</f>
        <v>128</v>
      </c>
      <c r="BO134" s="497">
        <f t="shared" ref="BO134:BO165" si="266">BF134</f>
        <v>3898</v>
      </c>
      <c r="BP134">
        <f t="shared" ref="BP134:BP165" si="267">AW134</f>
        <v>0</v>
      </c>
      <c r="BQ134">
        <f t="shared" ref="BQ134:BQ165" si="268">AZ134</f>
        <v>0</v>
      </c>
      <c r="BR134" s="499" t="e">
        <f t="shared" ref="BR134:BR165" si="269">IF($CR$1=1,DJ134,IF($CR$1=2,DL134,DK134))</f>
        <v>#NUM!</v>
      </c>
      <c r="BS134" s="277" t="e">
        <f t="shared" si="248"/>
        <v>#NUM!</v>
      </c>
      <c r="BT134" s="5" t="e">
        <f t="shared" si="249"/>
        <v>#NUM!</v>
      </c>
      <c r="BU134" s="5" t="e">
        <f t="shared" si="250"/>
        <v>#NUM!</v>
      </c>
      <c r="BW134" s="5"/>
      <c r="BX134" s="5"/>
      <c r="BY134" s="5"/>
      <c r="BZ134" s="5"/>
      <c r="CA134" s="130" t="e">
        <f t="shared" ref="CA134:CA165" si="270">IF($CR$1=1,DO134,IF($CR$1=2,DQ134,DP134))</f>
        <v>#NUM!</v>
      </c>
      <c r="CB134" s="5"/>
      <c r="CC134" s="5" t="e">
        <f t="shared" si="251"/>
        <v>#NUM!</v>
      </c>
      <c r="CD134" s="5" t="e">
        <f t="shared" si="252"/>
        <v>#NUM!</v>
      </c>
      <c r="CE134" s="5"/>
      <c r="CI134" s="130">
        <f t="shared" ref="CI134:CI165" si="271">(1+CJ$2)^($B134/$CR$4)</f>
        <v>4.7170303718460094</v>
      </c>
      <c r="CJ134" s="130">
        <f t="shared" ref="CJ134:CJ165" si="272">(1+CJ$2)^($AT134/DaysYr)</f>
        <v>4.7207880076479318</v>
      </c>
      <c r="CK134" s="296">
        <f t="shared" si="233"/>
        <v>5.2532370467537577</v>
      </c>
      <c r="CL134" s="130">
        <f t="shared" si="253"/>
        <v>5.2532370467537577</v>
      </c>
      <c r="CM134" s="5">
        <f t="shared" si="254"/>
        <v>0</v>
      </c>
      <c r="CN134" s="5">
        <f t="shared" ref="CN134:CN165" si="273">BC134/CL134</f>
        <v>0</v>
      </c>
      <c r="DE134" s="130" t="e">
        <f t="shared" ref="DE134:DE165" si="274">(1+DF$3)^($B134/$CR$4)</f>
        <v>#NUM!</v>
      </c>
      <c r="DF134" s="130" t="e">
        <f t="shared" ref="DF134:DF165" si="275">(1+DF$3)^($BF134/DaysYr)</f>
        <v>#NUM!</v>
      </c>
      <c r="DG134" s="130" t="e">
        <f t="shared" si="235"/>
        <v>#NUM!</v>
      </c>
      <c r="DH134" s="130" t="e">
        <f t="shared" ref="DH134:DH165" si="276">IF($CR$1=1,DE134,IF($CR$1=2,DG134,DF134))</f>
        <v>#NUM!</v>
      </c>
      <c r="DJ134" s="130" t="e">
        <f t="shared" ref="DJ134:DJ165" si="277">(1+DK$3)^($B134/$CR$4)</f>
        <v>#NUM!</v>
      </c>
      <c r="DK134" s="130" t="e">
        <f t="shared" si="214"/>
        <v>#NUM!</v>
      </c>
      <c r="DL134" s="130" t="e">
        <f t="shared" si="255"/>
        <v>#NUM!</v>
      </c>
      <c r="DO134" s="130" t="e">
        <f t="shared" ref="DO134:DO165" si="278">(1+DP$3)^($B134/$CR$4)</f>
        <v>#NUM!</v>
      </c>
      <c r="DP134" s="130" t="e">
        <f t="shared" si="216"/>
        <v>#NUM!</v>
      </c>
      <c r="DQ134" s="130" t="e">
        <f t="shared" si="256"/>
        <v>#NUM!</v>
      </c>
    </row>
    <row r="135" spans="2:121" hidden="1">
      <c r="B135" s="231">
        <v>129</v>
      </c>
      <c r="C135" s="280"/>
      <c r="D135" s="475"/>
      <c r="E135" s="318">
        <f t="shared" ref="E135:E166" si="279">IF(ManualDates="x",IF(NOT(ISBLANK(D135)),D135,IF(C135=0,AS135,E134+C135)),AS135)</f>
        <v>44269</v>
      </c>
      <c r="F135" s="542">
        <f t="shared" si="240"/>
        <v>0</v>
      </c>
      <c r="G135" s="239"/>
      <c r="H135" s="685">
        <f t="shared" ref="H135:H166" si="280">IF(AND(ManualMode=TRUE,NOT(ISBLANK(I135))),"N/A",IF(B135=PrepayPeriod,J134,IF(AND(B135&gt;=FirstPmt,B135&lt;=PrepayPeriod),IF(AND(B135&lt;$AG$228,amortized=1),LoanAmt/$AG$226,-PPMT($AG$229,$B135-FirstPmt+1,$AG$226,LoanAmt)),0)))</f>
        <v>0</v>
      </c>
      <c r="I135" s="234"/>
      <c r="J135" s="597">
        <f t="shared" ref="J135:J166" si="281">IF(AN135&lt;&gt;"x",0,IF(AND(ManualMode=TRUE,NOT(ISBLANK(I135))),J134-I135,IF(J134+G135-H135&gt;1,(J134+G135-H135),0)))</f>
        <v>0</v>
      </c>
      <c r="K135" s="478">
        <f t="shared" ref="K135:K166" si="282">IF(AND(ManualMode=TRUE,NOT(ISBLANK(L135))),"N/A",IF(OR($AH$227&gt;B135,J134&lt;1),0,AR135))</f>
        <v>0</v>
      </c>
      <c r="L135" s="234"/>
      <c r="M135" s="235">
        <f t="shared" ref="M135:M166" si="283">IF(AN135="x",IF(ManualMode=FALSE,-H135-K135,IF(ISBLANK(I135),-H135,-I135)+IF(ISBLANK(L135),-K135,-L135)),0)</f>
        <v>0</v>
      </c>
      <c r="N135" s="479">
        <f t="shared" ref="N135:N166" si="284">IF(OR(ManualMode=FALSE,ISBLANK(O135)),IF(FeeOngoPerc&lt;1,FeeOngoPerc*SUM(H135:I135),IF(J134&gt;1,FeeOngoPerc,0))+IF(FeeOngoFix&lt;1,FeeOngoFix*SUM(H135:I135),IF(J134&gt;1,FeeOngoFix,0)),"N/A")</f>
        <v>0</v>
      </c>
      <c r="O135" s="234"/>
      <c r="P135" s="235">
        <f t="shared" ref="P135:P166" si="285">IF(AND(ManualMode=TRUE,NOT(ISBLANK(O135)),AN135="x"),M135-O135,M135-N135)</f>
        <v>0</v>
      </c>
      <c r="Q135" s="651">
        <f t="shared" ref="Q135:Q166" si="286">IF(J134&gt;0.01,IF(ManualMode=FALSE,SUM(K135,N135),SUM(K135,L135,N135,O135))/J134*(365.25/(AT135-AT134)),0)</f>
        <v>0</v>
      </c>
      <c r="R135" s="479">
        <f>IF(J135&gt;0,IF(OR(ManualMode=FALSE,ISBLANK(S135)),'Pricing - Advanced'!$F$16*J135+'Pricing - Advanced'!$F$17,"N/A"),0)</f>
        <v>0</v>
      </c>
      <c r="S135" s="234"/>
      <c r="T135" s="235">
        <f t="shared" ref="T135:T166" si="287">IF(AND(ManualMode=TRUE,NOT(ISBLANK(S135)),AN135="x"),P135-S135,P135-R135)</f>
        <v>0</v>
      </c>
      <c r="U135" s="599">
        <f>IF(OR(ManualMode=FALSE,ISBLANK(V135)),SUM(K135:L135)*'Pricing - Advanced'!$F$19+SUM(N135,O135)*'Pricing - Advanced'!$F$18,"N/A")</f>
        <v>0</v>
      </c>
      <c r="V135" s="234"/>
      <c r="W135" s="236">
        <f t="shared" ref="W135:W166" si="288">IF(AND(ManualMode=TRUE,NOT(ISBLANK(V135)),AN135="x"),T135-V135,T135-U135)</f>
        <v>0</v>
      </c>
      <c r="X135" s="237">
        <f>'Pricing - Advanced'!$F$20*SUM(H135:I135)+IF(J135&gt;1,'Pricing - Advanced'!$F$21,0)</f>
        <v>0</v>
      </c>
      <c r="Y135" s="688">
        <f>IF(AND(FullTerm&gt;=B135,AB134&gt;0),AB134*'Pricing - Advanced'!$I$128,0)</f>
        <v>0</v>
      </c>
      <c r="Z135" s="233">
        <f t="shared" ref="Z135:Z166" si="289">IF(FullTerm=B135,AB134+X135+Y135,0)</f>
        <v>0</v>
      </c>
      <c r="AA135" s="234"/>
      <c r="AB135" s="597">
        <f t="shared" ref="AB135:AB166" si="290">IF(AND(ManualMode=TRUE,NOT(ISBLANK(AA135)),AN135="x"),AB134+AA135,AB134+X135+Y135-Z135)</f>
        <v>0</v>
      </c>
      <c r="AC135" s="236">
        <f t="shared" si="257"/>
        <v>0</v>
      </c>
      <c r="AF135" s="762" t="e">
        <f t="shared" ref="AF135:AF166" si="291">IF(int_method=1,AF134,IF(J135&gt;0,J135,NA()))</f>
        <v>#N/A</v>
      </c>
      <c r="AG135" s="759" t="e">
        <f t="shared" si="258"/>
        <v>#N/A</v>
      </c>
      <c r="AH135" s="759">
        <f>IF(J135=0,0,J135-SUM($N$6:N135)-AB134)</f>
        <v>0</v>
      </c>
      <c r="AI135" s="759">
        <f t="shared" si="259"/>
        <v>0</v>
      </c>
      <c r="AJ135" s="760">
        <f t="shared" si="176"/>
        <v>3.0000000000000001E-3</v>
      </c>
      <c r="AK135" s="760">
        <f t="shared" si="177"/>
        <v>3.0000000000000001E-3</v>
      </c>
      <c r="AN135" s="1" t="b">
        <f t="shared" si="238"/>
        <v>1</v>
      </c>
      <c r="AQ135" s="15">
        <f>IF(J134&gt;1,IF(int_method=2,$AG$229*J134,$AG$229*'Pricing - Advanced'!$E$4),0)</f>
        <v>0</v>
      </c>
      <c r="AR135" s="5">
        <f t="shared" ref="AR135:AR166" si="292">IF(B135&gt;$AI$233,AQ135,0)+AR134-IF(ManualMode=TRUE,SUM(K134:L134),K134)</f>
        <v>0</v>
      </c>
      <c r="AS135" s="204">
        <f t="shared" si="239"/>
        <v>44269</v>
      </c>
      <c r="AT135" s="1">
        <f>IF($AT$4=FALSE,B135*'Pricing - Advanced'!$K$5,AT134+E135-E134)</f>
        <v>3926</v>
      </c>
      <c r="AW135">
        <f t="shared" si="241"/>
        <v>0</v>
      </c>
      <c r="AX135">
        <f t="shared" si="260"/>
        <v>0</v>
      </c>
      <c r="AY135">
        <f t="shared" si="242"/>
        <v>0</v>
      </c>
      <c r="AZ135">
        <f t="shared" si="243"/>
        <v>0</v>
      </c>
      <c r="BA135" s="603">
        <f t="shared" ref="BA135:BA188" si="293">AZ135+IF(ISNUMBER(R135),R135,S135)</f>
        <v>0</v>
      </c>
      <c r="BB135" s="603">
        <f t="shared" ref="BB135:BB188" si="294">BA135+IF(ISNUMBER(U135),U135,V135)</f>
        <v>0</v>
      </c>
      <c r="BC135" s="5">
        <f t="shared" si="244"/>
        <v>0</v>
      </c>
      <c r="BE135" s="157">
        <f t="shared" si="261"/>
        <v>129</v>
      </c>
      <c r="BF135" s="489">
        <f t="shared" ref="BF135:BF166" si="295">E135-$E$6</f>
        <v>3926</v>
      </c>
      <c r="BG135" s="146">
        <f t="shared" si="262"/>
        <v>0</v>
      </c>
      <c r="BH135" s="147">
        <f t="shared" si="263"/>
        <v>0</v>
      </c>
      <c r="BI135" s="154" t="e">
        <f t="shared" si="264"/>
        <v>#NUM!</v>
      </c>
      <c r="BJ135" s="277" t="e">
        <f t="shared" si="245"/>
        <v>#NUM!</v>
      </c>
      <c r="BK135" s="147" t="e">
        <f t="shared" si="246"/>
        <v>#NUM!</v>
      </c>
      <c r="BL135" s="132" t="e">
        <f t="shared" si="247"/>
        <v>#NUM!</v>
      </c>
      <c r="BN135" s="497">
        <f t="shared" si="265"/>
        <v>129</v>
      </c>
      <c r="BO135" s="497">
        <f t="shared" si="266"/>
        <v>3926</v>
      </c>
      <c r="BP135">
        <f t="shared" si="267"/>
        <v>0</v>
      </c>
      <c r="BQ135">
        <f t="shared" si="268"/>
        <v>0</v>
      </c>
      <c r="BR135" s="499" t="e">
        <f t="shared" si="269"/>
        <v>#NUM!</v>
      </c>
      <c r="BS135" s="277" t="e">
        <f t="shared" si="248"/>
        <v>#NUM!</v>
      </c>
      <c r="BT135" s="5" t="e">
        <f t="shared" si="249"/>
        <v>#NUM!</v>
      </c>
      <c r="BU135" s="5" t="e">
        <f t="shared" si="250"/>
        <v>#NUM!</v>
      </c>
      <c r="BW135" s="5"/>
      <c r="BX135" s="5"/>
      <c r="BY135" s="5"/>
      <c r="BZ135" s="5"/>
      <c r="CA135" s="130" t="e">
        <f t="shared" si="270"/>
        <v>#NUM!</v>
      </c>
      <c r="CB135" s="5"/>
      <c r="CC135" s="5" t="e">
        <f t="shared" si="251"/>
        <v>#NUM!</v>
      </c>
      <c r="CD135" s="5" t="e">
        <f t="shared" si="252"/>
        <v>#NUM!</v>
      </c>
      <c r="CE135" s="5"/>
      <c r="CI135" s="130">
        <f t="shared" si="271"/>
        <v>4.7745419015682344</v>
      </c>
      <c r="CJ135" s="130">
        <f t="shared" si="272"/>
        <v>4.7737103005072852</v>
      </c>
      <c r="CK135" s="296">
        <f t="shared" ref="CK135:CK166" si="296">CK134*(1+CJ$2/PeriodsYr)</f>
        <v>5.3217606046472472</v>
      </c>
      <c r="CL135" s="130">
        <f t="shared" si="253"/>
        <v>5.3217606046472472</v>
      </c>
      <c r="CM135" s="5">
        <f t="shared" si="254"/>
        <v>0</v>
      </c>
      <c r="CN135" s="5">
        <f t="shared" si="273"/>
        <v>0</v>
      </c>
      <c r="DE135" s="130" t="e">
        <f t="shared" si="274"/>
        <v>#NUM!</v>
      </c>
      <c r="DF135" s="130" t="e">
        <f t="shared" si="275"/>
        <v>#NUM!</v>
      </c>
      <c r="DG135" s="130" t="e">
        <f t="shared" ref="DG135:DG166" si="297">DG134*(1+DF$3/PeriodsYr)</f>
        <v>#NUM!</v>
      </c>
      <c r="DH135" s="130" t="e">
        <f t="shared" si="276"/>
        <v>#NUM!</v>
      </c>
      <c r="DJ135" s="130" t="e">
        <f t="shared" si="277"/>
        <v>#NUM!</v>
      </c>
      <c r="DK135" s="130" t="e">
        <f t="shared" si="214"/>
        <v>#NUM!</v>
      </c>
      <c r="DL135" s="130" t="e">
        <f t="shared" si="255"/>
        <v>#NUM!</v>
      </c>
      <c r="DO135" s="130" t="e">
        <f t="shared" si="278"/>
        <v>#NUM!</v>
      </c>
      <c r="DP135" s="130" t="e">
        <f t="shared" si="216"/>
        <v>#NUM!</v>
      </c>
      <c r="DQ135" s="130" t="e">
        <f t="shared" si="256"/>
        <v>#NUM!</v>
      </c>
    </row>
    <row r="136" spans="2:121" hidden="1">
      <c r="B136" s="231">
        <v>130</v>
      </c>
      <c r="C136" s="280"/>
      <c r="D136" s="475"/>
      <c r="E136" s="318">
        <f t="shared" si="279"/>
        <v>44300</v>
      </c>
      <c r="F136" s="542">
        <f t="shared" si="240"/>
        <v>0</v>
      </c>
      <c r="G136" s="239"/>
      <c r="H136" s="685">
        <f t="shared" si="280"/>
        <v>0</v>
      </c>
      <c r="I136" s="234"/>
      <c r="J136" s="597">
        <f t="shared" si="281"/>
        <v>0</v>
      </c>
      <c r="K136" s="478">
        <f t="shared" si="282"/>
        <v>0</v>
      </c>
      <c r="L136" s="234"/>
      <c r="M136" s="235">
        <f t="shared" si="283"/>
        <v>0</v>
      </c>
      <c r="N136" s="479">
        <f t="shared" si="284"/>
        <v>0</v>
      </c>
      <c r="O136" s="234"/>
      <c r="P136" s="235">
        <f t="shared" si="285"/>
        <v>0</v>
      </c>
      <c r="Q136" s="651">
        <f t="shared" si="286"/>
        <v>0</v>
      </c>
      <c r="R136" s="479">
        <f>IF(J136&gt;0,IF(OR(ManualMode=FALSE,ISBLANK(S136)),'Pricing - Advanced'!$F$16*J136+'Pricing - Advanced'!$F$17,"N/A"),0)</f>
        <v>0</v>
      </c>
      <c r="S136" s="234"/>
      <c r="T136" s="235">
        <f t="shared" si="287"/>
        <v>0</v>
      </c>
      <c r="U136" s="599">
        <f>IF(OR(ManualMode=FALSE,ISBLANK(V136)),SUM(K136:L136)*'Pricing - Advanced'!$F$19+SUM(N136,O136)*'Pricing - Advanced'!$F$18,"N/A")</f>
        <v>0</v>
      </c>
      <c r="V136" s="234"/>
      <c r="W136" s="236">
        <f t="shared" si="288"/>
        <v>0</v>
      </c>
      <c r="X136" s="237">
        <f>'Pricing - Advanced'!$F$20*SUM(H136:I136)+IF(J136&gt;1,'Pricing - Advanced'!$F$21,0)</f>
        <v>0</v>
      </c>
      <c r="Y136" s="688">
        <f>IF(AND(FullTerm&gt;=B136,AB135&gt;0),AB135*'Pricing - Advanced'!$I$128,0)</f>
        <v>0</v>
      </c>
      <c r="Z136" s="233">
        <f t="shared" si="289"/>
        <v>0</v>
      </c>
      <c r="AA136" s="234"/>
      <c r="AB136" s="597">
        <f t="shared" si="290"/>
        <v>0</v>
      </c>
      <c r="AC136" s="236">
        <f t="shared" si="257"/>
        <v>0</v>
      </c>
      <c r="AF136" s="762" t="e">
        <f t="shared" si="291"/>
        <v>#N/A</v>
      </c>
      <c r="AG136" s="759" t="e">
        <f t="shared" si="258"/>
        <v>#N/A</v>
      </c>
      <c r="AH136" s="759">
        <f>IF(J136=0,0,J136-SUM($N$6:N136)-AB135)</f>
        <v>0</v>
      </c>
      <c r="AI136" s="759">
        <f t="shared" si="259"/>
        <v>0</v>
      </c>
      <c r="AJ136" s="760">
        <f t="shared" ref="AJ136:AJ188" si="298">AJ135+J135*(E136-E135)</f>
        <v>3.0000000000000001E-3</v>
      </c>
      <c r="AK136" s="760">
        <f t="shared" ref="AK136:AK188" si="299">AK135+AH135*(E136-E135)</f>
        <v>3.0000000000000001E-3</v>
      </c>
      <c r="AN136" s="1" t="b">
        <f t="shared" ref="AN136:AN167" si="300">IF(B136&lt;=term,"x",TRUE)</f>
        <v>1</v>
      </c>
      <c r="AQ136" s="15">
        <f>IF(J135&gt;1,IF(int_method=2,$AG$229*J135,$AG$229*'Pricing - Advanced'!$E$4),0)</f>
        <v>0</v>
      </c>
      <c r="AR136" s="5">
        <f t="shared" si="292"/>
        <v>0</v>
      </c>
      <c r="AS136" s="204">
        <f t="shared" ref="AS136:AS167" si="301">IF(SameDay,EDATE(E135,$CR$3),E135+DaysPeriod)</f>
        <v>44300</v>
      </c>
      <c r="AT136" s="1">
        <f>IF($AT$4=FALSE,B136*'Pricing - Advanced'!$K$5,AT135+E136-E135)</f>
        <v>3957</v>
      </c>
      <c r="AW136">
        <f t="shared" si="241"/>
        <v>0</v>
      </c>
      <c r="AX136">
        <f t="shared" si="260"/>
        <v>0</v>
      </c>
      <c r="AY136">
        <f t="shared" si="242"/>
        <v>0</v>
      </c>
      <c r="AZ136">
        <f t="shared" si="243"/>
        <v>0</v>
      </c>
      <c r="BA136" s="603">
        <f t="shared" si="293"/>
        <v>0</v>
      </c>
      <c r="BB136" s="603">
        <f t="shared" si="294"/>
        <v>0</v>
      </c>
      <c r="BC136" s="5">
        <f t="shared" si="244"/>
        <v>0</v>
      </c>
      <c r="BE136" s="157">
        <f t="shared" si="261"/>
        <v>130</v>
      </c>
      <c r="BF136" s="489">
        <f t="shared" si="295"/>
        <v>3957</v>
      </c>
      <c r="BG136" s="146">
        <f t="shared" si="262"/>
        <v>0</v>
      </c>
      <c r="BH136" s="147">
        <f t="shared" si="263"/>
        <v>0</v>
      </c>
      <c r="BI136" s="154" t="e">
        <f t="shared" si="264"/>
        <v>#NUM!</v>
      </c>
      <c r="BJ136" s="277" t="e">
        <f t="shared" si="245"/>
        <v>#NUM!</v>
      </c>
      <c r="BK136" s="147" t="e">
        <f t="shared" si="246"/>
        <v>#NUM!</v>
      </c>
      <c r="BL136" s="132" t="e">
        <f t="shared" si="247"/>
        <v>#NUM!</v>
      </c>
      <c r="BN136" s="497">
        <f t="shared" si="265"/>
        <v>130</v>
      </c>
      <c r="BO136" s="497">
        <f t="shared" si="266"/>
        <v>3957</v>
      </c>
      <c r="BP136">
        <f t="shared" si="267"/>
        <v>0</v>
      </c>
      <c r="BQ136">
        <f t="shared" si="268"/>
        <v>0</v>
      </c>
      <c r="BR136" s="499" t="e">
        <f t="shared" si="269"/>
        <v>#NUM!</v>
      </c>
      <c r="BS136" s="277" t="e">
        <f t="shared" si="248"/>
        <v>#NUM!</v>
      </c>
      <c r="BT136" s="5" t="e">
        <f t="shared" si="249"/>
        <v>#NUM!</v>
      </c>
      <c r="BU136" s="5" t="e">
        <f t="shared" si="250"/>
        <v>#NUM!</v>
      </c>
      <c r="BW136" s="5"/>
      <c r="BX136" s="5"/>
      <c r="BY136" s="5"/>
      <c r="BZ136" s="5"/>
      <c r="CA136" s="130" t="e">
        <f t="shared" si="270"/>
        <v>#NUM!</v>
      </c>
      <c r="CB136" s="5"/>
      <c r="CC136" s="5" t="e">
        <f t="shared" si="251"/>
        <v>#NUM!</v>
      </c>
      <c r="CD136" s="5" t="e">
        <f t="shared" si="252"/>
        <v>#NUM!</v>
      </c>
      <c r="CE136" s="5"/>
      <c r="CI136" s="130">
        <f t="shared" si="271"/>
        <v>4.832754630093576</v>
      </c>
      <c r="CJ136" s="130">
        <f t="shared" si="272"/>
        <v>4.8329951542267295</v>
      </c>
      <c r="CK136" s="296">
        <f t="shared" si="296"/>
        <v>5.391177988184733</v>
      </c>
      <c r="CL136" s="130">
        <f t="shared" si="253"/>
        <v>5.391177988184733</v>
      </c>
      <c r="CM136" s="5">
        <f t="shared" si="254"/>
        <v>0</v>
      </c>
      <c r="CN136" s="5">
        <f t="shared" si="273"/>
        <v>0</v>
      </c>
      <c r="DE136" s="130" t="e">
        <f t="shared" si="274"/>
        <v>#NUM!</v>
      </c>
      <c r="DF136" s="130" t="e">
        <f t="shared" si="275"/>
        <v>#NUM!</v>
      </c>
      <c r="DG136" s="130" t="e">
        <f t="shared" si="297"/>
        <v>#NUM!</v>
      </c>
      <c r="DH136" s="130" t="e">
        <f t="shared" si="276"/>
        <v>#NUM!</v>
      </c>
      <c r="DJ136" s="130" t="e">
        <f t="shared" si="277"/>
        <v>#NUM!</v>
      </c>
      <c r="DK136" s="130" t="e">
        <f t="shared" si="214"/>
        <v>#NUM!</v>
      </c>
      <c r="DL136" s="130" t="e">
        <f t="shared" si="255"/>
        <v>#NUM!</v>
      </c>
      <c r="DO136" s="130" t="e">
        <f t="shared" si="278"/>
        <v>#NUM!</v>
      </c>
      <c r="DP136" s="130" t="e">
        <f t="shared" si="216"/>
        <v>#NUM!</v>
      </c>
      <c r="DQ136" s="130" t="e">
        <f t="shared" si="256"/>
        <v>#NUM!</v>
      </c>
    </row>
    <row r="137" spans="2:121" hidden="1">
      <c r="B137" s="231">
        <v>131</v>
      </c>
      <c r="C137" s="280"/>
      <c r="D137" s="475"/>
      <c r="E137" s="318">
        <f t="shared" si="279"/>
        <v>44330</v>
      </c>
      <c r="F137" s="542">
        <f t="shared" si="240"/>
        <v>0</v>
      </c>
      <c r="G137" s="239"/>
      <c r="H137" s="685">
        <f t="shared" si="280"/>
        <v>0</v>
      </c>
      <c r="I137" s="234"/>
      <c r="J137" s="597">
        <f t="shared" si="281"/>
        <v>0</v>
      </c>
      <c r="K137" s="478">
        <f t="shared" si="282"/>
        <v>0</v>
      </c>
      <c r="L137" s="234"/>
      <c r="M137" s="235">
        <f t="shared" si="283"/>
        <v>0</v>
      </c>
      <c r="N137" s="479">
        <f t="shared" si="284"/>
        <v>0</v>
      </c>
      <c r="O137" s="234"/>
      <c r="P137" s="235">
        <f t="shared" si="285"/>
        <v>0</v>
      </c>
      <c r="Q137" s="651">
        <f t="shared" si="286"/>
        <v>0</v>
      </c>
      <c r="R137" s="479">
        <f>IF(J137&gt;0,IF(OR(ManualMode=FALSE,ISBLANK(S137)),'Pricing - Advanced'!$F$16*J137+'Pricing - Advanced'!$F$17,"N/A"),0)</f>
        <v>0</v>
      </c>
      <c r="S137" s="234"/>
      <c r="T137" s="235">
        <f t="shared" si="287"/>
        <v>0</v>
      </c>
      <c r="U137" s="599">
        <f>IF(OR(ManualMode=FALSE,ISBLANK(V137)),SUM(K137:L137)*'Pricing - Advanced'!$F$19+SUM(N137,O137)*'Pricing - Advanced'!$F$18,"N/A")</f>
        <v>0</v>
      </c>
      <c r="V137" s="234"/>
      <c r="W137" s="236">
        <f t="shared" si="288"/>
        <v>0</v>
      </c>
      <c r="X137" s="237">
        <f>'Pricing - Advanced'!$F$20*SUM(H137:I137)+IF(J137&gt;1,'Pricing - Advanced'!$F$21,0)</f>
        <v>0</v>
      </c>
      <c r="Y137" s="688">
        <f>IF(AND(FullTerm&gt;=B137,AB136&gt;0),AB136*'Pricing - Advanced'!$I$128,0)</f>
        <v>0</v>
      </c>
      <c r="Z137" s="233">
        <f t="shared" si="289"/>
        <v>0</v>
      </c>
      <c r="AA137" s="234"/>
      <c r="AB137" s="597">
        <f t="shared" si="290"/>
        <v>0</v>
      </c>
      <c r="AC137" s="236">
        <f t="shared" si="257"/>
        <v>0</v>
      </c>
      <c r="AF137" s="762" t="e">
        <f t="shared" si="291"/>
        <v>#N/A</v>
      </c>
      <c r="AG137" s="759" t="e">
        <f t="shared" si="258"/>
        <v>#N/A</v>
      </c>
      <c r="AH137" s="759">
        <f>IF(J137=0,0,J137-SUM($N$6:N137)-AB136)</f>
        <v>0</v>
      </c>
      <c r="AI137" s="759">
        <f t="shared" si="259"/>
        <v>0</v>
      </c>
      <c r="AJ137" s="760">
        <f t="shared" si="298"/>
        <v>3.0000000000000001E-3</v>
      </c>
      <c r="AK137" s="760">
        <f t="shared" si="299"/>
        <v>3.0000000000000001E-3</v>
      </c>
      <c r="AN137" s="1" t="b">
        <f t="shared" si="300"/>
        <v>1</v>
      </c>
      <c r="AQ137" s="15">
        <f>IF(J136&gt;1,IF(int_method=2,$AG$229*J136,$AG$229*'Pricing - Advanced'!$E$4),0)</f>
        <v>0</v>
      </c>
      <c r="AR137" s="5">
        <f t="shared" si="292"/>
        <v>0</v>
      </c>
      <c r="AS137" s="204">
        <f t="shared" si="301"/>
        <v>44330</v>
      </c>
      <c r="AT137" s="1">
        <f>IF($AT$4=FALSE,B137*'Pricing - Advanced'!$K$5,AT136+E137-E136)</f>
        <v>3987</v>
      </c>
      <c r="AW137">
        <f t="shared" si="241"/>
        <v>0</v>
      </c>
      <c r="AX137">
        <f t="shared" si="260"/>
        <v>0</v>
      </c>
      <c r="AY137">
        <f t="shared" si="242"/>
        <v>0</v>
      </c>
      <c r="AZ137">
        <f t="shared" si="243"/>
        <v>0</v>
      </c>
      <c r="BA137" s="603">
        <f t="shared" si="293"/>
        <v>0</v>
      </c>
      <c r="BB137" s="603">
        <f t="shared" si="294"/>
        <v>0</v>
      </c>
      <c r="BC137" s="5">
        <f t="shared" si="244"/>
        <v>0</v>
      </c>
      <c r="BE137" s="157">
        <f t="shared" si="261"/>
        <v>131</v>
      </c>
      <c r="BF137" s="489">
        <f t="shared" si="295"/>
        <v>3987</v>
      </c>
      <c r="BG137" s="146">
        <f t="shared" si="262"/>
        <v>0</v>
      </c>
      <c r="BH137" s="147">
        <f t="shared" si="263"/>
        <v>0</v>
      </c>
      <c r="BI137" s="154" t="e">
        <f t="shared" si="264"/>
        <v>#NUM!</v>
      </c>
      <c r="BJ137" s="277" t="e">
        <f t="shared" si="245"/>
        <v>#NUM!</v>
      </c>
      <c r="BK137" s="147" t="e">
        <f t="shared" si="246"/>
        <v>#NUM!</v>
      </c>
      <c r="BL137" s="132" t="e">
        <f t="shared" si="247"/>
        <v>#NUM!</v>
      </c>
      <c r="BN137" s="497">
        <f t="shared" si="265"/>
        <v>131</v>
      </c>
      <c r="BO137" s="497">
        <f t="shared" si="266"/>
        <v>3987</v>
      </c>
      <c r="BP137">
        <f t="shared" si="267"/>
        <v>0</v>
      </c>
      <c r="BQ137">
        <f t="shared" si="268"/>
        <v>0</v>
      </c>
      <c r="BR137" s="499" t="e">
        <f t="shared" si="269"/>
        <v>#NUM!</v>
      </c>
      <c r="BS137" s="277" t="e">
        <f t="shared" si="248"/>
        <v>#NUM!</v>
      </c>
      <c r="BT137" s="5" t="e">
        <f t="shared" si="249"/>
        <v>#NUM!</v>
      </c>
      <c r="BU137" s="5" t="e">
        <f t="shared" si="250"/>
        <v>#NUM!</v>
      </c>
      <c r="BW137" s="5"/>
      <c r="BX137" s="5"/>
      <c r="BY137" s="5"/>
      <c r="BZ137" s="5"/>
      <c r="CA137" s="130" t="e">
        <f t="shared" si="270"/>
        <v>#NUM!</v>
      </c>
      <c r="CB137" s="5"/>
      <c r="CC137" s="5" t="e">
        <f t="shared" si="251"/>
        <v>#NUM!</v>
      </c>
      <c r="CD137" s="5" t="e">
        <f t="shared" si="252"/>
        <v>#NUM!</v>
      </c>
      <c r="CE137" s="5"/>
      <c r="CI137" s="130">
        <f t="shared" si="271"/>
        <v>4.8916771066601354</v>
      </c>
      <c r="CJ137" s="130">
        <f t="shared" si="272"/>
        <v>4.8910685179677955</v>
      </c>
      <c r="CK137" s="296">
        <f t="shared" si="296"/>
        <v>5.4615008564847214</v>
      </c>
      <c r="CL137" s="130">
        <f t="shared" si="253"/>
        <v>5.4615008564847214</v>
      </c>
      <c r="CM137" s="5">
        <f t="shared" si="254"/>
        <v>0</v>
      </c>
      <c r="CN137" s="5">
        <f t="shared" si="273"/>
        <v>0</v>
      </c>
      <c r="DE137" s="130" t="e">
        <f t="shared" si="274"/>
        <v>#NUM!</v>
      </c>
      <c r="DF137" s="130" t="e">
        <f t="shared" si="275"/>
        <v>#NUM!</v>
      </c>
      <c r="DG137" s="130" t="e">
        <f t="shared" si="297"/>
        <v>#NUM!</v>
      </c>
      <c r="DH137" s="130" t="e">
        <f t="shared" si="276"/>
        <v>#NUM!</v>
      </c>
      <c r="DJ137" s="130" t="e">
        <f t="shared" si="277"/>
        <v>#NUM!</v>
      </c>
      <c r="DK137" s="130" t="e">
        <f t="shared" si="214"/>
        <v>#NUM!</v>
      </c>
      <c r="DL137" s="130" t="e">
        <f t="shared" si="255"/>
        <v>#NUM!</v>
      </c>
      <c r="DO137" s="130" t="e">
        <f t="shared" si="278"/>
        <v>#NUM!</v>
      </c>
      <c r="DP137" s="130" t="e">
        <f t="shared" si="216"/>
        <v>#NUM!</v>
      </c>
      <c r="DQ137" s="130" t="e">
        <f t="shared" si="256"/>
        <v>#NUM!</v>
      </c>
    </row>
    <row r="138" spans="2:121" hidden="1">
      <c r="B138" s="231">
        <v>132</v>
      </c>
      <c r="C138" s="280"/>
      <c r="D138" s="475"/>
      <c r="E138" s="318">
        <f t="shared" si="279"/>
        <v>44361</v>
      </c>
      <c r="F138" s="542">
        <f t="shared" si="240"/>
        <v>0</v>
      </c>
      <c r="G138" s="239"/>
      <c r="H138" s="685">
        <f t="shared" si="280"/>
        <v>0</v>
      </c>
      <c r="I138" s="234"/>
      <c r="J138" s="597">
        <f t="shared" si="281"/>
        <v>0</v>
      </c>
      <c r="K138" s="478">
        <f t="shared" si="282"/>
        <v>0</v>
      </c>
      <c r="L138" s="234"/>
      <c r="M138" s="235">
        <f t="shared" si="283"/>
        <v>0</v>
      </c>
      <c r="N138" s="479">
        <f t="shared" si="284"/>
        <v>0</v>
      </c>
      <c r="O138" s="234"/>
      <c r="P138" s="235">
        <f t="shared" si="285"/>
        <v>0</v>
      </c>
      <c r="Q138" s="651">
        <f t="shared" si="286"/>
        <v>0</v>
      </c>
      <c r="R138" s="479">
        <f>IF(J138&gt;0,IF(OR(ManualMode=FALSE,ISBLANK(S138)),'Pricing - Advanced'!$F$16*J138+'Pricing - Advanced'!$F$17,"N/A"),0)</f>
        <v>0</v>
      </c>
      <c r="S138" s="234"/>
      <c r="T138" s="235">
        <f t="shared" si="287"/>
        <v>0</v>
      </c>
      <c r="U138" s="599">
        <f>IF(OR(ManualMode=FALSE,ISBLANK(V138)),SUM(K138:L138)*'Pricing - Advanced'!$F$19+SUM(N138,O138)*'Pricing - Advanced'!$F$18,"N/A")</f>
        <v>0</v>
      </c>
      <c r="V138" s="234"/>
      <c r="W138" s="236">
        <f t="shared" si="288"/>
        <v>0</v>
      </c>
      <c r="X138" s="237">
        <f>'Pricing - Advanced'!$F$20*SUM(H138:I138)+IF(J138&gt;1,'Pricing - Advanced'!$F$21,0)</f>
        <v>0</v>
      </c>
      <c r="Y138" s="688">
        <f>IF(AND(FullTerm&gt;=B138,AB137&gt;0),AB137*'Pricing - Advanced'!$I$128,0)</f>
        <v>0</v>
      </c>
      <c r="Z138" s="233">
        <f t="shared" si="289"/>
        <v>0</v>
      </c>
      <c r="AA138" s="234"/>
      <c r="AB138" s="597">
        <f t="shared" si="290"/>
        <v>0</v>
      </c>
      <c r="AC138" s="236">
        <f t="shared" si="257"/>
        <v>0</v>
      </c>
      <c r="AF138" s="762" t="e">
        <f t="shared" si="291"/>
        <v>#N/A</v>
      </c>
      <c r="AG138" s="759" t="e">
        <f t="shared" si="258"/>
        <v>#N/A</v>
      </c>
      <c r="AH138" s="759">
        <f>IF(J138=0,0,J138-SUM($N$6:N138)-AB137)</f>
        <v>0</v>
      </c>
      <c r="AI138" s="759">
        <f t="shared" si="259"/>
        <v>0</v>
      </c>
      <c r="AJ138" s="760">
        <f t="shared" si="298"/>
        <v>3.0000000000000001E-3</v>
      </c>
      <c r="AK138" s="760">
        <f t="shared" si="299"/>
        <v>3.0000000000000001E-3</v>
      </c>
      <c r="AN138" s="1" t="b">
        <f t="shared" si="300"/>
        <v>1</v>
      </c>
      <c r="AQ138" s="15">
        <f>IF(J137&gt;1,IF(int_method=2,$AG$229*J137,$AG$229*'Pricing - Advanced'!$E$4),0)</f>
        <v>0</v>
      </c>
      <c r="AR138" s="5">
        <f t="shared" si="292"/>
        <v>0</v>
      </c>
      <c r="AS138" s="204">
        <f t="shared" si="301"/>
        <v>44361</v>
      </c>
      <c r="AT138" s="1">
        <f>IF($AT$4=FALSE,B138*'Pricing - Advanced'!$K$5,AT137+E138-E137)</f>
        <v>4018</v>
      </c>
      <c r="AW138">
        <f t="shared" si="241"/>
        <v>0</v>
      </c>
      <c r="AX138">
        <f t="shared" si="260"/>
        <v>0</v>
      </c>
      <c r="AY138">
        <f t="shared" si="242"/>
        <v>0</v>
      </c>
      <c r="AZ138">
        <f t="shared" si="243"/>
        <v>0</v>
      </c>
      <c r="BA138" s="603">
        <f t="shared" si="293"/>
        <v>0</v>
      </c>
      <c r="BB138" s="603">
        <f t="shared" si="294"/>
        <v>0</v>
      </c>
      <c r="BC138" s="5">
        <f t="shared" si="244"/>
        <v>0</v>
      </c>
      <c r="BE138" s="157">
        <f t="shared" si="261"/>
        <v>132</v>
      </c>
      <c r="BF138" s="489">
        <f t="shared" si="295"/>
        <v>4018</v>
      </c>
      <c r="BG138" s="146">
        <f t="shared" si="262"/>
        <v>0</v>
      </c>
      <c r="BH138" s="147">
        <f t="shared" si="263"/>
        <v>0</v>
      </c>
      <c r="BI138" s="154" t="e">
        <f t="shared" si="264"/>
        <v>#NUM!</v>
      </c>
      <c r="BJ138" s="277" t="e">
        <f t="shared" si="245"/>
        <v>#NUM!</v>
      </c>
      <c r="BK138" s="147" t="e">
        <f t="shared" si="246"/>
        <v>#NUM!</v>
      </c>
      <c r="BL138" s="132" t="e">
        <f t="shared" si="247"/>
        <v>#NUM!</v>
      </c>
      <c r="BN138" s="497">
        <f t="shared" si="265"/>
        <v>132</v>
      </c>
      <c r="BO138" s="497">
        <f t="shared" si="266"/>
        <v>4018</v>
      </c>
      <c r="BP138">
        <f t="shared" si="267"/>
        <v>0</v>
      </c>
      <c r="BQ138">
        <f t="shared" si="268"/>
        <v>0</v>
      </c>
      <c r="BR138" s="499" t="e">
        <f t="shared" si="269"/>
        <v>#NUM!</v>
      </c>
      <c r="BS138" s="277" t="e">
        <f t="shared" si="248"/>
        <v>#NUM!</v>
      </c>
      <c r="BT138" s="5" t="e">
        <f t="shared" si="249"/>
        <v>#NUM!</v>
      </c>
      <c r="BU138" s="5" t="e">
        <f t="shared" si="250"/>
        <v>#NUM!</v>
      </c>
      <c r="BW138" s="5"/>
      <c r="BX138" s="5"/>
      <c r="BY138" s="5"/>
      <c r="BZ138" s="5"/>
      <c r="CA138" s="130" t="e">
        <f t="shared" si="270"/>
        <v>#NUM!</v>
      </c>
      <c r="CB138" s="5"/>
      <c r="CC138" s="5" t="e">
        <f t="shared" si="251"/>
        <v>#NUM!</v>
      </c>
      <c r="CD138" s="5" t="e">
        <f t="shared" si="252"/>
        <v>#NUM!</v>
      </c>
      <c r="CE138" s="5"/>
      <c r="CI138" s="130">
        <f t="shared" si="271"/>
        <v>4.9513179847410429</v>
      </c>
      <c r="CJ138" s="130">
        <f t="shared" si="272"/>
        <v>4.9518108469668318</v>
      </c>
      <c r="CK138" s="296">
        <f t="shared" si="296"/>
        <v>5.5327410207479994</v>
      </c>
      <c r="CL138" s="130">
        <f t="shared" si="253"/>
        <v>5.5327410207479994</v>
      </c>
      <c r="CM138" s="5">
        <f t="shared" si="254"/>
        <v>0</v>
      </c>
      <c r="CN138" s="5">
        <f t="shared" si="273"/>
        <v>0</v>
      </c>
      <c r="DE138" s="130" t="e">
        <f t="shared" si="274"/>
        <v>#NUM!</v>
      </c>
      <c r="DF138" s="130" t="e">
        <f t="shared" si="275"/>
        <v>#NUM!</v>
      </c>
      <c r="DG138" s="130" t="e">
        <f t="shared" si="297"/>
        <v>#NUM!</v>
      </c>
      <c r="DH138" s="130" t="e">
        <f t="shared" si="276"/>
        <v>#NUM!</v>
      </c>
      <c r="DJ138" s="130" t="e">
        <f t="shared" si="277"/>
        <v>#NUM!</v>
      </c>
      <c r="DK138" s="130" t="e">
        <f t="shared" si="214"/>
        <v>#NUM!</v>
      </c>
      <c r="DL138" s="130" t="e">
        <f t="shared" si="255"/>
        <v>#NUM!</v>
      </c>
      <c r="DO138" s="130" t="e">
        <f t="shared" si="278"/>
        <v>#NUM!</v>
      </c>
      <c r="DP138" s="130" t="e">
        <f t="shared" si="216"/>
        <v>#NUM!</v>
      </c>
      <c r="DQ138" s="130" t="e">
        <f t="shared" si="256"/>
        <v>#NUM!</v>
      </c>
    </row>
    <row r="139" spans="2:121" hidden="1">
      <c r="B139" s="231">
        <v>133</v>
      </c>
      <c r="C139" s="280"/>
      <c r="D139" s="475"/>
      <c r="E139" s="318">
        <f t="shared" si="279"/>
        <v>44391</v>
      </c>
      <c r="F139" s="542">
        <f t="shared" si="240"/>
        <v>0</v>
      </c>
      <c r="G139" s="239"/>
      <c r="H139" s="685">
        <f t="shared" si="280"/>
        <v>0</v>
      </c>
      <c r="I139" s="234"/>
      <c r="J139" s="597">
        <f t="shared" si="281"/>
        <v>0</v>
      </c>
      <c r="K139" s="478">
        <f t="shared" si="282"/>
        <v>0</v>
      </c>
      <c r="L139" s="234"/>
      <c r="M139" s="235">
        <f t="shared" si="283"/>
        <v>0</v>
      </c>
      <c r="N139" s="479">
        <f t="shared" si="284"/>
        <v>0</v>
      </c>
      <c r="O139" s="234"/>
      <c r="P139" s="235">
        <f t="shared" si="285"/>
        <v>0</v>
      </c>
      <c r="Q139" s="651">
        <f t="shared" si="286"/>
        <v>0</v>
      </c>
      <c r="R139" s="479">
        <f>IF(J139&gt;0,IF(OR(ManualMode=FALSE,ISBLANK(S139)),'Pricing - Advanced'!$F$16*J139+'Pricing - Advanced'!$F$17,"N/A"),0)</f>
        <v>0</v>
      </c>
      <c r="S139" s="234"/>
      <c r="T139" s="235">
        <f t="shared" si="287"/>
        <v>0</v>
      </c>
      <c r="U139" s="599">
        <f>IF(OR(ManualMode=FALSE,ISBLANK(V139)),SUM(K139:L139)*'Pricing - Advanced'!$F$19+SUM(N139,O139)*'Pricing - Advanced'!$F$18,"N/A")</f>
        <v>0</v>
      </c>
      <c r="V139" s="234"/>
      <c r="W139" s="236">
        <f t="shared" si="288"/>
        <v>0</v>
      </c>
      <c r="X139" s="237">
        <f>'Pricing - Advanced'!$F$20*SUM(H139:I139)+IF(J139&gt;1,'Pricing - Advanced'!$F$21,0)</f>
        <v>0</v>
      </c>
      <c r="Y139" s="688">
        <f>IF(AND(FullTerm&gt;=B139,AB138&gt;0),AB138*'Pricing - Advanced'!$I$128,0)</f>
        <v>0</v>
      </c>
      <c r="Z139" s="233">
        <f t="shared" si="289"/>
        <v>0</v>
      </c>
      <c r="AA139" s="234"/>
      <c r="AB139" s="597">
        <f t="shared" si="290"/>
        <v>0</v>
      </c>
      <c r="AC139" s="236">
        <f t="shared" si="257"/>
        <v>0</v>
      </c>
      <c r="AF139" s="762" t="e">
        <f t="shared" si="291"/>
        <v>#N/A</v>
      </c>
      <c r="AG139" s="759" t="e">
        <f t="shared" si="258"/>
        <v>#N/A</v>
      </c>
      <c r="AH139" s="759">
        <f>IF(J139=0,0,J139-SUM($N$6:N139)-AB138)</f>
        <v>0</v>
      </c>
      <c r="AI139" s="759">
        <f t="shared" si="259"/>
        <v>0</v>
      </c>
      <c r="AJ139" s="760">
        <f t="shared" si="298"/>
        <v>3.0000000000000001E-3</v>
      </c>
      <c r="AK139" s="760">
        <f t="shared" si="299"/>
        <v>3.0000000000000001E-3</v>
      </c>
      <c r="AN139" s="1" t="b">
        <f t="shared" si="300"/>
        <v>1</v>
      </c>
      <c r="AQ139" s="15">
        <f>IF(J138&gt;1,IF(int_method=2,$AG$229*J138,$AG$229*'Pricing - Advanced'!$E$4),0)</f>
        <v>0</v>
      </c>
      <c r="AR139" s="5">
        <f t="shared" si="292"/>
        <v>0</v>
      </c>
      <c r="AS139" s="204">
        <f t="shared" si="301"/>
        <v>44391</v>
      </c>
      <c r="AT139" s="1">
        <f>IF($AT$4=FALSE,B139*'Pricing - Advanced'!$K$5,AT138+E139-E138)</f>
        <v>4048</v>
      </c>
      <c r="AW139">
        <f t="shared" si="241"/>
        <v>0</v>
      </c>
      <c r="AX139">
        <f t="shared" si="260"/>
        <v>0</v>
      </c>
      <c r="AY139">
        <f t="shared" si="242"/>
        <v>0</v>
      </c>
      <c r="AZ139">
        <f t="shared" si="243"/>
        <v>0</v>
      </c>
      <c r="BA139" s="603">
        <f t="shared" si="293"/>
        <v>0</v>
      </c>
      <c r="BB139" s="603">
        <f t="shared" si="294"/>
        <v>0</v>
      </c>
      <c r="BC139" s="5">
        <f t="shared" si="244"/>
        <v>0</v>
      </c>
      <c r="BE139" s="157">
        <f t="shared" si="261"/>
        <v>133</v>
      </c>
      <c r="BF139" s="489">
        <f t="shared" si="295"/>
        <v>4048</v>
      </c>
      <c r="BG139" s="146">
        <f t="shared" si="262"/>
        <v>0</v>
      </c>
      <c r="BH139" s="147">
        <f t="shared" si="263"/>
        <v>0</v>
      </c>
      <c r="BI139" s="154" t="e">
        <f t="shared" si="264"/>
        <v>#NUM!</v>
      </c>
      <c r="BJ139" s="277" t="e">
        <f t="shared" si="245"/>
        <v>#NUM!</v>
      </c>
      <c r="BK139" s="147" t="e">
        <f t="shared" si="246"/>
        <v>#NUM!</v>
      </c>
      <c r="BL139" s="132" t="e">
        <f t="shared" si="247"/>
        <v>#NUM!</v>
      </c>
      <c r="BN139" s="497">
        <f t="shared" si="265"/>
        <v>133</v>
      </c>
      <c r="BO139" s="497">
        <f t="shared" si="266"/>
        <v>4048</v>
      </c>
      <c r="BP139">
        <f t="shared" si="267"/>
        <v>0</v>
      </c>
      <c r="BQ139">
        <f t="shared" si="268"/>
        <v>0</v>
      </c>
      <c r="BR139" s="499" t="e">
        <f t="shared" si="269"/>
        <v>#NUM!</v>
      </c>
      <c r="BS139" s="277" t="e">
        <f t="shared" si="248"/>
        <v>#NUM!</v>
      </c>
      <c r="BT139" s="5" t="e">
        <f t="shared" si="249"/>
        <v>#NUM!</v>
      </c>
      <c r="BU139" s="5" t="e">
        <f t="shared" si="250"/>
        <v>#NUM!</v>
      </c>
      <c r="BW139" s="5"/>
      <c r="BX139" s="5"/>
      <c r="BY139" s="5"/>
      <c r="BZ139" s="5"/>
      <c r="CA139" s="130" t="e">
        <f t="shared" si="270"/>
        <v>#NUM!</v>
      </c>
      <c r="CB139" s="5"/>
      <c r="CC139" s="5" t="e">
        <f t="shared" si="251"/>
        <v>#NUM!</v>
      </c>
      <c r="CD139" s="5" t="e">
        <f t="shared" si="252"/>
        <v>#NUM!</v>
      </c>
      <c r="CE139" s="5"/>
      <c r="CI139" s="130">
        <f t="shared" si="271"/>
        <v>5.0116860233153204</v>
      </c>
      <c r="CJ139" s="130">
        <f t="shared" si="272"/>
        <v>5.0113119023819932</v>
      </c>
      <c r="CK139" s="296">
        <f t="shared" si="296"/>
        <v>5.6049104462414086</v>
      </c>
      <c r="CL139" s="130">
        <f t="shared" si="253"/>
        <v>5.6049104462414086</v>
      </c>
      <c r="CM139" s="5">
        <f t="shared" si="254"/>
        <v>0</v>
      </c>
      <c r="CN139" s="5">
        <f t="shared" si="273"/>
        <v>0</v>
      </c>
      <c r="DE139" s="130" t="e">
        <f t="shared" si="274"/>
        <v>#NUM!</v>
      </c>
      <c r="DF139" s="130" t="e">
        <f t="shared" si="275"/>
        <v>#NUM!</v>
      </c>
      <c r="DG139" s="130" t="e">
        <f t="shared" si="297"/>
        <v>#NUM!</v>
      </c>
      <c r="DH139" s="130" t="e">
        <f t="shared" si="276"/>
        <v>#NUM!</v>
      </c>
      <c r="DJ139" s="130" t="e">
        <f t="shared" si="277"/>
        <v>#NUM!</v>
      </c>
      <c r="DK139" s="130" t="e">
        <f t="shared" si="214"/>
        <v>#NUM!</v>
      </c>
      <c r="DL139" s="130" t="e">
        <f t="shared" si="255"/>
        <v>#NUM!</v>
      </c>
      <c r="DO139" s="130" t="e">
        <f t="shared" si="278"/>
        <v>#NUM!</v>
      </c>
      <c r="DP139" s="130" t="e">
        <f t="shared" si="216"/>
        <v>#NUM!</v>
      </c>
      <c r="DQ139" s="130" t="e">
        <f t="shared" si="256"/>
        <v>#NUM!</v>
      </c>
    </row>
    <row r="140" spans="2:121" hidden="1">
      <c r="B140" s="231">
        <v>134</v>
      </c>
      <c r="C140" s="280"/>
      <c r="D140" s="475"/>
      <c r="E140" s="318">
        <f t="shared" si="279"/>
        <v>44422</v>
      </c>
      <c r="F140" s="542">
        <f t="shared" si="240"/>
        <v>0</v>
      </c>
      <c r="G140" s="239"/>
      <c r="H140" s="685">
        <f t="shared" si="280"/>
        <v>0</v>
      </c>
      <c r="I140" s="234"/>
      <c r="J140" s="597">
        <f t="shared" si="281"/>
        <v>0</v>
      </c>
      <c r="K140" s="478">
        <f t="shared" si="282"/>
        <v>0</v>
      </c>
      <c r="L140" s="234"/>
      <c r="M140" s="235">
        <f t="shared" si="283"/>
        <v>0</v>
      </c>
      <c r="N140" s="479">
        <f t="shared" si="284"/>
        <v>0</v>
      </c>
      <c r="O140" s="234"/>
      <c r="P140" s="235">
        <f t="shared" si="285"/>
        <v>0</v>
      </c>
      <c r="Q140" s="651">
        <f t="shared" si="286"/>
        <v>0</v>
      </c>
      <c r="R140" s="479">
        <f>IF(J140&gt;0,IF(OR(ManualMode=FALSE,ISBLANK(S140)),'Pricing - Advanced'!$F$16*J140+'Pricing - Advanced'!$F$17,"N/A"),0)</f>
        <v>0</v>
      </c>
      <c r="S140" s="234"/>
      <c r="T140" s="235">
        <f t="shared" si="287"/>
        <v>0</v>
      </c>
      <c r="U140" s="599">
        <f>IF(OR(ManualMode=FALSE,ISBLANK(V140)),SUM(K140:L140)*'Pricing - Advanced'!$F$19+SUM(N140,O140)*'Pricing - Advanced'!$F$18,"N/A")</f>
        <v>0</v>
      </c>
      <c r="V140" s="234"/>
      <c r="W140" s="236">
        <f t="shared" si="288"/>
        <v>0</v>
      </c>
      <c r="X140" s="237">
        <f>'Pricing - Advanced'!$F$20*SUM(H140:I140)+IF(J140&gt;1,'Pricing - Advanced'!$F$21,0)</f>
        <v>0</v>
      </c>
      <c r="Y140" s="688">
        <f>IF(AND(FullTerm&gt;=B140,AB139&gt;0),AB139*'Pricing - Advanced'!$I$128,0)</f>
        <v>0</v>
      </c>
      <c r="Z140" s="233">
        <f t="shared" si="289"/>
        <v>0</v>
      </c>
      <c r="AA140" s="234"/>
      <c r="AB140" s="597">
        <f t="shared" si="290"/>
        <v>0</v>
      </c>
      <c r="AC140" s="236">
        <f t="shared" si="257"/>
        <v>0</v>
      </c>
      <c r="AF140" s="762" t="e">
        <f t="shared" si="291"/>
        <v>#N/A</v>
      </c>
      <c r="AG140" s="759" t="e">
        <f t="shared" si="258"/>
        <v>#N/A</v>
      </c>
      <c r="AH140" s="759">
        <f>IF(J140=0,0,J140-SUM($N$6:N140)-AB139)</f>
        <v>0</v>
      </c>
      <c r="AI140" s="759">
        <f t="shared" si="259"/>
        <v>0</v>
      </c>
      <c r="AJ140" s="760">
        <f t="shared" si="298"/>
        <v>3.0000000000000001E-3</v>
      </c>
      <c r="AK140" s="760">
        <f t="shared" si="299"/>
        <v>3.0000000000000001E-3</v>
      </c>
      <c r="AN140" s="1" t="b">
        <f t="shared" si="300"/>
        <v>1</v>
      </c>
      <c r="AQ140" s="15">
        <f>IF(J139&gt;1,IF(int_method=2,$AG$229*J139,$AG$229*'Pricing - Advanced'!$E$4),0)</f>
        <v>0</v>
      </c>
      <c r="AR140" s="5">
        <f t="shared" si="292"/>
        <v>0</v>
      </c>
      <c r="AS140" s="204">
        <f t="shared" si="301"/>
        <v>44422</v>
      </c>
      <c r="AT140" s="1">
        <f>IF($AT$4=FALSE,B140*'Pricing - Advanced'!$K$5,AT139+E140-E139)</f>
        <v>4079</v>
      </c>
      <c r="AW140">
        <f t="shared" si="241"/>
        <v>0</v>
      </c>
      <c r="AX140">
        <f t="shared" si="260"/>
        <v>0</v>
      </c>
      <c r="AY140">
        <f t="shared" si="242"/>
        <v>0</v>
      </c>
      <c r="AZ140">
        <f t="shared" si="243"/>
        <v>0</v>
      </c>
      <c r="BA140" s="603">
        <f t="shared" si="293"/>
        <v>0</v>
      </c>
      <c r="BB140" s="603">
        <f t="shared" si="294"/>
        <v>0</v>
      </c>
      <c r="BC140" s="5">
        <f t="shared" si="244"/>
        <v>0</v>
      </c>
      <c r="BE140" s="157">
        <f t="shared" si="261"/>
        <v>134</v>
      </c>
      <c r="BF140" s="489">
        <f t="shared" si="295"/>
        <v>4079</v>
      </c>
      <c r="BG140" s="146">
        <f t="shared" si="262"/>
        <v>0</v>
      </c>
      <c r="BH140" s="147">
        <f t="shared" si="263"/>
        <v>0</v>
      </c>
      <c r="BI140" s="154" t="e">
        <f t="shared" si="264"/>
        <v>#NUM!</v>
      </c>
      <c r="BJ140" s="277" t="e">
        <f t="shared" si="245"/>
        <v>#NUM!</v>
      </c>
      <c r="BK140" s="147" t="e">
        <f t="shared" si="246"/>
        <v>#NUM!</v>
      </c>
      <c r="BL140" s="132" t="e">
        <f t="shared" si="247"/>
        <v>#NUM!</v>
      </c>
      <c r="BN140" s="497">
        <f t="shared" si="265"/>
        <v>134</v>
      </c>
      <c r="BO140" s="497">
        <f t="shared" si="266"/>
        <v>4079</v>
      </c>
      <c r="BP140">
        <f t="shared" si="267"/>
        <v>0</v>
      </c>
      <c r="BQ140">
        <f t="shared" si="268"/>
        <v>0</v>
      </c>
      <c r="BR140" s="499" t="e">
        <f t="shared" si="269"/>
        <v>#NUM!</v>
      </c>
      <c r="BS140" s="277" t="e">
        <f t="shared" si="248"/>
        <v>#NUM!</v>
      </c>
      <c r="BT140" s="5" t="e">
        <f t="shared" si="249"/>
        <v>#NUM!</v>
      </c>
      <c r="BU140" s="5" t="e">
        <f t="shared" si="250"/>
        <v>#NUM!</v>
      </c>
      <c r="BW140" s="5"/>
      <c r="BX140" s="5"/>
      <c r="BY140" s="5"/>
      <c r="BZ140" s="5"/>
      <c r="CA140" s="130" t="e">
        <f t="shared" si="270"/>
        <v>#NUM!</v>
      </c>
      <c r="CB140" s="5"/>
      <c r="CC140" s="5" t="e">
        <f t="shared" si="251"/>
        <v>#NUM!</v>
      </c>
      <c r="CD140" s="5" t="e">
        <f t="shared" si="252"/>
        <v>#NUM!</v>
      </c>
      <c r="CE140" s="5"/>
      <c r="CI140" s="130">
        <f t="shared" si="271"/>
        <v>5.0727900881542247</v>
      </c>
      <c r="CJ140" s="130">
        <f t="shared" si="272"/>
        <v>5.073547537636955</v>
      </c>
      <c r="CK140" s="296">
        <f t="shared" si="296"/>
        <v>5.6780212543074908</v>
      </c>
      <c r="CL140" s="130">
        <f t="shared" si="253"/>
        <v>5.6780212543074908</v>
      </c>
      <c r="CM140" s="5">
        <f t="shared" si="254"/>
        <v>0</v>
      </c>
      <c r="CN140" s="5">
        <f t="shared" si="273"/>
        <v>0</v>
      </c>
      <c r="DE140" s="130" t="e">
        <f t="shared" si="274"/>
        <v>#NUM!</v>
      </c>
      <c r="DF140" s="130" t="e">
        <f t="shared" si="275"/>
        <v>#NUM!</v>
      </c>
      <c r="DG140" s="130" t="e">
        <f t="shared" si="297"/>
        <v>#NUM!</v>
      </c>
      <c r="DH140" s="130" t="e">
        <f t="shared" si="276"/>
        <v>#NUM!</v>
      </c>
      <c r="DJ140" s="130" t="e">
        <f t="shared" si="277"/>
        <v>#NUM!</v>
      </c>
      <c r="DK140" s="130" t="e">
        <f t="shared" si="214"/>
        <v>#NUM!</v>
      </c>
      <c r="DL140" s="130" t="e">
        <f t="shared" si="255"/>
        <v>#NUM!</v>
      </c>
      <c r="DO140" s="130" t="e">
        <f t="shared" si="278"/>
        <v>#NUM!</v>
      </c>
      <c r="DP140" s="130" t="e">
        <f t="shared" si="216"/>
        <v>#NUM!</v>
      </c>
      <c r="DQ140" s="130" t="e">
        <f t="shared" si="256"/>
        <v>#NUM!</v>
      </c>
    </row>
    <row r="141" spans="2:121" hidden="1">
      <c r="B141" s="231">
        <v>135</v>
      </c>
      <c r="C141" s="280"/>
      <c r="D141" s="475"/>
      <c r="E141" s="318">
        <f t="shared" si="279"/>
        <v>44453</v>
      </c>
      <c r="F141" s="542">
        <f t="shared" si="240"/>
        <v>0</v>
      </c>
      <c r="G141" s="239"/>
      <c r="H141" s="685">
        <f t="shared" si="280"/>
        <v>0</v>
      </c>
      <c r="I141" s="234"/>
      <c r="J141" s="597">
        <f t="shared" si="281"/>
        <v>0</v>
      </c>
      <c r="K141" s="478">
        <f t="shared" si="282"/>
        <v>0</v>
      </c>
      <c r="L141" s="234"/>
      <c r="M141" s="235">
        <f t="shared" si="283"/>
        <v>0</v>
      </c>
      <c r="N141" s="479">
        <f t="shared" si="284"/>
        <v>0</v>
      </c>
      <c r="O141" s="234"/>
      <c r="P141" s="235">
        <f t="shared" si="285"/>
        <v>0</v>
      </c>
      <c r="Q141" s="651">
        <f t="shared" si="286"/>
        <v>0</v>
      </c>
      <c r="R141" s="479">
        <f>IF(J141&gt;0,IF(OR(ManualMode=FALSE,ISBLANK(S141)),'Pricing - Advanced'!$F$16*J141+'Pricing - Advanced'!$F$17,"N/A"),0)</f>
        <v>0</v>
      </c>
      <c r="S141" s="234"/>
      <c r="T141" s="235">
        <f t="shared" si="287"/>
        <v>0</v>
      </c>
      <c r="U141" s="599">
        <f>IF(OR(ManualMode=FALSE,ISBLANK(V141)),SUM(K141:L141)*'Pricing - Advanced'!$F$19+SUM(N141,O141)*'Pricing - Advanced'!$F$18,"N/A")</f>
        <v>0</v>
      </c>
      <c r="V141" s="234"/>
      <c r="W141" s="236">
        <f t="shared" si="288"/>
        <v>0</v>
      </c>
      <c r="X141" s="237">
        <f>'Pricing - Advanced'!$F$20*SUM(H141:I141)+IF(J141&gt;1,'Pricing - Advanced'!$F$21,0)</f>
        <v>0</v>
      </c>
      <c r="Y141" s="688">
        <f>IF(AND(FullTerm&gt;=B141,AB140&gt;0),AB140*'Pricing - Advanced'!$I$128,0)</f>
        <v>0</v>
      </c>
      <c r="Z141" s="233">
        <f t="shared" si="289"/>
        <v>0</v>
      </c>
      <c r="AA141" s="234"/>
      <c r="AB141" s="597">
        <f t="shared" si="290"/>
        <v>0</v>
      </c>
      <c r="AC141" s="236">
        <f t="shared" si="257"/>
        <v>0</v>
      </c>
      <c r="AF141" s="762" t="e">
        <f t="shared" si="291"/>
        <v>#N/A</v>
      </c>
      <c r="AG141" s="759" t="e">
        <f t="shared" si="258"/>
        <v>#N/A</v>
      </c>
      <c r="AH141" s="759">
        <f>IF(J141=0,0,J141-SUM($N$6:N141)-AB140)</f>
        <v>0</v>
      </c>
      <c r="AI141" s="759">
        <f t="shared" si="259"/>
        <v>0</v>
      </c>
      <c r="AJ141" s="760">
        <f t="shared" si="298"/>
        <v>3.0000000000000001E-3</v>
      </c>
      <c r="AK141" s="760">
        <f t="shared" si="299"/>
        <v>3.0000000000000001E-3</v>
      </c>
      <c r="AN141" s="1" t="b">
        <f t="shared" si="300"/>
        <v>1</v>
      </c>
      <c r="AQ141" s="15">
        <f>IF(J140&gt;1,IF(int_method=2,$AG$229*J140,$AG$229*'Pricing - Advanced'!$E$4),0)</f>
        <v>0</v>
      </c>
      <c r="AR141" s="5">
        <f t="shared" si="292"/>
        <v>0</v>
      </c>
      <c r="AS141" s="204">
        <f t="shared" si="301"/>
        <v>44453</v>
      </c>
      <c r="AT141" s="1">
        <f>IF($AT$4=FALSE,B141*'Pricing - Advanced'!$K$5,AT140+E141-E140)</f>
        <v>4110</v>
      </c>
      <c r="AW141">
        <f t="shared" si="241"/>
        <v>0</v>
      </c>
      <c r="AX141">
        <f t="shared" si="260"/>
        <v>0</v>
      </c>
      <c r="AY141">
        <f t="shared" si="242"/>
        <v>0</v>
      </c>
      <c r="AZ141">
        <f t="shared" si="243"/>
        <v>0</v>
      </c>
      <c r="BA141" s="603">
        <f t="shared" si="293"/>
        <v>0</v>
      </c>
      <c r="BB141" s="603">
        <f t="shared" si="294"/>
        <v>0</v>
      </c>
      <c r="BC141" s="5">
        <f t="shared" si="244"/>
        <v>0</v>
      </c>
      <c r="BE141" s="157">
        <f t="shared" si="261"/>
        <v>135</v>
      </c>
      <c r="BF141" s="489">
        <f t="shared" si="295"/>
        <v>4110</v>
      </c>
      <c r="BG141" s="146">
        <f t="shared" si="262"/>
        <v>0</v>
      </c>
      <c r="BH141" s="147">
        <f t="shared" si="263"/>
        <v>0</v>
      </c>
      <c r="BI141" s="154" t="e">
        <f t="shared" si="264"/>
        <v>#NUM!</v>
      </c>
      <c r="BJ141" s="277" t="e">
        <f t="shared" si="245"/>
        <v>#NUM!</v>
      </c>
      <c r="BK141" s="147" t="e">
        <f t="shared" si="246"/>
        <v>#NUM!</v>
      </c>
      <c r="BL141" s="132" t="e">
        <f t="shared" si="247"/>
        <v>#NUM!</v>
      </c>
      <c r="BN141" s="497">
        <f t="shared" si="265"/>
        <v>135</v>
      </c>
      <c r="BO141" s="497">
        <f t="shared" si="266"/>
        <v>4110</v>
      </c>
      <c r="BP141">
        <f t="shared" si="267"/>
        <v>0</v>
      </c>
      <c r="BQ141">
        <f t="shared" si="268"/>
        <v>0</v>
      </c>
      <c r="BR141" s="499" t="e">
        <f t="shared" si="269"/>
        <v>#NUM!</v>
      </c>
      <c r="BS141" s="277" t="e">
        <f t="shared" si="248"/>
        <v>#NUM!</v>
      </c>
      <c r="BT141" s="5" t="e">
        <f t="shared" si="249"/>
        <v>#NUM!</v>
      </c>
      <c r="BU141" s="5" t="e">
        <f t="shared" si="250"/>
        <v>#NUM!</v>
      </c>
      <c r="BW141" s="5"/>
      <c r="BX141" s="5"/>
      <c r="BY141" s="5"/>
      <c r="BZ141" s="5"/>
      <c r="CA141" s="130" t="e">
        <f t="shared" si="270"/>
        <v>#NUM!</v>
      </c>
      <c r="CB141" s="5"/>
      <c r="CC141" s="5" t="e">
        <f t="shared" si="251"/>
        <v>#NUM!</v>
      </c>
      <c r="CD141" s="5" t="e">
        <f t="shared" si="252"/>
        <v>#NUM!</v>
      </c>
      <c r="CE141" s="5"/>
      <c r="CI141" s="130">
        <f t="shared" si="271"/>
        <v>5.1346391531233184</v>
      </c>
      <c r="CJ141" s="130">
        <f t="shared" si="272"/>
        <v>5.1365560791430234</v>
      </c>
      <c r="CK141" s="296">
        <f t="shared" si="296"/>
        <v>5.7520857244003523</v>
      </c>
      <c r="CL141" s="130">
        <f t="shared" si="253"/>
        <v>5.7520857244003523</v>
      </c>
      <c r="CM141" s="5">
        <f t="shared" si="254"/>
        <v>0</v>
      </c>
      <c r="CN141" s="5">
        <f t="shared" si="273"/>
        <v>0</v>
      </c>
      <c r="DE141" s="130" t="e">
        <f t="shared" si="274"/>
        <v>#NUM!</v>
      </c>
      <c r="DF141" s="130" t="e">
        <f t="shared" si="275"/>
        <v>#NUM!</v>
      </c>
      <c r="DG141" s="130" t="e">
        <f t="shared" si="297"/>
        <v>#NUM!</v>
      </c>
      <c r="DH141" s="130" t="e">
        <f t="shared" si="276"/>
        <v>#NUM!</v>
      </c>
      <c r="DJ141" s="130" t="e">
        <f t="shared" si="277"/>
        <v>#NUM!</v>
      </c>
      <c r="DK141" s="130" t="e">
        <f t="shared" si="214"/>
        <v>#NUM!</v>
      </c>
      <c r="DL141" s="130" t="e">
        <f t="shared" si="255"/>
        <v>#NUM!</v>
      </c>
      <c r="DO141" s="130" t="e">
        <f t="shared" si="278"/>
        <v>#NUM!</v>
      </c>
      <c r="DP141" s="130" t="e">
        <f t="shared" si="216"/>
        <v>#NUM!</v>
      </c>
      <c r="DQ141" s="130" t="e">
        <f t="shared" si="256"/>
        <v>#NUM!</v>
      </c>
    </row>
    <row r="142" spans="2:121" hidden="1">
      <c r="B142" s="231">
        <v>136</v>
      </c>
      <c r="C142" s="280"/>
      <c r="D142" s="475"/>
      <c r="E142" s="318">
        <f t="shared" si="279"/>
        <v>44483</v>
      </c>
      <c r="F142" s="542">
        <f t="shared" si="240"/>
        <v>0</v>
      </c>
      <c r="G142" s="239"/>
      <c r="H142" s="685">
        <f t="shared" si="280"/>
        <v>0</v>
      </c>
      <c r="I142" s="234"/>
      <c r="J142" s="597">
        <f t="shared" si="281"/>
        <v>0</v>
      </c>
      <c r="K142" s="478">
        <f t="shared" si="282"/>
        <v>0</v>
      </c>
      <c r="L142" s="234"/>
      <c r="M142" s="235">
        <f t="shared" si="283"/>
        <v>0</v>
      </c>
      <c r="N142" s="479">
        <f t="shared" si="284"/>
        <v>0</v>
      </c>
      <c r="O142" s="234"/>
      <c r="P142" s="235">
        <f t="shared" si="285"/>
        <v>0</v>
      </c>
      <c r="Q142" s="651">
        <f t="shared" si="286"/>
        <v>0</v>
      </c>
      <c r="R142" s="479">
        <f>IF(J142&gt;0,IF(OR(ManualMode=FALSE,ISBLANK(S142)),'Pricing - Advanced'!$F$16*J142+'Pricing - Advanced'!$F$17,"N/A"),0)</f>
        <v>0</v>
      </c>
      <c r="S142" s="234"/>
      <c r="T142" s="235">
        <f t="shared" si="287"/>
        <v>0</v>
      </c>
      <c r="U142" s="599">
        <f>IF(OR(ManualMode=FALSE,ISBLANK(V142)),SUM(K142:L142)*'Pricing - Advanced'!$F$19+SUM(N142,O142)*'Pricing - Advanced'!$F$18,"N/A")</f>
        <v>0</v>
      </c>
      <c r="V142" s="234"/>
      <c r="W142" s="236">
        <f t="shared" si="288"/>
        <v>0</v>
      </c>
      <c r="X142" s="237">
        <f>'Pricing - Advanced'!$F$20*SUM(H142:I142)+IF(J142&gt;1,'Pricing - Advanced'!$F$21,0)</f>
        <v>0</v>
      </c>
      <c r="Y142" s="688">
        <f>IF(AND(FullTerm&gt;=B142,AB141&gt;0),AB141*'Pricing - Advanced'!$I$128,0)</f>
        <v>0</v>
      </c>
      <c r="Z142" s="233">
        <f t="shared" si="289"/>
        <v>0</v>
      </c>
      <c r="AA142" s="234"/>
      <c r="AB142" s="597">
        <f t="shared" si="290"/>
        <v>0</v>
      </c>
      <c r="AC142" s="236">
        <f t="shared" si="257"/>
        <v>0</v>
      </c>
      <c r="AF142" s="762" t="e">
        <f t="shared" si="291"/>
        <v>#N/A</v>
      </c>
      <c r="AG142" s="759" t="e">
        <f t="shared" si="258"/>
        <v>#N/A</v>
      </c>
      <c r="AH142" s="759">
        <f>IF(J142=0,0,J142-SUM($N$6:N142)-AB141)</f>
        <v>0</v>
      </c>
      <c r="AI142" s="759">
        <f t="shared" si="259"/>
        <v>0</v>
      </c>
      <c r="AJ142" s="760">
        <f t="shared" si="298"/>
        <v>3.0000000000000001E-3</v>
      </c>
      <c r="AK142" s="760">
        <f t="shared" si="299"/>
        <v>3.0000000000000001E-3</v>
      </c>
      <c r="AN142" s="1" t="b">
        <f t="shared" si="300"/>
        <v>1</v>
      </c>
      <c r="AQ142" s="15">
        <f>IF(J141&gt;1,IF(int_method=2,$AG$229*J141,$AG$229*'Pricing - Advanced'!$E$4),0)</f>
        <v>0</v>
      </c>
      <c r="AR142" s="5">
        <f t="shared" si="292"/>
        <v>0</v>
      </c>
      <c r="AS142" s="204">
        <f t="shared" si="301"/>
        <v>44483</v>
      </c>
      <c r="AT142" s="1">
        <f>IF($AT$4=FALSE,B142*'Pricing - Advanced'!$K$5,AT141+E142-E141)</f>
        <v>4140</v>
      </c>
      <c r="AW142">
        <f t="shared" si="241"/>
        <v>0</v>
      </c>
      <c r="AX142">
        <f t="shared" si="260"/>
        <v>0</v>
      </c>
      <c r="AY142">
        <f t="shared" si="242"/>
        <v>0</v>
      </c>
      <c r="AZ142">
        <f t="shared" si="243"/>
        <v>0</v>
      </c>
      <c r="BA142" s="603">
        <f t="shared" si="293"/>
        <v>0</v>
      </c>
      <c r="BB142" s="603">
        <f t="shared" si="294"/>
        <v>0</v>
      </c>
      <c r="BC142" s="5">
        <f t="shared" si="244"/>
        <v>0</v>
      </c>
      <c r="BE142" s="157">
        <f t="shared" si="261"/>
        <v>136</v>
      </c>
      <c r="BF142" s="489">
        <f t="shared" si="295"/>
        <v>4140</v>
      </c>
      <c r="BG142" s="146">
        <f t="shared" si="262"/>
        <v>0</v>
      </c>
      <c r="BH142" s="147">
        <f t="shared" si="263"/>
        <v>0</v>
      </c>
      <c r="BI142" s="154" t="e">
        <f t="shared" si="264"/>
        <v>#NUM!</v>
      </c>
      <c r="BJ142" s="277" t="e">
        <f t="shared" si="245"/>
        <v>#NUM!</v>
      </c>
      <c r="BK142" s="147" t="e">
        <f t="shared" si="246"/>
        <v>#NUM!</v>
      </c>
      <c r="BL142" s="132" t="e">
        <f t="shared" si="247"/>
        <v>#NUM!</v>
      </c>
      <c r="BN142" s="497">
        <f t="shared" si="265"/>
        <v>136</v>
      </c>
      <c r="BO142" s="497">
        <f t="shared" si="266"/>
        <v>4140</v>
      </c>
      <c r="BP142">
        <f t="shared" si="267"/>
        <v>0</v>
      </c>
      <c r="BQ142">
        <f t="shared" si="268"/>
        <v>0</v>
      </c>
      <c r="BR142" s="499" t="e">
        <f t="shared" si="269"/>
        <v>#NUM!</v>
      </c>
      <c r="BS142" s="277" t="e">
        <f t="shared" si="248"/>
        <v>#NUM!</v>
      </c>
      <c r="BT142" s="5" t="e">
        <f t="shared" si="249"/>
        <v>#NUM!</v>
      </c>
      <c r="BU142" s="5" t="e">
        <f t="shared" si="250"/>
        <v>#NUM!</v>
      </c>
      <c r="BW142" s="5"/>
      <c r="BX142" s="5"/>
      <c r="BY142" s="5"/>
      <c r="BZ142" s="5"/>
      <c r="CA142" s="130" t="e">
        <f t="shared" si="270"/>
        <v>#NUM!</v>
      </c>
      <c r="CB142" s="5"/>
      <c r="CC142" s="5" t="e">
        <f t="shared" si="251"/>
        <v>#NUM!</v>
      </c>
      <c r="CD142" s="5" t="e">
        <f t="shared" si="252"/>
        <v>#NUM!</v>
      </c>
      <c r="CE142" s="5"/>
      <c r="CI142" s="130">
        <f t="shared" si="271"/>
        <v>5.1972423015003759</v>
      </c>
      <c r="CJ142" s="130">
        <f t="shared" si="272"/>
        <v>5.1982770368600146</v>
      </c>
      <c r="CK142" s="296">
        <f t="shared" si="296"/>
        <v>5.8271162961480769</v>
      </c>
      <c r="CL142" s="130">
        <f t="shared" si="253"/>
        <v>5.8271162961480769</v>
      </c>
      <c r="CM142" s="5">
        <f t="shared" si="254"/>
        <v>0</v>
      </c>
      <c r="CN142" s="5">
        <f t="shared" si="273"/>
        <v>0</v>
      </c>
      <c r="DE142" s="130" t="e">
        <f t="shared" si="274"/>
        <v>#NUM!</v>
      </c>
      <c r="DF142" s="130" t="e">
        <f t="shared" si="275"/>
        <v>#NUM!</v>
      </c>
      <c r="DG142" s="130" t="e">
        <f t="shared" si="297"/>
        <v>#NUM!</v>
      </c>
      <c r="DH142" s="130" t="e">
        <f t="shared" si="276"/>
        <v>#NUM!</v>
      </c>
      <c r="DJ142" s="130" t="e">
        <f t="shared" si="277"/>
        <v>#NUM!</v>
      </c>
      <c r="DK142" s="130" t="e">
        <f t="shared" si="214"/>
        <v>#NUM!</v>
      </c>
      <c r="DL142" s="130" t="e">
        <f t="shared" si="255"/>
        <v>#NUM!</v>
      </c>
      <c r="DO142" s="130" t="e">
        <f t="shared" si="278"/>
        <v>#NUM!</v>
      </c>
      <c r="DP142" s="130" t="e">
        <f t="shared" si="216"/>
        <v>#NUM!</v>
      </c>
      <c r="DQ142" s="130" t="e">
        <f t="shared" si="256"/>
        <v>#NUM!</v>
      </c>
    </row>
    <row r="143" spans="2:121" hidden="1">
      <c r="B143" s="231">
        <v>137</v>
      </c>
      <c r="C143" s="280"/>
      <c r="D143" s="475"/>
      <c r="E143" s="318">
        <f t="shared" si="279"/>
        <v>44514</v>
      </c>
      <c r="F143" s="542">
        <f t="shared" si="240"/>
        <v>0</v>
      </c>
      <c r="G143" s="239"/>
      <c r="H143" s="685">
        <f t="shared" si="280"/>
        <v>0</v>
      </c>
      <c r="I143" s="234"/>
      <c r="J143" s="597">
        <f t="shared" si="281"/>
        <v>0</v>
      </c>
      <c r="K143" s="478">
        <f t="shared" si="282"/>
        <v>0</v>
      </c>
      <c r="L143" s="234"/>
      <c r="M143" s="235">
        <f t="shared" si="283"/>
        <v>0</v>
      </c>
      <c r="N143" s="479">
        <f t="shared" si="284"/>
        <v>0</v>
      </c>
      <c r="O143" s="234"/>
      <c r="P143" s="235">
        <f t="shared" si="285"/>
        <v>0</v>
      </c>
      <c r="Q143" s="651">
        <f t="shared" si="286"/>
        <v>0</v>
      </c>
      <c r="R143" s="479">
        <f>IF(J143&gt;0,IF(OR(ManualMode=FALSE,ISBLANK(S143)),'Pricing - Advanced'!$F$16*J143+'Pricing - Advanced'!$F$17,"N/A"),0)</f>
        <v>0</v>
      </c>
      <c r="S143" s="234"/>
      <c r="T143" s="235">
        <f t="shared" si="287"/>
        <v>0</v>
      </c>
      <c r="U143" s="599">
        <f>IF(OR(ManualMode=FALSE,ISBLANK(V143)),SUM(K143:L143)*'Pricing - Advanced'!$F$19+SUM(N143,O143)*'Pricing - Advanced'!$F$18,"N/A")</f>
        <v>0</v>
      </c>
      <c r="V143" s="234"/>
      <c r="W143" s="236">
        <f t="shared" si="288"/>
        <v>0</v>
      </c>
      <c r="X143" s="237">
        <f>'Pricing - Advanced'!$F$20*SUM(H143:I143)+IF(J143&gt;1,'Pricing - Advanced'!$F$21,0)</f>
        <v>0</v>
      </c>
      <c r="Y143" s="688">
        <f>IF(AND(FullTerm&gt;=B143,AB142&gt;0),AB142*'Pricing - Advanced'!$I$128,0)</f>
        <v>0</v>
      </c>
      <c r="Z143" s="233">
        <f t="shared" si="289"/>
        <v>0</v>
      </c>
      <c r="AA143" s="234"/>
      <c r="AB143" s="597">
        <f t="shared" si="290"/>
        <v>0</v>
      </c>
      <c r="AC143" s="236">
        <f t="shared" si="257"/>
        <v>0</v>
      </c>
      <c r="AF143" s="762" t="e">
        <f t="shared" si="291"/>
        <v>#N/A</v>
      </c>
      <c r="AG143" s="759" t="e">
        <f t="shared" si="258"/>
        <v>#N/A</v>
      </c>
      <c r="AH143" s="759">
        <f>IF(J143=0,0,J143-SUM($N$6:N143)-AB142)</f>
        <v>0</v>
      </c>
      <c r="AI143" s="759">
        <f t="shared" si="259"/>
        <v>0</v>
      </c>
      <c r="AJ143" s="760">
        <f t="shared" si="298"/>
        <v>3.0000000000000001E-3</v>
      </c>
      <c r="AK143" s="760">
        <f t="shared" si="299"/>
        <v>3.0000000000000001E-3</v>
      </c>
      <c r="AN143" s="1" t="b">
        <f t="shared" si="300"/>
        <v>1</v>
      </c>
      <c r="AQ143" s="15">
        <f>IF(J142&gt;1,IF(int_method=2,$AG$229*J142,$AG$229*'Pricing - Advanced'!$E$4),0)</f>
        <v>0</v>
      </c>
      <c r="AR143" s="5">
        <f t="shared" si="292"/>
        <v>0</v>
      </c>
      <c r="AS143" s="204">
        <f t="shared" si="301"/>
        <v>44514</v>
      </c>
      <c r="AT143" s="1">
        <f>IF($AT$4=FALSE,B143*'Pricing - Advanced'!$K$5,AT142+E143-E142)</f>
        <v>4171</v>
      </c>
      <c r="AW143">
        <f t="shared" si="241"/>
        <v>0</v>
      </c>
      <c r="AX143">
        <f t="shared" si="260"/>
        <v>0</v>
      </c>
      <c r="AY143">
        <f t="shared" si="242"/>
        <v>0</v>
      </c>
      <c r="AZ143">
        <f t="shared" si="243"/>
        <v>0</v>
      </c>
      <c r="BA143" s="603">
        <f t="shared" si="293"/>
        <v>0</v>
      </c>
      <c r="BB143" s="603">
        <f t="shared" si="294"/>
        <v>0</v>
      </c>
      <c r="BC143" s="5">
        <f t="shared" si="244"/>
        <v>0</v>
      </c>
      <c r="BE143" s="157">
        <f t="shared" si="261"/>
        <v>137</v>
      </c>
      <c r="BF143" s="489">
        <f t="shared" si="295"/>
        <v>4171</v>
      </c>
      <c r="BG143" s="146">
        <f t="shared" si="262"/>
        <v>0</v>
      </c>
      <c r="BH143" s="147">
        <f t="shared" si="263"/>
        <v>0</v>
      </c>
      <c r="BI143" s="154" t="e">
        <f t="shared" si="264"/>
        <v>#NUM!</v>
      </c>
      <c r="BJ143" s="277" t="e">
        <f t="shared" si="245"/>
        <v>#NUM!</v>
      </c>
      <c r="BK143" s="147" t="e">
        <f t="shared" si="246"/>
        <v>#NUM!</v>
      </c>
      <c r="BL143" s="132" t="e">
        <f t="shared" si="247"/>
        <v>#NUM!</v>
      </c>
      <c r="BN143" s="497">
        <f t="shared" si="265"/>
        <v>137</v>
      </c>
      <c r="BO143" s="497">
        <f t="shared" si="266"/>
        <v>4171</v>
      </c>
      <c r="BP143">
        <f t="shared" si="267"/>
        <v>0</v>
      </c>
      <c r="BQ143">
        <f t="shared" si="268"/>
        <v>0</v>
      </c>
      <c r="BR143" s="499" t="e">
        <f t="shared" si="269"/>
        <v>#NUM!</v>
      </c>
      <c r="BS143" s="277" t="e">
        <f t="shared" si="248"/>
        <v>#NUM!</v>
      </c>
      <c r="BT143" s="5" t="e">
        <f t="shared" si="249"/>
        <v>#NUM!</v>
      </c>
      <c r="BU143" s="5" t="e">
        <f t="shared" si="250"/>
        <v>#NUM!</v>
      </c>
      <c r="BW143" s="5"/>
      <c r="BX143" s="5"/>
      <c r="BY143" s="5"/>
      <c r="BZ143" s="5"/>
      <c r="CA143" s="130" t="e">
        <f t="shared" si="270"/>
        <v>#NUM!</v>
      </c>
      <c r="CB143" s="5"/>
      <c r="CC143" s="5" t="e">
        <f t="shared" si="251"/>
        <v>#NUM!</v>
      </c>
      <c r="CD143" s="5" t="e">
        <f t="shared" si="252"/>
        <v>#NUM!</v>
      </c>
      <c r="CE143" s="5"/>
      <c r="CI143" s="130">
        <f t="shared" si="271"/>
        <v>5.2606087273093678</v>
      </c>
      <c r="CJ143" s="130">
        <f t="shared" si="272"/>
        <v>5.2628345978185518</v>
      </c>
      <c r="CK143" s="296">
        <f t="shared" si="296"/>
        <v>5.9031255714420485</v>
      </c>
      <c r="CL143" s="130">
        <f t="shared" si="253"/>
        <v>5.9031255714420485</v>
      </c>
      <c r="CM143" s="5">
        <f t="shared" si="254"/>
        <v>0</v>
      </c>
      <c r="CN143" s="5">
        <f t="shared" si="273"/>
        <v>0</v>
      </c>
      <c r="DE143" s="130" t="e">
        <f t="shared" si="274"/>
        <v>#NUM!</v>
      </c>
      <c r="DF143" s="130" t="e">
        <f t="shared" si="275"/>
        <v>#NUM!</v>
      </c>
      <c r="DG143" s="130" t="e">
        <f t="shared" si="297"/>
        <v>#NUM!</v>
      </c>
      <c r="DH143" s="130" t="e">
        <f t="shared" si="276"/>
        <v>#NUM!</v>
      </c>
      <c r="DJ143" s="130" t="e">
        <f t="shared" si="277"/>
        <v>#NUM!</v>
      </c>
      <c r="DK143" s="130" t="e">
        <f t="shared" si="214"/>
        <v>#NUM!</v>
      </c>
      <c r="DL143" s="130" t="e">
        <f t="shared" si="255"/>
        <v>#NUM!</v>
      </c>
      <c r="DO143" s="130" t="e">
        <f t="shared" si="278"/>
        <v>#NUM!</v>
      </c>
      <c r="DP143" s="130" t="e">
        <f t="shared" si="216"/>
        <v>#NUM!</v>
      </c>
      <c r="DQ143" s="130" t="e">
        <f t="shared" si="256"/>
        <v>#NUM!</v>
      </c>
    </row>
    <row r="144" spans="2:121" hidden="1">
      <c r="B144" s="231">
        <v>138</v>
      </c>
      <c r="C144" s="280"/>
      <c r="D144" s="475"/>
      <c r="E144" s="318">
        <f t="shared" si="279"/>
        <v>44544</v>
      </c>
      <c r="F144" s="542">
        <f t="shared" si="240"/>
        <v>0</v>
      </c>
      <c r="G144" s="239"/>
      <c r="H144" s="685">
        <f t="shared" si="280"/>
        <v>0</v>
      </c>
      <c r="I144" s="234"/>
      <c r="J144" s="597">
        <f t="shared" si="281"/>
        <v>0</v>
      </c>
      <c r="K144" s="478">
        <f t="shared" si="282"/>
        <v>0</v>
      </c>
      <c r="L144" s="234"/>
      <c r="M144" s="235">
        <f t="shared" si="283"/>
        <v>0</v>
      </c>
      <c r="N144" s="479">
        <f t="shared" si="284"/>
        <v>0</v>
      </c>
      <c r="O144" s="234"/>
      <c r="P144" s="235">
        <f t="shared" si="285"/>
        <v>0</v>
      </c>
      <c r="Q144" s="651">
        <f t="shared" si="286"/>
        <v>0</v>
      </c>
      <c r="R144" s="479">
        <f>IF(J144&gt;0,IF(OR(ManualMode=FALSE,ISBLANK(S144)),'Pricing - Advanced'!$F$16*J144+'Pricing - Advanced'!$F$17,"N/A"),0)</f>
        <v>0</v>
      </c>
      <c r="S144" s="234"/>
      <c r="T144" s="235">
        <f t="shared" si="287"/>
        <v>0</v>
      </c>
      <c r="U144" s="599">
        <f>IF(OR(ManualMode=FALSE,ISBLANK(V144)),SUM(K144:L144)*'Pricing - Advanced'!$F$19+SUM(N144,O144)*'Pricing - Advanced'!$F$18,"N/A")</f>
        <v>0</v>
      </c>
      <c r="V144" s="234"/>
      <c r="W144" s="236">
        <f t="shared" si="288"/>
        <v>0</v>
      </c>
      <c r="X144" s="237">
        <f>'Pricing - Advanced'!$F$20*SUM(H144:I144)+IF(J144&gt;1,'Pricing - Advanced'!$F$21,0)</f>
        <v>0</v>
      </c>
      <c r="Y144" s="688">
        <f>IF(AND(FullTerm&gt;=B144,AB143&gt;0),AB143*'Pricing - Advanced'!$I$128,0)</f>
        <v>0</v>
      </c>
      <c r="Z144" s="233">
        <f t="shared" si="289"/>
        <v>0</v>
      </c>
      <c r="AA144" s="234"/>
      <c r="AB144" s="597">
        <f t="shared" si="290"/>
        <v>0</v>
      </c>
      <c r="AC144" s="236">
        <f t="shared" si="257"/>
        <v>0</v>
      </c>
      <c r="AF144" s="762" t="e">
        <f t="shared" si="291"/>
        <v>#N/A</v>
      </c>
      <c r="AG144" s="759" t="e">
        <f t="shared" si="258"/>
        <v>#N/A</v>
      </c>
      <c r="AH144" s="759">
        <f>IF(J144=0,0,J144-SUM($N$6:N144)-AB143)</f>
        <v>0</v>
      </c>
      <c r="AI144" s="759">
        <f t="shared" si="259"/>
        <v>0</v>
      </c>
      <c r="AJ144" s="760">
        <f t="shared" si="298"/>
        <v>3.0000000000000001E-3</v>
      </c>
      <c r="AK144" s="760">
        <f t="shared" si="299"/>
        <v>3.0000000000000001E-3</v>
      </c>
      <c r="AN144" s="1" t="b">
        <f t="shared" si="300"/>
        <v>1</v>
      </c>
      <c r="AQ144" s="15">
        <f>IF(J143&gt;1,IF(int_method=2,$AG$229*J143,$AG$229*'Pricing - Advanced'!$E$4),0)</f>
        <v>0</v>
      </c>
      <c r="AR144" s="5">
        <f t="shared" si="292"/>
        <v>0</v>
      </c>
      <c r="AS144" s="204">
        <f t="shared" si="301"/>
        <v>44544</v>
      </c>
      <c r="AT144" s="1">
        <f>IF($AT$4=FALSE,B144*'Pricing - Advanced'!$K$5,AT143+E144-E143)</f>
        <v>4201</v>
      </c>
      <c r="AW144">
        <f t="shared" si="241"/>
        <v>0</v>
      </c>
      <c r="AX144">
        <f t="shared" si="260"/>
        <v>0</v>
      </c>
      <c r="AY144">
        <f t="shared" si="242"/>
        <v>0</v>
      </c>
      <c r="AZ144">
        <f t="shared" si="243"/>
        <v>0</v>
      </c>
      <c r="BA144" s="603">
        <f t="shared" si="293"/>
        <v>0</v>
      </c>
      <c r="BB144" s="603">
        <f t="shared" si="294"/>
        <v>0</v>
      </c>
      <c r="BC144" s="5">
        <f t="shared" si="244"/>
        <v>0</v>
      </c>
      <c r="BE144" s="157">
        <f t="shared" si="261"/>
        <v>138</v>
      </c>
      <c r="BF144" s="489">
        <f t="shared" si="295"/>
        <v>4201</v>
      </c>
      <c r="BG144" s="146">
        <f t="shared" si="262"/>
        <v>0</v>
      </c>
      <c r="BH144" s="147">
        <f t="shared" si="263"/>
        <v>0</v>
      </c>
      <c r="BI144" s="154" t="e">
        <f t="shared" si="264"/>
        <v>#NUM!</v>
      </c>
      <c r="BJ144" s="277" t="e">
        <f t="shared" si="245"/>
        <v>#NUM!</v>
      </c>
      <c r="BK144" s="147" t="e">
        <f t="shared" si="246"/>
        <v>#NUM!</v>
      </c>
      <c r="BL144" s="132" t="e">
        <f t="shared" si="247"/>
        <v>#NUM!</v>
      </c>
      <c r="BN144" s="497">
        <f t="shared" si="265"/>
        <v>138</v>
      </c>
      <c r="BO144" s="497">
        <f t="shared" si="266"/>
        <v>4201</v>
      </c>
      <c r="BP144">
        <f t="shared" si="267"/>
        <v>0</v>
      </c>
      <c r="BQ144">
        <f t="shared" si="268"/>
        <v>0</v>
      </c>
      <c r="BR144" s="499" t="e">
        <f t="shared" si="269"/>
        <v>#NUM!</v>
      </c>
      <c r="BS144" s="277" t="e">
        <f t="shared" si="248"/>
        <v>#NUM!</v>
      </c>
      <c r="BT144" s="5" t="e">
        <f t="shared" si="249"/>
        <v>#NUM!</v>
      </c>
      <c r="BU144" s="5" t="e">
        <f t="shared" si="250"/>
        <v>#NUM!</v>
      </c>
      <c r="BW144" s="5"/>
      <c r="BX144" s="5"/>
      <c r="BY144" s="5"/>
      <c r="BZ144" s="5"/>
      <c r="CA144" s="130" t="e">
        <f t="shared" si="270"/>
        <v>#NUM!</v>
      </c>
      <c r="CB144" s="5"/>
      <c r="CC144" s="5" t="e">
        <f t="shared" si="251"/>
        <v>#NUM!</v>
      </c>
      <c r="CD144" s="5" t="e">
        <f t="shared" si="252"/>
        <v>#NUM!</v>
      </c>
      <c r="CE144" s="5"/>
      <c r="CI144" s="130">
        <f t="shared" si="271"/>
        <v>5.3247477366707283</v>
      </c>
      <c r="CJ144" s="130">
        <f t="shared" si="272"/>
        <v>5.3260729206711801</v>
      </c>
      <c r="CK144" s="296">
        <f t="shared" si="296"/>
        <v>5.9801263165535241</v>
      </c>
      <c r="CL144" s="130">
        <f t="shared" si="253"/>
        <v>5.9801263165535241</v>
      </c>
      <c r="CM144" s="5">
        <f t="shared" si="254"/>
        <v>0</v>
      </c>
      <c r="CN144" s="5">
        <f t="shared" si="273"/>
        <v>0</v>
      </c>
      <c r="DE144" s="130" t="e">
        <f t="shared" si="274"/>
        <v>#NUM!</v>
      </c>
      <c r="DF144" s="130" t="e">
        <f t="shared" si="275"/>
        <v>#NUM!</v>
      </c>
      <c r="DG144" s="130" t="e">
        <f t="shared" si="297"/>
        <v>#NUM!</v>
      </c>
      <c r="DH144" s="130" t="e">
        <f t="shared" si="276"/>
        <v>#NUM!</v>
      </c>
      <c r="DJ144" s="130" t="e">
        <f t="shared" si="277"/>
        <v>#NUM!</v>
      </c>
      <c r="DK144" s="130" t="e">
        <f t="shared" si="214"/>
        <v>#NUM!</v>
      </c>
      <c r="DL144" s="130" t="e">
        <f t="shared" si="255"/>
        <v>#NUM!</v>
      </c>
      <c r="DO144" s="130" t="e">
        <f t="shared" si="278"/>
        <v>#NUM!</v>
      </c>
      <c r="DP144" s="130" t="e">
        <f t="shared" si="216"/>
        <v>#NUM!</v>
      </c>
      <c r="DQ144" s="130" t="e">
        <f t="shared" si="256"/>
        <v>#NUM!</v>
      </c>
    </row>
    <row r="145" spans="2:121" hidden="1">
      <c r="B145" s="231">
        <v>139</v>
      </c>
      <c r="C145" s="280"/>
      <c r="D145" s="475"/>
      <c r="E145" s="318">
        <f t="shared" si="279"/>
        <v>44575</v>
      </c>
      <c r="F145" s="542">
        <f t="shared" si="240"/>
        <v>0</v>
      </c>
      <c r="G145" s="239"/>
      <c r="H145" s="685">
        <f t="shared" si="280"/>
        <v>0</v>
      </c>
      <c r="I145" s="234"/>
      <c r="J145" s="597">
        <f t="shared" si="281"/>
        <v>0</v>
      </c>
      <c r="K145" s="478">
        <f t="shared" si="282"/>
        <v>0</v>
      </c>
      <c r="L145" s="234"/>
      <c r="M145" s="235">
        <f t="shared" si="283"/>
        <v>0</v>
      </c>
      <c r="N145" s="479">
        <f t="shared" si="284"/>
        <v>0</v>
      </c>
      <c r="O145" s="234"/>
      <c r="P145" s="235">
        <f t="shared" si="285"/>
        <v>0</v>
      </c>
      <c r="Q145" s="651">
        <f t="shared" si="286"/>
        <v>0</v>
      </c>
      <c r="R145" s="479">
        <f>IF(J145&gt;0,IF(OR(ManualMode=FALSE,ISBLANK(S145)),'Pricing - Advanced'!$F$16*J145+'Pricing - Advanced'!$F$17,"N/A"),0)</f>
        <v>0</v>
      </c>
      <c r="S145" s="234"/>
      <c r="T145" s="235">
        <f t="shared" si="287"/>
        <v>0</v>
      </c>
      <c r="U145" s="599">
        <f>IF(OR(ManualMode=FALSE,ISBLANK(V145)),SUM(K145:L145)*'Pricing - Advanced'!$F$19+SUM(N145,O145)*'Pricing - Advanced'!$F$18,"N/A")</f>
        <v>0</v>
      </c>
      <c r="V145" s="234"/>
      <c r="W145" s="236">
        <f t="shared" si="288"/>
        <v>0</v>
      </c>
      <c r="X145" s="237">
        <f>'Pricing - Advanced'!$F$20*SUM(H145:I145)+IF(J145&gt;1,'Pricing - Advanced'!$F$21,0)</f>
        <v>0</v>
      </c>
      <c r="Y145" s="688">
        <f>IF(AND(FullTerm&gt;=B145,AB144&gt;0),AB144*'Pricing - Advanced'!$I$128,0)</f>
        <v>0</v>
      </c>
      <c r="Z145" s="233">
        <f t="shared" si="289"/>
        <v>0</v>
      </c>
      <c r="AA145" s="234"/>
      <c r="AB145" s="597">
        <f t="shared" si="290"/>
        <v>0</v>
      </c>
      <c r="AC145" s="236">
        <f t="shared" si="257"/>
        <v>0</v>
      </c>
      <c r="AF145" s="762" t="e">
        <f t="shared" si="291"/>
        <v>#N/A</v>
      </c>
      <c r="AG145" s="759" t="e">
        <f t="shared" si="258"/>
        <v>#N/A</v>
      </c>
      <c r="AH145" s="759">
        <f>IF(J145=0,0,J145-SUM($N$6:N145)-AB144)</f>
        <v>0</v>
      </c>
      <c r="AI145" s="759">
        <f t="shared" si="259"/>
        <v>0</v>
      </c>
      <c r="AJ145" s="760">
        <f t="shared" si="298"/>
        <v>3.0000000000000001E-3</v>
      </c>
      <c r="AK145" s="760">
        <f t="shared" si="299"/>
        <v>3.0000000000000001E-3</v>
      </c>
      <c r="AN145" s="1" t="b">
        <f t="shared" si="300"/>
        <v>1</v>
      </c>
      <c r="AQ145" s="15">
        <f>IF(J144&gt;1,IF(int_method=2,$AG$229*J144,$AG$229*'Pricing - Advanced'!$E$4),0)</f>
        <v>0</v>
      </c>
      <c r="AR145" s="5">
        <f t="shared" si="292"/>
        <v>0</v>
      </c>
      <c r="AS145" s="204">
        <f t="shared" si="301"/>
        <v>44575</v>
      </c>
      <c r="AT145" s="1">
        <f>IF($AT$4=FALSE,B145*'Pricing - Advanced'!$K$5,AT144+E145-E144)</f>
        <v>4232</v>
      </c>
      <c r="AW145">
        <f t="shared" si="241"/>
        <v>0</v>
      </c>
      <c r="AX145">
        <f t="shared" si="260"/>
        <v>0</v>
      </c>
      <c r="AY145">
        <f t="shared" si="242"/>
        <v>0</v>
      </c>
      <c r="AZ145">
        <f t="shared" si="243"/>
        <v>0</v>
      </c>
      <c r="BA145" s="603">
        <f t="shared" si="293"/>
        <v>0</v>
      </c>
      <c r="BB145" s="603">
        <f t="shared" si="294"/>
        <v>0</v>
      </c>
      <c r="BC145" s="5">
        <f t="shared" si="244"/>
        <v>0</v>
      </c>
      <c r="BE145" s="157">
        <f t="shared" si="261"/>
        <v>139</v>
      </c>
      <c r="BF145" s="489">
        <f t="shared" si="295"/>
        <v>4232</v>
      </c>
      <c r="BG145" s="146">
        <f t="shared" si="262"/>
        <v>0</v>
      </c>
      <c r="BH145" s="147">
        <f t="shared" si="263"/>
        <v>0</v>
      </c>
      <c r="BI145" s="154" t="e">
        <f t="shared" si="264"/>
        <v>#NUM!</v>
      </c>
      <c r="BJ145" s="277" t="e">
        <f t="shared" si="245"/>
        <v>#NUM!</v>
      </c>
      <c r="BK145" s="147" t="e">
        <f t="shared" si="246"/>
        <v>#NUM!</v>
      </c>
      <c r="BL145" s="132" t="e">
        <f t="shared" si="247"/>
        <v>#NUM!</v>
      </c>
      <c r="BN145" s="497">
        <f t="shared" si="265"/>
        <v>139</v>
      </c>
      <c r="BO145" s="497">
        <f t="shared" si="266"/>
        <v>4232</v>
      </c>
      <c r="BP145">
        <f t="shared" si="267"/>
        <v>0</v>
      </c>
      <c r="BQ145">
        <f t="shared" si="268"/>
        <v>0</v>
      </c>
      <c r="BR145" s="499" t="e">
        <f t="shared" si="269"/>
        <v>#NUM!</v>
      </c>
      <c r="BS145" s="277" t="e">
        <f t="shared" si="248"/>
        <v>#NUM!</v>
      </c>
      <c r="BT145" s="5" t="e">
        <f t="shared" si="249"/>
        <v>#NUM!</v>
      </c>
      <c r="BU145" s="5" t="e">
        <f t="shared" si="250"/>
        <v>#NUM!</v>
      </c>
      <c r="BW145" s="5"/>
      <c r="BX145" s="5"/>
      <c r="BY145" s="5"/>
      <c r="BZ145" s="5"/>
      <c r="CA145" s="130" t="e">
        <f t="shared" si="270"/>
        <v>#NUM!</v>
      </c>
      <c r="CB145" s="5"/>
      <c r="CC145" s="5" t="e">
        <f t="shared" si="251"/>
        <v>#NUM!</v>
      </c>
      <c r="CD145" s="5" t="e">
        <f t="shared" si="252"/>
        <v>#NUM!</v>
      </c>
      <c r="CE145" s="5"/>
      <c r="CI145" s="130">
        <f t="shared" si="271"/>
        <v>5.3896687491680577</v>
      </c>
      <c r="CJ145" s="130">
        <f t="shared" si="272"/>
        <v>5.3922175826058467</v>
      </c>
      <c r="CK145" s="296">
        <f t="shared" si="296"/>
        <v>6.058131464277813</v>
      </c>
      <c r="CL145" s="130">
        <f t="shared" si="253"/>
        <v>6.058131464277813</v>
      </c>
      <c r="CM145" s="5">
        <f t="shared" si="254"/>
        <v>0</v>
      </c>
      <c r="CN145" s="5">
        <f t="shared" si="273"/>
        <v>0</v>
      </c>
      <c r="DE145" s="130" t="e">
        <f t="shared" si="274"/>
        <v>#NUM!</v>
      </c>
      <c r="DF145" s="130" t="e">
        <f t="shared" si="275"/>
        <v>#NUM!</v>
      </c>
      <c r="DG145" s="130" t="e">
        <f t="shared" si="297"/>
        <v>#NUM!</v>
      </c>
      <c r="DH145" s="130" t="e">
        <f t="shared" si="276"/>
        <v>#NUM!</v>
      </c>
      <c r="DJ145" s="130" t="e">
        <f t="shared" si="277"/>
        <v>#NUM!</v>
      </c>
      <c r="DK145" s="130" t="e">
        <f t="shared" si="214"/>
        <v>#NUM!</v>
      </c>
      <c r="DL145" s="130" t="e">
        <f t="shared" si="255"/>
        <v>#NUM!</v>
      </c>
      <c r="DO145" s="130" t="e">
        <f t="shared" si="278"/>
        <v>#NUM!</v>
      </c>
      <c r="DP145" s="130" t="e">
        <f t="shared" si="216"/>
        <v>#NUM!</v>
      </c>
      <c r="DQ145" s="130" t="e">
        <f t="shared" si="256"/>
        <v>#NUM!</v>
      </c>
    </row>
    <row r="146" spans="2:121" hidden="1">
      <c r="B146" s="231">
        <v>140</v>
      </c>
      <c r="C146" s="280"/>
      <c r="D146" s="475"/>
      <c r="E146" s="318">
        <f t="shared" si="279"/>
        <v>44606</v>
      </c>
      <c r="F146" s="542">
        <f t="shared" si="240"/>
        <v>0</v>
      </c>
      <c r="G146" s="239"/>
      <c r="H146" s="685">
        <f t="shared" si="280"/>
        <v>0</v>
      </c>
      <c r="I146" s="234"/>
      <c r="J146" s="597">
        <f t="shared" si="281"/>
        <v>0</v>
      </c>
      <c r="K146" s="478">
        <f t="shared" si="282"/>
        <v>0</v>
      </c>
      <c r="L146" s="234"/>
      <c r="M146" s="235">
        <f t="shared" si="283"/>
        <v>0</v>
      </c>
      <c r="N146" s="479">
        <f t="shared" si="284"/>
        <v>0</v>
      </c>
      <c r="O146" s="234"/>
      <c r="P146" s="235">
        <f t="shared" si="285"/>
        <v>0</v>
      </c>
      <c r="Q146" s="651">
        <f t="shared" si="286"/>
        <v>0</v>
      </c>
      <c r="R146" s="479">
        <f>IF(J146&gt;0,IF(OR(ManualMode=FALSE,ISBLANK(S146)),'Pricing - Advanced'!$F$16*J146+'Pricing - Advanced'!$F$17,"N/A"),0)</f>
        <v>0</v>
      </c>
      <c r="S146" s="234"/>
      <c r="T146" s="235">
        <f t="shared" si="287"/>
        <v>0</v>
      </c>
      <c r="U146" s="599">
        <f>IF(OR(ManualMode=FALSE,ISBLANK(V146)),SUM(K146:L146)*'Pricing - Advanced'!$F$19+SUM(N146,O146)*'Pricing - Advanced'!$F$18,"N/A")</f>
        <v>0</v>
      </c>
      <c r="V146" s="234"/>
      <c r="W146" s="236">
        <f t="shared" si="288"/>
        <v>0</v>
      </c>
      <c r="X146" s="237">
        <f>'Pricing - Advanced'!$F$20*SUM(H146:I146)+IF(J146&gt;1,'Pricing - Advanced'!$F$21,0)</f>
        <v>0</v>
      </c>
      <c r="Y146" s="688">
        <f>IF(AND(FullTerm&gt;=B146,AB145&gt;0),AB145*'Pricing - Advanced'!$I$128,0)</f>
        <v>0</v>
      </c>
      <c r="Z146" s="233">
        <f t="shared" si="289"/>
        <v>0</v>
      </c>
      <c r="AA146" s="234"/>
      <c r="AB146" s="597">
        <f t="shared" si="290"/>
        <v>0</v>
      </c>
      <c r="AC146" s="236">
        <f t="shared" si="257"/>
        <v>0</v>
      </c>
      <c r="AF146" s="762" t="e">
        <f t="shared" si="291"/>
        <v>#N/A</v>
      </c>
      <c r="AG146" s="759" t="e">
        <f t="shared" si="258"/>
        <v>#N/A</v>
      </c>
      <c r="AH146" s="759">
        <f>IF(J146=0,0,J146-SUM($N$6:N146)-AB145)</f>
        <v>0</v>
      </c>
      <c r="AI146" s="759">
        <f t="shared" si="259"/>
        <v>0</v>
      </c>
      <c r="AJ146" s="760">
        <f t="shared" si="298"/>
        <v>3.0000000000000001E-3</v>
      </c>
      <c r="AK146" s="760">
        <f t="shared" si="299"/>
        <v>3.0000000000000001E-3</v>
      </c>
      <c r="AN146" s="1" t="b">
        <f t="shared" si="300"/>
        <v>1</v>
      </c>
      <c r="AQ146" s="15">
        <f>IF(J145&gt;1,IF(int_method=2,$AG$229*J145,$AG$229*'Pricing - Advanced'!$E$4),0)</f>
        <v>0</v>
      </c>
      <c r="AR146" s="5">
        <f t="shared" si="292"/>
        <v>0</v>
      </c>
      <c r="AS146" s="204">
        <f t="shared" si="301"/>
        <v>44606</v>
      </c>
      <c r="AT146" s="1">
        <f>IF($AT$4=FALSE,B146*'Pricing - Advanced'!$K$5,AT145+E146-E145)</f>
        <v>4263</v>
      </c>
      <c r="AW146">
        <f t="shared" si="241"/>
        <v>0</v>
      </c>
      <c r="AX146">
        <f t="shared" si="260"/>
        <v>0</v>
      </c>
      <c r="AY146">
        <f t="shared" si="242"/>
        <v>0</v>
      </c>
      <c r="AZ146">
        <f t="shared" si="243"/>
        <v>0</v>
      </c>
      <c r="BA146" s="603">
        <f t="shared" si="293"/>
        <v>0</v>
      </c>
      <c r="BB146" s="603">
        <f t="shared" si="294"/>
        <v>0</v>
      </c>
      <c r="BC146" s="5">
        <f t="shared" si="244"/>
        <v>0</v>
      </c>
      <c r="BE146" s="157">
        <f t="shared" si="261"/>
        <v>140</v>
      </c>
      <c r="BF146" s="489">
        <f t="shared" si="295"/>
        <v>4263</v>
      </c>
      <c r="BG146" s="146">
        <f t="shared" si="262"/>
        <v>0</v>
      </c>
      <c r="BH146" s="147">
        <f t="shared" si="263"/>
        <v>0</v>
      </c>
      <c r="BI146" s="154" t="e">
        <f t="shared" si="264"/>
        <v>#NUM!</v>
      </c>
      <c r="BJ146" s="277" t="e">
        <f t="shared" si="245"/>
        <v>#NUM!</v>
      </c>
      <c r="BK146" s="147" t="e">
        <f t="shared" si="246"/>
        <v>#NUM!</v>
      </c>
      <c r="BL146" s="132" t="e">
        <f t="shared" si="247"/>
        <v>#NUM!</v>
      </c>
      <c r="BN146" s="497">
        <f t="shared" si="265"/>
        <v>140</v>
      </c>
      <c r="BO146" s="497">
        <f t="shared" si="266"/>
        <v>4263</v>
      </c>
      <c r="BP146">
        <f t="shared" si="267"/>
        <v>0</v>
      </c>
      <c r="BQ146">
        <f t="shared" si="268"/>
        <v>0</v>
      </c>
      <c r="BR146" s="499" t="e">
        <f t="shared" si="269"/>
        <v>#NUM!</v>
      </c>
      <c r="BS146" s="277" t="e">
        <f t="shared" si="248"/>
        <v>#NUM!</v>
      </c>
      <c r="BT146" s="5" t="e">
        <f t="shared" si="249"/>
        <v>#NUM!</v>
      </c>
      <c r="BU146" s="5" t="e">
        <f t="shared" si="250"/>
        <v>#NUM!</v>
      </c>
      <c r="BW146" s="5"/>
      <c r="BX146" s="5"/>
      <c r="BY146" s="5"/>
      <c r="BZ146" s="5"/>
      <c r="CA146" s="130" t="e">
        <f t="shared" si="270"/>
        <v>#NUM!</v>
      </c>
      <c r="CB146" s="5"/>
      <c r="CC146" s="5" t="e">
        <f t="shared" si="251"/>
        <v>#NUM!</v>
      </c>
      <c r="CD146" s="5" t="e">
        <f t="shared" si="252"/>
        <v>#NUM!</v>
      </c>
      <c r="CE146" s="5"/>
      <c r="CI146" s="130">
        <f t="shared" si="271"/>
        <v>5.4553812992315036</v>
      </c>
      <c r="CJ146" s="130">
        <f t="shared" si="272"/>
        <v>5.4591836971130956</v>
      </c>
      <c r="CK146" s="296">
        <f t="shared" si="296"/>
        <v>6.1371541161064291</v>
      </c>
      <c r="CL146" s="130">
        <f t="shared" si="253"/>
        <v>6.1371541161064291</v>
      </c>
      <c r="CM146" s="5">
        <f t="shared" si="254"/>
        <v>0</v>
      </c>
      <c r="CN146" s="5">
        <f t="shared" si="273"/>
        <v>0</v>
      </c>
      <c r="DE146" s="130" t="e">
        <f t="shared" si="274"/>
        <v>#NUM!</v>
      </c>
      <c r="DF146" s="130" t="e">
        <f t="shared" si="275"/>
        <v>#NUM!</v>
      </c>
      <c r="DG146" s="130" t="e">
        <f t="shared" si="297"/>
        <v>#NUM!</v>
      </c>
      <c r="DH146" s="130" t="e">
        <f t="shared" si="276"/>
        <v>#NUM!</v>
      </c>
      <c r="DJ146" s="130" t="e">
        <f t="shared" si="277"/>
        <v>#NUM!</v>
      </c>
      <c r="DK146" s="130" t="e">
        <f t="shared" si="214"/>
        <v>#NUM!</v>
      </c>
      <c r="DL146" s="130" t="e">
        <f t="shared" si="255"/>
        <v>#NUM!</v>
      </c>
      <c r="DO146" s="130" t="e">
        <f t="shared" si="278"/>
        <v>#NUM!</v>
      </c>
      <c r="DP146" s="130" t="e">
        <f t="shared" si="216"/>
        <v>#NUM!</v>
      </c>
      <c r="DQ146" s="130" t="e">
        <f t="shared" si="256"/>
        <v>#NUM!</v>
      </c>
    </row>
    <row r="147" spans="2:121" hidden="1">
      <c r="B147" s="231">
        <v>141</v>
      </c>
      <c r="C147" s="280"/>
      <c r="D147" s="475"/>
      <c r="E147" s="318">
        <f t="shared" si="279"/>
        <v>44634</v>
      </c>
      <c r="F147" s="542">
        <f t="shared" ref="F147:F178" si="302">IF(AN147="x",E147-E146,0)</f>
        <v>0</v>
      </c>
      <c r="G147" s="239"/>
      <c r="H147" s="685">
        <f t="shared" si="280"/>
        <v>0</v>
      </c>
      <c r="I147" s="234"/>
      <c r="J147" s="597">
        <f t="shared" si="281"/>
        <v>0</v>
      </c>
      <c r="K147" s="478">
        <f t="shared" si="282"/>
        <v>0</v>
      </c>
      <c r="L147" s="234"/>
      <c r="M147" s="235">
        <f t="shared" si="283"/>
        <v>0</v>
      </c>
      <c r="N147" s="479">
        <f t="shared" si="284"/>
        <v>0</v>
      </c>
      <c r="O147" s="234"/>
      <c r="P147" s="235">
        <f t="shared" si="285"/>
        <v>0</v>
      </c>
      <c r="Q147" s="651">
        <f t="shared" si="286"/>
        <v>0</v>
      </c>
      <c r="R147" s="479">
        <f>IF(J147&gt;0,IF(OR(ManualMode=FALSE,ISBLANK(S147)),'Pricing - Advanced'!$F$16*J147+'Pricing - Advanced'!$F$17,"N/A"),0)</f>
        <v>0</v>
      </c>
      <c r="S147" s="234"/>
      <c r="T147" s="235">
        <f t="shared" si="287"/>
        <v>0</v>
      </c>
      <c r="U147" s="599">
        <f>IF(OR(ManualMode=FALSE,ISBLANK(V147)),SUM(K147:L147)*'Pricing - Advanced'!$F$19+SUM(N147,O147)*'Pricing - Advanced'!$F$18,"N/A")</f>
        <v>0</v>
      </c>
      <c r="V147" s="234"/>
      <c r="W147" s="236">
        <f t="shared" si="288"/>
        <v>0</v>
      </c>
      <c r="X147" s="237">
        <f>'Pricing - Advanced'!$F$20*SUM(H147:I147)+IF(J147&gt;1,'Pricing - Advanced'!$F$21,0)</f>
        <v>0</v>
      </c>
      <c r="Y147" s="688">
        <f>IF(AND(FullTerm&gt;=B147,AB146&gt;0),AB146*'Pricing - Advanced'!$I$128,0)</f>
        <v>0</v>
      </c>
      <c r="Z147" s="233">
        <f t="shared" si="289"/>
        <v>0</v>
      </c>
      <c r="AA147" s="234"/>
      <c r="AB147" s="597">
        <f t="shared" si="290"/>
        <v>0</v>
      </c>
      <c r="AC147" s="236">
        <f t="shared" si="257"/>
        <v>0</v>
      </c>
      <c r="AF147" s="762" t="e">
        <f t="shared" si="291"/>
        <v>#N/A</v>
      </c>
      <c r="AG147" s="759" t="e">
        <f t="shared" si="258"/>
        <v>#N/A</v>
      </c>
      <c r="AH147" s="759">
        <f>IF(J147=0,0,J147-SUM($N$6:N147)-AB146)</f>
        <v>0</v>
      </c>
      <c r="AI147" s="759">
        <f t="shared" si="259"/>
        <v>0</v>
      </c>
      <c r="AJ147" s="760">
        <f t="shared" si="298"/>
        <v>3.0000000000000001E-3</v>
      </c>
      <c r="AK147" s="760">
        <f t="shared" si="299"/>
        <v>3.0000000000000001E-3</v>
      </c>
      <c r="AN147" s="1" t="b">
        <f t="shared" si="300"/>
        <v>1</v>
      </c>
      <c r="AQ147" s="15">
        <f>IF(J146&gt;1,IF(int_method=2,$AG$229*J146,$AG$229*'Pricing - Advanced'!$E$4),0)</f>
        <v>0</v>
      </c>
      <c r="AR147" s="5">
        <f t="shared" si="292"/>
        <v>0</v>
      </c>
      <c r="AS147" s="204">
        <f t="shared" si="301"/>
        <v>44634</v>
      </c>
      <c r="AT147" s="1">
        <f>IF($AT$4=FALSE,B147*'Pricing - Advanced'!$K$5,AT146+E147-E146)</f>
        <v>4291</v>
      </c>
      <c r="AW147">
        <f t="shared" si="241"/>
        <v>0</v>
      </c>
      <c r="AX147">
        <f t="shared" si="260"/>
        <v>0</v>
      </c>
      <c r="AY147">
        <f t="shared" si="242"/>
        <v>0</v>
      </c>
      <c r="AZ147">
        <f t="shared" si="243"/>
        <v>0</v>
      </c>
      <c r="BA147" s="603">
        <f t="shared" si="293"/>
        <v>0</v>
      </c>
      <c r="BB147" s="603">
        <f t="shared" si="294"/>
        <v>0</v>
      </c>
      <c r="BC147" s="5">
        <f t="shared" si="244"/>
        <v>0</v>
      </c>
      <c r="BE147" s="157">
        <f t="shared" si="261"/>
        <v>141</v>
      </c>
      <c r="BF147" s="489">
        <f t="shared" si="295"/>
        <v>4291</v>
      </c>
      <c r="BG147" s="146">
        <f t="shared" si="262"/>
        <v>0</v>
      </c>
      <c r="BH147" s="147">
        <f t="shared" si="263"/>
        <v>0</v>
      </c>
      <c r="BI147" s="154" t="e">
        <f t="shared" si="264"/>
        <v>#NUM!</v>
      </c>
      <c r="BJ147" s="277" t="e">
        <f t="shared" si="245"/>
        <v>#NUM!</v>
      </c>
      <c r="BK147" s="147" t="e">
        <f t="shared" si="246"/>
        <v>#NUM!</v>
      </c>
      <c r="BL147" s="132" t="e">
        <f t="shared" si="247"/>
        <v>#NUM!</v>
      </c>
      <c r="BN147" s="497">
        <f t="shared" si="265"/>
        <v>141</v>
      </c>
      <c r="BO147" s="497">
        <f t="shared" si="266"/>
        <v>4291</v>
      </c>
      <c r="BP147">
        <f t="shared" si="267"/>
        <v>0</v>
      </c>
      <c r="BQ147">
        <f t="shared" si="268"/>
        <v>0</v>
      </c>
      <c r="BR147" s="499" t="e">
        <f t="shared" si="269"/>
        <v>#NUM!</v>
      </c>
      <c r="BS147" s="277" t="e">
        <f t="shared" si="248"/>
        <v>#NUM!</v>
      </c>
      <c r="BT147" s="5" t="e">
        <f t="shared" si="249"/>
        <v>#NUM!</v>
      </c>
      <c r="BU147" s="5" t="e">
        <f t="shared" si="250"/>
        <v>#NUM!</v>
      </c>
      <c r="BW147" s="5"/>
      <c r="BX147" s="5"/>
      <c r="BY147" s="5"/>
      <c r="BZ147" s="5"/>
      <c r="CA147" s="130" t="e">
        <f t="shared" si="270"/>
        <v>#NUM!</v>
      </c>
      <c r="CB147" s="5"/>
      <c r="CC147" s="5" t="e">
        <f t="shared" si="251"/>
        <v>#NUM!</v>
      </c>
      <c r="CD147" s="5" t="e">
        <f t="shared" si="252"/>
        <v>#NUM!</v>
      </c>
      <c r="CE147" s="5"/>
      <c r="CI147" s="130">
        <f t="shared" si="271"/>
        <v>5.5218950375380143</v>
      </c>
      <c r="CJ147" s="130">
        <f t="shared" si="272"/>
        <v>5.5203837590357168</v>
      </c>
      <c r="CK147" s="296">
        <f t="shared" si="296"/>
        <v>6.2172075444275743</v>
      </c>
      <c r="CL147" s="130">
        <f t="shared" si="253"/>
        <v>6.2172075444275743</v>
      </c>
      <c r="CM147" s="5">
        <f t="shared" si="254"/>
        <v>0</v>
      </c>
      <c r="CN147" s="5">
        <f t="shared" si="273"/>
        <v>0</v>
      </c>
      <c r="DE147" s="130" t="e">
        <f t="shared" si="274"/>
        <v>#NUM!</v>
      </c>
      <c r="DF147" s="130" t="e">
        <f t="shared" si="275"/>
        <v>#NUM!</v>
      </c>
      <c r="DG147" s="130" t="e">
        <f t="shared" si="297"/>
        <v>#NUM!</v>
      </c>
      <c r="DH147" s="130" t="e">
        <f t="shared" si="276"/>
        <v>#NUM!</v>
      </c>
      <c r="DJ147" s="130" t="e">
        <f t="shared" si="277"/>
        <v>#NUM!</v>
      </c>
      <c r="DK147" s="130" t="e">
        <f t="shared" si="214"/>
        <v>#NUM!</v>
      </c>
      <c r="DL147" s="130" t="e">
        <f t="shared" si="255"/>
        <v>#NUM!</v>
      </c>
      <c r="DO147" s="130" t="e">
        <f t="shared" si="278"/>
        <v>#NUM!</v>
      </c>
      <c r="DP147" s="130" t="e">
        <f t="shared" si="216"/>
        <v>#NUM!</v>
      </c>
      <c r="DQ147" s="130" t="e">
        <f t="shared" si="256"/>
        <v>#NUM!</v>
      </c>
    </row>
    <row r="148" spans="2:121" hidden="1">
      <c r="B148" s="231">
        <v>142</v>
      </c>
      <c r="C148" s="280"/>
      <c r="D148" s="475"/>
      <c r="E148" s="318">
        <f t="shared" si="279"/>
        <v>44665</v>
      </c>
      <c r="F148" s="542">
        <f t="shared" si="302"/>
        <v>0</v>
      </c>
      <c r="G148" s="239"/>
      <c r="H148" s="685">
        <f t="shared" si="280"/>
        <v>0</v>
      </c>
      <c r="I148" s="234"/>
      <c r="J148" s="597">
        <f t="shared" si="281"/>
        <v>0</v>
      </c>
      <c r="K148" s="478">
        <f t="shared" si="282"/>
        <v>0</v>
      </c>
      <c r="L148" s="234"/>
      <c r="M148" s="235">
        <f t="shared" si="283"/>
        <v>0</v>
      </c>
      <c r="N148" s="479">
        <f t="shared" si="284"/>
        <v>0</v>
      </c>
      <c r="O148" s="234"/>
      <c r="P148" s="235">
        <f t="shared" si="285"/>
        <v>0</v>
      </c>
      <c r="Q148" s="651">
        <f t="shared" si="286"/>
        <v>0</v>
      </c>
      <c r="R148" s="479">
        <f>IF(J148&gt;0,IF(OR(ManualMode=FALSE,ISBLANK(S148)),'Pricing - Advanced'!$F$16*J148+'Pricing - Advanced'!$F$17,"N/A"),0)</f>
        <v>0</v>
      </c>
      <c r="S148" s="234"/>
      <c r="T148" s="235">
        <f t="shared" si="287"/>
        <v>0</v>
      </c>
      <c r="U148" s="599">
        <f>IF(OR(ManualMode=FALSE,ISBLANK(V148)),SUM(K148:L148)*'Pricing - Advanced'!$F$19+SUM(N148,O148)*'Pricing - Advanced'!$F$18,"N/A")</f>
        <v>0</v>
      </c>
      <c r="V148" s="234"/>
      <c r="W148" s="236">
        <f t="shared" si="288"/>
        <v>0</v>
      </c>
      <c r="X148" s="237">
        <f>'Pricing - Advanced'!$F$20*SUM(H148:I148)+IF(J148&gt;1,'Pricing - Advanced'!$F$21,0)</f>
        <v>0</v>
      </c>
      <c r="Y148" s="688">
        <f>IF(AND(FullTerm&gt;=B148,AB147&gt;0),AB147*'Pricing - Advanced'!$I$128,0)</f>
        <v>0</v>
      </c>
      <c r="Z148" s="233">
        <f t="shared" si="289"/>
        <v>0</v>
      </c>
      <c r="AA148" s="234"/>
      <c r="AB148" s="597">
        <f t="shared" si="290"/>
        <v>0</v>
      </c>
      <c r="AC148" s="236">
        <f t="shared" si="257"/>
        <v>0</v>
      </c>
      <c r="AF148" s="762" t="e">
        <f t="shared" si="291"/>
        <v>#N/A</v>
      </c>
      <c r="AG148" s="759" t="e">
        <f t="shared" si="258"/>
        <v>#N/A</v>
      </c>
      <c r="AH148" s="759">
        <f>IF(J148=0,0,J148-SUM($N$6:N148)-AB147)</f>
        <v>0</v>
      </c>
      <c r="AI148" s="759">
        <f t="shared" si="259"/>
        <v>0</v>
      </c>
      <c r="AJ148" s="760">
        <f t="shared" si="298"/>
        <v>3.0000000000000001E-3</v>
      </c>
      <c r="AK148" s="760">
        <f t="shared" si="299"/>
        <v>3.0000000000000001E-3</v>
      </c>
      <c r="AN148" s="1" t="b">
        <f t="shared" si="300"/>
        <v>1</v>
      </c>
      <c r="AQ148" s="15">
        <f>IF(J147&gt;1,IF(int_method=2,$AG$229*J147,$AG$229*'Pricing - Advanced'!$E$4),0)</f>
        <v>0</v>
      </c>
      <c r="AR148" s="5">
        <f t="shared" si="292"/>
        <v>0</v>
      </c>
      <c r="AS148" s="204">
        <f t="shared" si="301"/>
        <v>44665</v>
      </c>
      <c r="AT148" s="1">
        <f>IF($AT$4=FALSE,B148*'Pricing - Advanced'!$K$5,AT147+E148-E147)</f>
        <v>4322</v>
      </c>
      <c r="AW148">
        <f t="shared" si="241"/>
        <v>0</v>
      </c>
      <c r="AX148">
        <f t="shared" si="260"/>
        <v>0</v>
      </c>
      <c r="AY148">
        <f t="shared" si="242"/>
        <v>0</v>
      </c>
      <c r="AZ148">
        <f t="shared" si="243"/>
        <v>0</v>
      </c>
      <c r="BA148" s="603">
        <f t="shared" si="293"/>
        <v>0</v>
      </c>
      <c r="BB148" s="603">
        <f t="shared" si="294"/>
        <v>0</v>
      </c>
      <c r="BC148" s="5">
        <f t="shared" si="244"/>
        <v>0</v>
      </c>
      <c r="BE148" s="157">
        <f t="shared" si="261"/>
        <v>142</v>
      </c>
      <c r="BF148" s="489">
        <f t="shared" si="295"/>
        <v>4322</v>
      </c>
      <c r="BG148" s="146">
        <f t="shared" si="262"/>
        <v>0</v>
      </c>
      <c r="BH148" s="147">
        <f t="shared" si="263"/>
        <v>0</v>
      </c>
      <c r="BI148" s="154" t="e">
        <f t="shared" si="264"/>
        <v>#NUM!</v>
      </c>
      <c r="BJ148" s="277" t="e">
        <f t="shared" si="245"/>
        <v>#NUM!</v>
      </c>
      <c r="BK148" s="147" t="e">
        <f t="shared" si="246"/>
        <v>#NUM!</v>
      </c>
      <c r="BL148" s="132" t="e">
        <f t="shared" si="247"/>
        <v>#NUM!</v>
      </c>
      <c r="BN148" s="497">
        <f t="shared" si="265"/>
        <v>142</v>
      </c>
      <c r="BO148" s="497">
        <f t="shared" si="266"/>
        <v>4322</v>
      </c>
      <c r="BP148">
        <f t="shared" si="267"/>
        <v>0</v>
      </c>
      <c r="BQ148">
        <f t="shared" si="268"/>
        <v>0</v>
      </c>
      <c r="BR148" s="499" t="e">
        <f t="shared" si="269"/>
        <v>#NUM!</v>
      </c>
      <c r="BS148" s="277" t="e">
        <f t="shared" si="248"/>
        <v>#NUM!</v>
      </c>
      <c r="BT148" s="5" t="e">
        <f t="shared" si="249"/>
        <v>#NUM!</v>
      </c>
      <c r="BU148" s="5" t="e">
        <f t="shared" si="250"/>
        <v>#NUM!</v>
      </c>
      <c r="BW148" s="5"/>
      <c r="BX148" s="5"/>
      <c r="BY148" s="5"/>
      <c r="BZ148" s="5"/>
      <c r="CA148" s="130" t="e">
        <f t="shared" si="270"/>
        <v>#NUM!</v>
      </c>
      <c r="CB148" s="5"/>
      <c r="CC148" s="5" t="e">
        <f t="shared" si="251"/>
        <v>#NUM!</v>
      </c>
      <c r="CD148" s="5" t="e">
        <f t="shared" si="252"/>
        <v>#NUM!</v>
      </c>
      <c r="CE148" s="5"/>
      <c r="CI148" s="130">
        <f t="shared" si="271"/>
        <v>5.5892197324286474</v>
      </c>
      <c r="CJ148" s="130">
        <f t="shared" si="272"/>
        <v>5.588941573194413</v>
      </c>
      <c r="CK148" s="296">
        <f t="shared" si="296"/>
        <v>6.2983051947553248</v>
      </c>
      <c r="CL148" s="130">
        <f t="shared" si="253"/>
        <v>6.2983051947553248</v>
      </c>
      <c r="CM148" s="5">
        <f t="shared" si="254"/>
        <v>0</v>
      </c>
      <c r="CN148" s="5">
        <f t="shared" si="273"/>
        <v>0</v>
      </c>
      <c r="DE148" s="130" t="e">
        <f t="shared" si="274"/>
        <v>#NUM!</v>
      </c>
      <c r="DF148" s="130" t="e">
        <f t="shared" si="275"/>
        <v>#NUM!</v>
      </c>
      <c r="DG148" s="130" t="e">
        <f t="shared" si="297"/>
        <v>#NUM!</v>
      </c>
      <c r="DH148" s="130" t="e">
        <f t="shared" si="276"/>
        <v>#NUM!</v>
      </c>
      <c r="DJ148" s="130" t="e">
        <f t="shared" si="277"/>
        <v>#NUM!</v>
      </c>
      <c r="DK148" s="130" t="e">
        <f t="shared" si="214"/>
        <v>#NUM!</v>
      </c>
      <c r="DL148" s="130" t="e">
        <f t="shared" si="255"/>
        <v>#NUM!</v>
      </c>
      <c r="DO148" s="130" t="e">
        <f t="shared" si="278"/>
        <v>#NUM!</v>
      </c>
      <c r="DP148" s="130" t="e">
        <f t="shared" si="216"/>
        <v>#NUM!</v>
      </c>
      <c r="DQ148" s="130" t="e">
        <f t="shared" si="256"/>
        <v>#NUM!</v>
      </c>
    </row>
    <row r="149" spans="2:121" hidden="1">
      <c r="B149" s="231">
        <v>143</v>
      </c>
      <c r="C149" s="280"/>
      <c r="D149" s="475"/>
      <c r="E149" s="318">
        <f t="shared" si="279"/>
        <v>44695</v>
      </c>
      <c r="F149" s="542">
        <f t="shared" si="302"/>
        <v>0</v>
      </c>
      <c r="G149" s="239"/>
      <c r="H149" s="685">
        <f t="shared" si="280"/>
        <v>0</v>
      </c>
      <c r="I149" s="234"/>
      <c r="J149" s="597">
        <f t="shared" si="281"/>
        <v>0</v>
      </c>
      <c r="K149" s="478">
        <f t="shared" si="282"/>
        <v>0</v>
      </c>
      <c r="L149" s="234"/>
      <c r="M149" s="235">
        <f t="shared" si="283"/>
        <v>0</v>
      </c>
      <c r="N149" s="479">
        <f t="shared" si="284"/>
        <v>0</v>
      </c>
      <c r="O149" s="234"/>
      <c r="P149" s="235">
        <f t="shared" si="285"/>
        <v>0</v>
      </c>
      <c r="Q149" s="651">
        <f t="shared" si="286"/>
        <v>0</v>
      </c>
      <c r="R149" s="479">
        <f>IF(J149&gt;0,IF(OR(ManualMode=FALSE,ISBLANK(S149)),'Pricing - Advanced'!$F$16*J149+'Pricing - Advanced'!$F$17,"N/A"),0)</f>
        <v>0</v>
      </c>
      <c r="S149" s="234"/>
      <c r="T149" s="235">
        <f t="shared" si="287"/>
        <v>0</v>
      </c>
      <c r="U149" s="599">
        <f>IF(OR(ManualMode=FALSE,ISBLANK(V149)),SUM(K149:L149)*'Pricing - Advanced'!$F$19+SUM(N149,O149)*'Pricing - Advanced'!$F$18,"N/A")</f>
        <v>0</v>
      </c>
      <c r="V149" s="234"/>
      <c r="W149" s="236">
        <f t="shared" si="288"/>
        <v>0</v>
      </c>
      <c r="X149" s="237">
        <f>'Pricing - Advanced'!$F$20*SUM(H149:I149)+IF(J149&gt;1,'Pricing - Advanced'!$F$21,0)</f>
        <v>0</v>
      </c>
      <c r="Y149" s="688">
        <f>IF(AND(FullTerm&gt;=B149,AB148&gt;0),AB148*'Pricing - Advanced'!$I$128,0)</f>
        <v>0</v>
      </c>
      <c r="Z149" s="233">
        <f t="shared" si="289"/>
        <v>0</v>
      </c>
      <c r="AA149" s="234"/>
      <c r="AB149" s="597">
        <f t="shared" si="290"/>
        <v>0</v>
      </c>
      <c r="AC149" s="236">
        <f t="shared" si="257"/>
        <v>0</v>
      </c>
      <c r="AF149" s="762" t="e">
        <f t="shared" si="291"/>
        <v>#N/A</v>
      </c>
      <c r="AG149" s="759" t="e">
        <f t="shared" si="258"/>
        <v>#N/A</v>
      </c>
      <c r="AH149" s="759">
        <f>IF(J149=0,0,J149-SUM($N$6:N149)-AB148)</f>
        <v>0</v>
      </c>
      <c r="AI149" s="759">
        <f t="shared" si="259"/>
        <v>0</v>
      </c>
      <c r="AJ149" s="760">
        <f t="shared" si="298"/>
        <v>3.0000000000000001E-3</v>
      </c>
      <c r="AK149" s="760">
        <f t="shared" si="299"/>
        <v>3.0000000000000001E-3</v>
      </c>
      <c r="AN149" s="1" t="b">
        <f t="shared" si="300"/>
        <v>1</v>
      </c>
      <c r="AQ149" s="15">
        <f>IF(J148&gt;1,IF(int_method=2,$AG$229*J148,$AG$229*'Pricing - Advanced'!$E$4),0)</f>
        <v>0</v>
      </c>
      <c r="AR149" s="5">
        <f t="shared" si="292"/>
        <v>0</v>
      </c>
      <c r="AS149" s="204">
        <f t="shared" si="301"/>
        <v>44695</v>
      </c>
      <c r="AT149" s="1">
        <f>IF($AT$4=FALSE,B149*'Pricing - Advanced'!$K$5,AT148+E149-E148)</f>
        <v>4352</v>
      </c>
      <c r="AW149">
        <f t="shared" si="241"/>
        <v>0</v>
      </c>
      <c r="AX149">
        <f t="shared" si="260"/>
        <v>0</v>
      </c>
      <c r="AY149">
        <f t="shared" si="242"/>
        <v>0</v>
      </c>
      <c r="AZ149">
        <f t="shared" si="243"/>
        <v>0</v>
      </c>
      <c r="BA149" s="603">
        <f t="shared" si="293"/>
        <v>0</v>
      </c>
      <c r="BB149" s="603">
        <f t="shared" si="294"/>
        <v>0</v>
      </c>
      <c r="BC149" s="5">
        <f t="shared" si="244"/>
        <v>0</v>
      </c>
      <c r="BE149" s="157">
        <f t="shared" si="261"/>
        <v>143</v>
      </c>
      <c r="BF149" s="489">
        <f t="shared" si="295"/>
        <v>4352</v>
      </c>
      <c r="BG149" s="146">
        <f t="shared" si="262"/>
        <v>0</v>
      </c>
      <c r="BH149" s="147">
        <f t="shared" si="263"/>
        <v>0</v>
      </c>
      <c r="BI149" s="154" t="e">
        <f t="shared" si="264"/>
        <v>#NUM!</v>
      </c>
      <c r="BJ149" s="277" t="e">
        <f t="shared" si="245"/>
        <v>#NUM!</v>
      </c>
      <c r="BK149" s="147" t="e">
        <f t="shared" si="246"/>
        <v>#NUM!</v>
      </c>
      <c r="BL149" s="132" t="e">
        <f t="shared" si="247"/>
        <v>#NUM!</v>
      </c>
      <c r="BN149" s="497">
        <f t="shared" si="265"/>
        <v>143</v>
      </c>
      <c r="BO149" s="497">
        <f t="shared" si="266"/>
        <v>4352</v>
      </c>
      <c r="BP149">
        <f t="shared" si="267"/>
        <v>0</v>
      </c>
      <c r="BQ149">
        <f t="shared" si="268"/>
        <v>0</v>
      </c>
      <c r="BR149" s="499" t="e">
        <f t="shared" si="269"/>
        <v>#NUM!</v>
      </c>
      <c r="BS149" s="277" t="e">
        <f t="shared" si="248"/>
        <v>#NUM!</v>
      </c>
      <c r="BT149" s="5" t="e">
        <f t="shared" si="249"/>
        <v>#NUM!</v>
      </c>
      <c r="BU149" s="5" t="e">
        <f t="shared" si="250"/>
        <v>#NUM!</v>
      </c>
      <c r="BW149" s="5"/>
      <c r="BX149" s="5"/>
      <c r="BY149" s="5"/>
      <c r="BZ149" s="5"/>
      <c r="CA149" s="130" t="e">
        <f t="shared" si="270"/>
        <v>#NUM!</v>
      </c>
      <c r="CB149" s="5"/>
      <c r="CC149" s="5" t="e">
        <f t="shared" si="251"/>
        <v>#NUM!</v>
      </c>
      <c r="CD149" s="5" t="e">
        <f t="shared" si="252"/>
        <v>#NUM!</v>
      </c>
      <c r="CE149" s="5"/>
      <c r="CI149" s="130">
        <f t="shared" si="271"/>
        <v>5.6573652713431697</v>
      </c>
      <c r="CJ149" s="130">
        <f t="shared" si="272"/>
        <v>5.6560984038036519</v>
      </c>
      <c r="CK149" s="296">
        <f t="shared" si="296"/>
        <v>6.380460687987898</v>
      </c>
      <c r="CL149" s="130">
        <f t="shared" si="253"/>
        <v>6.380460687987898</v>
      </c>
      <c r="CM149" s="5">
        <f t="shared" si="254"/>
        <v>0</v>
      </c>
      <c r="CN149" s="5">
        <f t="shared" si="273"/>
        <v>0</v>
      </c>
      <c r="DE149" s="130" t="e">
        <f t="shared" si="274"/>
        <v>#NUM!</v>
      </c>
      <c r="DF149" s="130" t="e">
        <f t="shared" si="275"/>
        <v>#NUM!</v>
      </c>
      <c r="DG149" s="130" t="e">
        <f t="shared" si="297"/>
        <v>#NUM!</v>
      </c>
      <c r="DH149" s="130" t="e">
        <f t="shared" si="276"/>
        <v>#NUM!</v>
      </c>
      <c r="DJ149" s="130" t="e">
        <f t="shared" si="277"/>
        <v>#NUM!</v>
      </c>
      <c r="DK149" s="130" t="e">
        <f t="shared" si="214"/>
        <v>#NUM!</v>
      </c>
      <c r="DL149" s="130" t="e">
        <f t="shared" si="255"/>
        <v>#NUM!</v>
      </c>
      <c r="DO149" s="130" t="e">
        <f t="shared" si="278"/>
        <v>#NUM!</v>
      </c>
      <c r="DP149" s="130" t="e">
        <f t="shared" si="216"/>
        <v>#NUM!</v>
      </c>
      <c r="DQ149" s="130" t="e">
        <f t="shared" si="256"/>
        <v>#NUM!</v>
      </c>
    </row>
    <row r="150" spans="2:121" hidden="1">
      <c r="B150" s="231">
        <v>144</v>
      </c>
      <c r="C150" s="280"/>
      <c r="D150" s="475"/>
      <c r="E150" s="318">
        <f t="shared" si="279"/>
        <v>44726</v>
      </c>
      <c r="F150" s="542">
        <f t="shared" si="302"/>
        <v>0</v>
      </c>
      <c r="G150" s="239"/>
      <c r="H150" s="685">
        <f t="shared" si="280"/>
        <v>0</v>
      </c>
      <c r="I150" s="234"/>
      <c r="J150" s="597">
        <f t="shared" si="281"/>
        <v>0</v>
      </c>
      <c r="K150" s="478">
        <f t="shared" si="282"/>
        <v>0</v>
      </c>
      <c r="L150" s="234"/>
      <c r="M150" s="235">
        <f t="shared" si="283"/>
        <v>0</v>
      </c>
      <c r="N150" s="479">
        <f t="shared" si="284"/>
        <v>0</v>
      </c>
      <c r="O150" s="234"/>
      <c r="P150" s="235">
        <f t="shared" si="285"/>
        <v>0</v>
      </c>
      <c r="Q150" s="651">
        <f t="shared" si="286"/>
        <v>0</v>
      </c>
      <c r="R150" s="479">
        <f>IF(J150&gt;0,IF(OR(ManualMode=FALSE,ISBLANK(S150)),'Pricing - Advanced'!$F$16*J150+'Pricing - Advanced'!$F$17,"N/A"),0)</f>
        <v>0</v>
      </c>
      <c r="S150" s="234"/>
      <c r="T150" s="235">
        <f t="shared" si="287"/>
        <v>0</v>
      </c>
      <c r="U150" s="599">
        <f>IF(OR(ManualMode=FALSE,ISBLANK(V150)),SUM(K150:L150)*'Pricing - Advanced'!$F$19+SUM(N150,O150)*'Pricing - Advanced'!$F$18,"N/A")</f>
        <v>0</v>
      </c>
      <c r="V150" s="234"/>
      <c r="W150" s="236">
        <f t="shared" si="288"/>
        <v>0</v>
      </c>
      <c r="X150" s="237">
        <f>'Pricing - Advanced'!$F$20*SUM(H150:I150)+IF(J150&gt;1,'Pricing - Advanced'!$F$21,0)</f>
        <v>0</v>
      </c>
      <c r="Y150" s="688">
        <f>IF(AND(FullTerm&gt;=B150,AB149&gt;0),AB149*'Pricing - Advanced'!$I$128,0)</f>
        <v>0</v>
      </c>
      <c r="Z150" s="233">
        <f t="shared" si="289"/>
        <v>0</v>
      </c>
      <c r="AA150" s="234"/>
      <c r="AB150" s="597">
        <f t="shared" si="290"/>
        <v>0</v>
      </c>
      <c r="AC150" s="236">
        <f t="shared" si="257"/>
        <v>0</v>
      </c>
      <c r="AF150" s="762" t="e">
        <f t="shared" si="291"/>
        <v>#N/A</v>
      </c>
      <c r="AG150" s="759" t="e">
        <f t="shared" si="258"/>
        <v>#N/A</v>
      </c>
      <c r="AH150" s="759">
        <f>IF(J150=0,0,J150-SUM($N$6:N150)-AB149)</f>
        <v>0</v>
      </c>
      <c r="AI150" s="759">
        <f t="shared" si="259"/>
        <v>0</v>
      </c>
      <c r="AJ150" s="760">
        <f t="shared" si="298"/>
        <v>3.0000000000000001E-3</v>
      </c>
      <c r="AK150" s="760">
        <f t="shared" si="299"/>
        <v>3.0000000000000001E-3</v>
      </c>
      <c r="AN150" s="1" t="b">
        <f t="shared" si="300"/>
        <v>1</v>
      </c>
      <c r="AQ150" s="15">
        <f>IF(J149&gt;1,IF(int_method=2,$AG$229*J149,$AG$229*'Pricing - Advanced'!$E$4),0)</f>
        <v>0</v>
      </c>
      <c r="AR150" s="5">
        <f t="shared" si="292"/>
        <v>0</v>
      </c>
      <c r="AS150" s="204">
        <f t="shared" si="301"/>
        <v>44726</v>
      </c>
      <c r="AT150" s="1">
        <f>IF($AT$4=FALSE,B150*'Pricing - Advanced'!$K$5,AT149+E150-E149)</f>
        <v>4383</v>
      </c>
      <c r="AW150">
        <f t="shared" si="241"/>
        <v>0</v>
      </c>
      <c r="AX150">
        <f t="shared" si="260"/>
        <v>0</v>
      </c>
      <c r="AY150">
        <f t="shared" si="242"/>
        <v>0</v>
      </c>
      <c r="AZ150">
        <f t="shared" si="243"/>
        <v>0</v>
      </c>
      <c r="BA150" s="603">
        <f t="shared" si="293"/>
        <v>0</v>
      </c>
      <c r="BB150" s="603">
        <f t="shared" si="294"/>
        <v>0</v>
      </c>
      <c r="BC150" s="5">
        <f t="shared" si="244"/>
        <v>0</v>
      </c>
      <c r="BE150" s="157">
        <f t="shared" si="261"/>
        <v>144</v>
      </c>
      <c r="BF150" s="489">
        <f t="shared" si="295"/>
        <v>4383</v>
      </c>
      <c r="BG150" s="146">
        <f t="shared" si="262"/>
        <v>0</v>
      </c>
      <c r="BH150" s="147">
        <f t="shared" si="263"/>
        <v>0</v>
      </c>
      <c r="BI150" s="154" t="e">
        <f t="shared" si="264"/>
        <v>#NUM!</v>
      </c>
      <c r="BJ150" s="277" t="e">
        <f t="shared" si="245"/>
        <v>#NUM!</v>
      </c>
      <c r="BK150" s="147" t="e">
        <f t="shared" si="246"/>
        <v>#NUM!</v>
      </c>
      <c r="BL150" s="132" t="e">
        <f t="shared" si="247"/>
        <v>#NUM!</v>
      </c>
      <c r="BN150" s="497">
        <f t="shared" si="265"/>
        <v>144</v>
      </c>
      <c r="BO150" s="497">
        <f t="shared" si="266"/>
        <v>4383</v>
      </c>
      <c r="BP150">
        <f t="shared" si="267"/>
        <v>0</v>
      </c>
      <c r="BQ150">
        <f t="shared" si="268"/>
        <v>0</v>
      </c>
      <c r="BR150" s="499" t="e">
        <f t="shared" si="269"/>
        <v>#NUM!</v>
      </c>
      <c r="BS150" s="277" t="e">
        <f t="shared" si="248"/>
        <v>#NUM!</v>
      </c>
      <c r="BT150" s="5" t="e">
        <f t="shared" si="249"/>
        <v>#NUM!</v>
      </c>
      <c r="BU150" s="5" t="e">
        <f t="shared" si="250"/>
        <v>#NUM!</v>
      </c>
      <c r="BW150" s="5"/>
      <c r="BX150" s="5"/>
      <c r="BY150" s="5"/>
      <c r="BZ150" s="5"/>
      <c r="CA150" s="130" t="e">
        <f t="shared" si="270"/>
        <v>#NUM!</v>
      </c>
      <c r="CB150" s="5"/>
      <c r="CC150" s="5" t="e">
        <f t="shared" si="251"/>
        <v>#NUM!</v>
      </c>
      <c r="CD150" s="5" t="e">
        <f t="shared" si="252"/>
        <v>#NUM!</v>
      </c>
      <c r="CE150" s="5"/>
      <c r="CI150" s="130">
        <f t="shared" si="271"/>
        <v>5.7263416622721524</v>
      </c>
      <c r="CJ150" s="130">
        <f t="shared" si="272"/>
        <v>5.7263416622721524</v>
      </c>
      <c r="CK150" s="296">
        <f t="shared" si="296"/>
        <v>6.4636878226953725</v>
      </c>
      <c r="CL150" s="130">
        <f t="shared" si="253"/>
        <v>6.4636878226953725</v>
      </c>
      <c r="CM150" s="5">
        <f t="shared" si="254"/>
        <v>0</v>
      </c>
      <c r="CN150" s="5">
        <f t="shared" si="273"/>
        <v>0</v>
      </c>
      <c r="DE150" s="130" t="e">
        <f t="shared" si="274"/>
        <v>#NUM!</v>
      </c>
      <c r="DF150" s="130" t="e">
        <f t="shared" si="275"/>
        <v>#NUM!</v>
      </c>
      <c r="DG150" s="130" t="e">
        <f t="shared" si="297"/>
        <v>#NUM!</v>
      </c>
      <c r="DH150" s="130" t="e">
        <f t="shared" si="276"/>
        <v>#NUM!</v>
      </c>
      <c r="DJ150" s="130" t="e">
        <f t="shared" si="277"/>
        <v>#NUM!</v>
      </c>
      <c r="DK150" s="130" t="e">
        <f t="shared" si="214"/>
        <v>#NUM!</v>
      </c>
      <c r="DL150" s="130" t="e">
        <f t="shared" si="255"/>
        <v>#NUM!</v>
      </c>
      <c r="DO150" s="130" t="e">
        <f t="shared" si="278"/>
        <v>#NUM!</v>
      </c>
      <c r="DP150" s="130" t="e">
        <f t="shared" si="216"/>
        <v>#NUM!</v>
      </c>
      <c r="DQ150" s="130" t="e">
        <f t="shared" si="256"/>
        <v>#NUM!</v>
      </c>
    </row>
    <row r="151" spans="2:121" hidden="1">
      <c r="B151" s="231">
        <v>145</v>
      </c>
      <c r="C151" s="280"/>
      <c r="D151" s="475"/>
      <c r="E151" s="318">
        <f t="shared" si="279"/>
        <v>44756</v>
      </c>
      <c r="F151" s="542">
        <f t="shared" si="302"/>
        <v>0</v>
      </c>
      <c r="G151" s="239"/>
      <c r="H151" s="685">
        <f t="shared" si="280"/>
        <v>0</v>
      </c>
      <c r="I151" s="234"/>
      <c r="J151" s="597">
        <f t="shared" si="281"/>
        <v>0</v>
      </c>
      <c r="K151" s="478">
        <f t="shared" si="282"/>
        <v>0</v>
      </c>
      <c r="L151" s="234"/>
      <c r="M151" s="235">
        <f t="shared" si="283"/>
        <v>0</v>
      </c>
      <c r="N151" s="479">
        <f t="shared" si="284"/>
        <v>0</v>
      </c>
      <c r="O151" s="234"/>
      <c r="P151" s="235">
        <f t="shared" si="285"/>
        <v>0</v>
      </c>
      <c r="Q151" s="651">
        <f t="shared" si="286"/>
        <v>0</v>
      </c>
      <c r="R151" s="479">
        <f>IF(J151&gt;0,IF(OR(ManualMode=FALSE,ISBLANK(S151)),'Pricing - Advanced'!$F$16*J151+'Pricing - Advanced'!$F$17,"N/A"),0)</f>
        <v>0</v>
      </c>
      <c r="S151" s="234"/>
      <c r="T151" s="235">
        <f t="shared" si="287"/>
        <v>0</v>
      </c>
      <c r="U151" s="599">
        <f>IF(OR(ManualMode=FALSE,ISBLANK(V151)),SUM(K151:L151)*'Pricing - Advanced'!$F$19+SUM(N151,O151)*'Pricing - Advanced'!$F$18,"N/A")</f>
        <v>0</v>
      </c>
      <c r="V151" s="234"/>
      <c r="W151" s="236">
        <f t="shared" si="288"/>
        <v>0</v>
      </c>
      <c r="X151" s="237">
        <f>'Pricing - Advanced'!$F$20*SUM(H151:I151)+IF(J151&gt;1,'Pricing - Advanced'!$F$21,0)</f>
        <v>0</v>
      </c>
      <c r="Y151" s="688">
        <f>IF(AND(FullTerm&gt;=B151,AB150&gt;0),AB150*'Pricing - Advanced'!$I$128,0)</f>
        <v>0</v>
      </c>
      <c r="Z151" s="233">
        <f t="shared" si="289"/>
        <v>0</v>
      </c>
      <c r="AA151" s="234"/>
      <c r="AB151" s="597">
        <f t="shared" si="290"/>
        <v>0</v>
      </c>
      <c r="AC151" s="236">
        <f t="shared" si="257"/>
        <v>0</v>
      </c>
      <c r="AF151" s="762" t="e">
        <f t="shared" si="291"/>
        <v>#N/A</v>
      </c>
      <c r="AG151" s="759" t="e">
        <f t="shared" si="258"/>
        <v>#N/A</v>
      </c>
      <c r="AH151" s="759">
        <f>IF(J151=0,0,J151-SUM($N$6:N151)-AB150)</f>
        <v>0</v>
      </c>
      <c r="AI151" s="759">
        <f t="shared" si="259"/>
        <v>0</v>
      </c>
      <c r="AJ151" s="760">
        <f t="shared" si="298"/>
        <v>3.0000000000000001E-3</v>
      </c>
      <c r="AK151" s="760">
        <f t="shared" si="299"/>
        <v>3.0000000000000001E-3</v>
      </c>
      <c r="AN151" s="1" t="b">
        <f t="shared" si="300"/>
        <v>1</v>
      </c>
      <c r="AQ151" s="15">
        <f>IF(J150&gt;1,IF(int_method=2,$AG$229*J150,$AG$229*'Pricing - Advanced'!$E$4),0)</f>
        <v>0</v>
      </c>
      <c r="AR151" s="5">
        <f t="shared" si="292"/>
        <v>0</v>
      </c>
      <c r="AS151" s="204">
        <f t="shared" si="301"/>
        <v>44756</v>
      </c>
      <c r="AT151" s="1">
        <f>IF($AT$4=FALSE,B151*'Pricing - Advanced'!$K$5,AT150+E151-E150)</f>
        <v>4413</v>
      </c>
      <c r="AW151">
        <f t="shared" si="241"/>
        <v>0</v>
      </c>
      <c r="AX151">
        <f t="shared" si="260"/>
        <v>0</v>
      </c>
      <c r="AY151">
        <f t="shared" si="242"/>
        <v>0</v>
      </c>
      <c r="AZ151">
        <f t="shared" si="243"/>
        <v>0</v>
      </c>
      <c r="BA151" s="603">
        <f t="shared" si="293"/>
        <v>0</v>
      </c>
      <c r="BB151" s="603">
        <f t="shared" si="294"/>
        <v>0</v>
      </c>
      <c r="BC151" s="5">
        <f t="shared" si="244"/>
        <v>0</v>
      </c>
      <c r="BE151" s="157">
        <f t="shared" si="261"/>
        <v>145</v>
      </c>
      <c r="BF151" s="489">
        <f t="shared" si="295"/>
        <v>4413</v>
      </c>
      <c r="BG151" s="146">
        <f t="shared" si="262"/>
        <v>0</v>
      </c>
      <c r="BH151" s="147">
        <f t="shared" si="263"/>
        <v>0</v>
      </c>
      <c r="BI151" s="154" t="e">
        <f t="shared" si="264"/>
        <v>#NUM!</v>
      </c>
      <c r="BJ151" s="277" t="e">
        <f t="shared" si="245"/>
        <v>#NUM!</v>
      </c>
      <c r="BK151" s="147" t="e">
        <f t="shared" si="246"/>
        <v>#NUM!</v>
      </c>
      <c r="BL151" s="132" t="e">
        <f t="shared" si="247"/>
        <v>#NUM!</v>
      </c>
      <c r="BN151" s="497">
        <f t="shared" si="265"/>
        <v>145</v>
      </c>
      <c r="BO151" s="497">
        <f t="shared" si="266"/>
        <v>4413</v>
      </c>
      <c r="BP151">
        <f t="shared" si="267"/>
        <v>0</v>
      </c>
      <c r="BQ151">
        <f t="shared" si="268"/>
        <v>0</v>
      </c>
      <c r="BR151" s="499" t="e">
        <f t="shared" si="269"/>
        <v>#NUM!</v>
      </c>
      <c r="BS151" s="277" t="e">
        <f t="shared" si="248"/>
        <v>#NUM!</v>
      </c>
      <c r="BT151" s="5" t="e">
        <f t="shared" si="249"/>
        <v>#NUM!</v>
      </c>
      <c r="BU151" s="5" t="e">
        <f t="shared" si="250"/>
        <v>#NUM!</v>
      </c>
      <c r="BW151" s="5"/>
      <c r="BX151" s="5"/>
      <c r="BY151" s="5"/>
      <c r="BZ151" s="5"/>
      <c r="CA151" s="130" t="e">
        <f t="shared" si="270"/>
        <v>#NUM!</v>
      </c>
      <c r="CB151" s="5"/>
      <c r="CC151" s="5" t="e">
        <f t="shared" si="251"/>
        <v>#NUM!</v>
      </c>
      <c r="CD151" s="5" t="e">
        <f t="shared" si="252"/>
        <v>#NUM!</v>
      </c>
      <c r="CE151" s="5"/>
      <c r="CI151" s="130">
        <f t="shared" si="271"/>
        <v>5.7961590352267631</v>
      </c>
      <c r="CJ151" s="130">
        <f t="shared" si="272"/>
        <v>5.795149495023221</v>
      </c>
      <c r="CK151" s="296">
        <f t="shared" si="296"/>
        <v>6.5480005774372527</v>
      </c>
      <c r="CL151" s="130">
        <f t="shared" si="253"/>
        <v>6.5480005774372527</v>
      </c>
      <c r="CM151" s="5">
        <f t="shared" si="254"/>
        <v>0</v>
      </c>
      <c r="CN151" s="5">
        <f t="shared" si="273"/>
        <v>0</v>
      </c>
      <c r="DE151" s="130" t="e">
        <f t="shared" si="274"/>
        <v>#NUM!</v>
      </c>
      <c r="DF151" s="130" t="e">
        <f t="shared" si="275"/>
        <v>#NUM!</v>
      </c>
      <c r="DG151" s="130" t="e">
        <f t="shared" si="297"/>
        <v>#NUM!</v>
      </c>
      <c r="DH151" s="130" t="e">
        <f t="shared" si="276"/>
        <v>#NUM!</v>
      </c>
      <c r="DJ151" s="130" t="e">
        <f t="shared" si="277"/>
        <v>#NUM!</v>
      </c>
      <c r="DK151" s="130" t="e">
        <f t="shared" si="214"/>
        <v>#NUM!</v>
      </c>
      <c r="DL151" s="130" t="e">
        <f t="shared" si="255"/>
        <v>#NUM!</v>
      </c>
      <c r="DO151" s="130" t="e">
        <f t="shared" si="278"/>
        <v>#NUM!</v>
      </c>
      <c r="DP151" s="130" t="e">
        <f t="shared" si="216"/>
        <v>#NUM!</v>
      </c>
      <c r="DQ151" s="130" t="e">
        <f t="shared" si="256"/>
        <v>#NUM!</v>
      </c>
    </row>
    <row r="152" spans="2:121" hidden="1">
      <c r="B152" s="231">
        <v>146</v>
      </c>
      <c r="C152" s="280"/>
      <c r="D152" s="475"/>
      <c r="E152" s="318">
        <f t="shared" si="279"/>
        <v>44787</v>
      </c>
      <c r="F152" s="542">
        <f t="shared" si="302"/>
        <v>0</v>
      </c>
      <c r="G152" s="239"/>
      <c r="H152" s="685">
        <f t="shared" si="280"/>
        <v>0</v>
      </c>
      <c r="I152" s="234"/>
      <c r="J152" s="597">
        <f t="shared" si="281"/>
        <v>0</v>
      </c>
      <c r="K152" s="478">
        <f t="shared" si="282"/>
        <v>0</v>
      </c>
      <c r="L152" s="234"/>
      <c r="M152" s="235">
        <f t="shared" si="283"/>
        <v>0</v>
      </c>
      <c r="N152" s="479">
        <f t="shared" si="284"/>
        <v>0</v>
      </c>
      <c r="O152" s="234"/>
      <c r="P152" s="235">
        <f t="shared" si="285"/>
        <v>0</v>
      </c>
      <c r="Q152" s="651">
        <f t="shared" si="286"/>
        <v>0</v>
      </c>
      <c r="R152" s="479">
        <f>IF(J152&gt;0,IF(OR(ManualMode=FALSE,ISBLANK(S152)),'Pricing - Advanced'!$F$16*J152+'Pricing - Advanced'!$F$17,"N/A"),0)</f>
        <v>0</v>
      </c>
      <c r="S152" s="234"/>
      <c r="T152" s="235">
        <f t="shared" si="287"/>
        <v>0</v>
      </c>
      <c r="U152" s="599">
        <f>IF(OR(ManualMode=FALSE,ISBLANK(V152)),SUM(K152:L152)*'Pricing - Advanced'!$F$19+SUM(N152,O152)*'Pricing - Advanced'!$F$18,"N/A")</f>
        <v>0</v>
      </c>
      <c r="V152" s="234"/>
      <c r="W152" s="236">
        <f t="shared" si="288"/>
        <v>0</v>
      </c>
      <c r="X152" s="237">
        <f>'Pricing - Advanced'!$F$20*SUM(H152:I152)+IF(J152&gt;1,'Pricing - Advanced'!$F$21,0)</f>
        <v>0</v>
      </c>
      <c r="Y152" s="688">
        <f>IF(AND(FullTerm&gt;=B152,AB151&gt;0),AB151*'Pricing - Advanced'!$I$128,0)</f>
        <v>0</v>
      </c>
      <c r="Z152" s="233">
        <f t="shared" si="289"/>
        <v>0</v>
      </c>
      <c r="AA152" s="234"/>
      <c r="AB152" s="597">
        <f t="shared" si="290"/>
        <v>0</v>
      </c>
      <c r="AC152" s="236">
        <f t="shared" si="257"/>
        <v>0</v>
      </c>
      <c r="AF152" s="762" t="e">
        <f t="shared" si="291"/>
        <v>#N/A</v>
      </c>
      <c r="AG152" s="759" t="e">
        <f t="shared" si="258"/>
        <v>#N/A</v>
      </c>
      <c r="AH152" s="759">
        <f>IF(J152=0,0,J152-SUM($N$6:N152)-AB151)</f>
        <v>0</v>
      </c>
      <c r="AI152" s="759">
        <f t="shared" si="259"/>
        <v>0</v>
      </c>
      <c r="AJ152" s="760">
        <f t="shared" si="298"/>
        <v>3.0000000000000001E-3</v>
      </c>
      <c r="AK152" s="760">
        <f t="shared" si="299"/>
        <v>3.0000000000000001E-3</v>
      </c>
      <c r="AN152" s="1" t="b">
        <f t="shared" si="300"/>
        <v>1</v>
      </c>
      <c r="AQ152" s="15">
        <f>IF(J151&gt;1,IF(int_method=2,$AG$229*J151,$AG$229*'Pricing - Advanced'!$E$4),0)</f>
        <v>0</v>
      </c>
      <c r="AR152" s="5">
        <f t="shared" si="292"/>
        <v>0</v>
      </c>
      <c r="AS152" s="204">
        <f t="shared" si="301"/>
        <v>44787</v>
      </c>
      <c r="AT152" s="1">
        <f>IF($AT$4=FALSE,B152*'Pricing - Advanced'!$K$5,AT151+E152-E151)</f>
        <v>4444</v>
      </c>
      <c r="AW152">
        <f t="shared" si="241"/>
        <v>0</v>
      </c>
      <c r="AX152">
        <f t="shared" si="260"/>
        <v>0</v>
      </c>
      <c r="AY152">
        <f t="shared" si="242"/>
        <v>0</v>
      </c>
      <c r="AZ152">
        <f t="shared" si="243"/>
        <v>0</v>
      </c>
      <c r="BA152" s="603">
        <f t="shared" si="293"/>
        <v>0</v>
      </c>
      <c r="BB152" s="603">
        <f t="shared" si="294"/>
        <v>0</v>
      </c>
      <c r="BC152" s="5">
        <f t="shared" si="244"/>
        <v>0</v>
      </c>
      <c r="BE152" s="157">
        <f t="shared" si="261"/>
        <v>146</v>
      </c>
      <c r="BF152" s="489">
        <f t="shared" si="295"/>
        <v>4444</v>
      </c>
      <c r="BG152" s="146">
        <f t="shared" si="262"/>
        <v>0</v>
      </c>
      <c r="BH152" s="147">
        <f t="shared" si="263"/>
        <v>0</v>
      </c>
      <c r="BI152" s="154" t="e">
        <f t="shared" si="264"/>
        <v>#NUM!</v>
      </c>
      <c r="BJ152" s="277" t="e">
        <f t="shared" si="245"/>
        <v>#NUM!</v>
      </c>
      <c r="BK152" s="147" t="e">
        <f t="shared" si="246"/>
        <v>#NUM!</v>
      </c>
      <c r="BL152" s="132" t="e">
        <f t="shared" si="247"/>
        <v>#NUM!</v>
      </c>
      <c r="BN152" s="497">
        <f t="shared" si="265"/>
        <v>146</v>
      </c>
      <c r="BO152" s="497">
        <f t="shared" si="266"/>
        <v>4444</v>
      </c>
      <c r="BP152">
        <f t="shared" si="267"/>
        <v>0</v>
      </c>
      <c r="BQ152">
        <f t="shared" si="268"/>
        <v>0</v>
      </c>
      <c r="BR152" s="499" t="e">
        <f t="shared" si="269"/>
        <v>#NUM!</v>
      </c>
      <c r="BS152" s="277" t="e">
        <f t="shared" si="248"/>
        <v>#NUM!</v>
      </c>
      <c r="BT152" s="5" t="e">
        <f t="shared" si="249"/>
        <v>#NUM!</v>
      </c>
      <c r="BU152" s="5" t="e">
        <f t="shared" si="250"/>
        <v>#NUM!</v>
      </c>
      <c r="BW152" s="5"/>
      <c r="BX152" s="5"/>
      <c r="BY152" s="5"/>
      <c r="BZ152" s="5"/>
      <c r="CA152" s="130" t="e">
        <f t="shared" si="270"/>
        <v>#NUM!</v>
      </c>
      <c r="CB152" s="5"/>
      <c r="CC152" s="5" t="e">
        <f t="shared" si="251"/>
        <v>#NUM!</v>
      </c>
      <c r="CD152" s="5" t="e">
        <f t="shared" si="252"/>
        <v>#NUM!</v>
      </c>
      <c r="CE152" s="5"/>
      <c r="CI152" s="130">
        <f t="shared" si="271"/>
        <v>5.8668276437264639</v>
      </c>
      <c r="CJ152" s="130">
        <f t="shared" si="272"/>
        <v>5.8671196332317033</v>
      </c>
      <c r="CK152" s="296">
        <f t="shared" si="296"/>
        <v>6.6334131131102607</v>
      </c>
      <c r="CL152" s="130">
        <f t="shared" si="253"/>
        <v>6.6334131131102607</v>
      </c>
      <c r="CM152" s="5">
        <f t="shared" si="254"/>
        <v>0</v>
      </c>
      <c r="CN152" s="5">
        <f t="shared" si="273"/>
        <v>0</v>
      </c>
      <c r="DE152" s="130" t="e">
        <f t="shared" si="274"/>
        <v>#NUM!</v>
      </c>
      <c r="DF152" s="130" t="e">
        <f t="shared" si="275"/>
        <v>#NUM!</v>
      </c>
      <c r="DG152" s="130" t="e">
        <f t="shared" si="297"/>
        <v>#NUM!</v>
      </c>
      <c r="DH152" s="130" t="e">
        <f t="shared" si="276"/>
        <v>#NUM!</v>
      </c>
      <c r="DJ152" s="130" t="e">
        <f t="shared" si="277"/>
        <v>#NUM!</v>
      </c>
      <c r="DK152" s="130" t="e">
        <f t="shared" si="214"/>
        <v>#NUM!</v>
      </c>
      <c r="DL152" s="130" t="e">
        <f t="shared" si="255"/>
        <v>#NUM!</v>
      </c>
      <c r="DO152" s="130" t="e">
        <f t="shared" si="278"/>
        <v>#NUM!</v>
      </c>
      <c r="DP152" s="130" t="e">
        <f t="shared" si="216"/>
        <v>#NUM!</v>
      </c>
      <c r="DQ152" s="130" t="e">
        <f t="shared" si="256"/>
        <v>#NUM!</v>
      </c>
    </row>
    <row r="153" spans="2:121" hidden="1">
      <c r="B153" s="231">
        <v>147</v>
      </c>
      <c r="C153" s="280"/>
      <c r="D153" s="475"/>
      <c r="E153" s="318">
        <f t="shared" si="279"/>
        <v>44818</v>
      </c>
      <c r="F153" s="542">
        <f t="shared" si="302"/>
        <v>0</v>
      </c>
      <c r="G153" s="239"/>
      <c r="H153" s="685">
        <f t="shared" si="280"/>
        <v>0</v>
      </c>
      <c r="I153" s="234"/>
      <c r="J153" s="597">
        <f t="shared" si="281"/>
        <v>0</v>
      </c>
      <c r="K153" s="478">
        <f t="shared" si="282"/>
        <v>0</v>
      </c>
      <c r="L153" s="234"/>
      <c r="M153" s="235">
        <f t="shared" si="283"/>
        <v>0</v>
      </c>
      <c r="N153" s="479">
        <f t="shared" si="284"/>
        <v>0</v>
      </c>
      <c r="O153" s="234"/>
      <c r="P153" s="235">
        <f t="shared" si="285"/>
        <v>0</v>
      </c>
      <c r="Q153" s="651">
        <f t="shared" si="286"/>
        <v>0</v>
      </c>
      <c r="R153" s="479">
        <f>IF(J153&gt;0,IF(OR(ManualMode=FALSE,ISBLANK(S153)),'Pricing - Advanced'!$F$16*J153+'Pricing - Advanced'!$F$17,"N/A"),0)</f>
        <v>0</v>
      </c>
      <c r="S153" s="234"/>
      <c r="T153" s="235">
        <f t="shared" si="287"/>
        <v>0</v>
      </c>
      <c r="U153" s="599">
        <f>IF(OR(ManualMode=FALSE,ISBLANK(V153)),SUM(K153:L153)*'Pricing - Advanced'!$F$19+SUM(N153,O153)*'Pricing - Advanced'!$F$18,"N/A")</f>
        <v>0</v>
      </c>
      <c r="V153" s="234"/>
      <c r="W153" s="236">
        <f t="shared" si="288"/>
        <v>0</v>
      </c>
      <c r="X153" s="237">
        <f>'Pricing - Advanced'!$F$20*SUM(H153:I153)+IF(J153&gt;1,'Pricing - Advanced'!$F$21,0)</f>
        <v>0</v>
      </c>
      <c r="Y153" s="688">
        <f>IF(AND(FullTerm&gt;=B153,AB152&gt;0),AB152*'Pricing - Advanced'!$I$128,0)</f>
        <v>0</v>
      </c>
      <c r="Z153" s="233">
        <f t="shared" si="289"/>
        <v>0</v>
      </c>
      <c r="AA153" s="234"/>
      <c r="AB153" s="597">
        <f t="shared" si="290"/>
        <v>0</v>
      </c>
      <c r="AC153" s="236">
        <f t="shared" si="257"/>
        <v>0</v>
      </c>
      <c r="AF153" s="762" t="e">
        <f t="shared" si="291"/>
        <v>#N/A</v>
      </c>
      <c r="AG153" s="759" t="e">
        <f t="shared" si="258"/>
        <v>#N/A</v>
      </c>
      <c r="AH153" s="759">
        <f>IF(J153=0,0,J153-SUM($N$6:N153)-AB152)</f>
        <v>0</v>
      </c>
      <c r="AI153" s="759">
        <f t="shared" si="259"/>
        <v>0</v>
      </c>
      <c r="AJ153" s="760">
        <f t="shared" si="298"/>
        <v>3.0000000000000001E-3</v>
      </c>
      <c r="AK153" s="760">
        <f t="shared" si="299"/>
        <v>3.0000000000000001E-3</v>
      </c>
      <c r="AN153" s="1" t="b">
        <f t="shared" si="300"/>
        <v>1</v>
      </c>
      <c r="AQ153" s="15">
        <f>IF(J152&gt;1,IF(int_method=2,$AG$229*J152,$AG$229*'Pricing - Advanced'!$E$4),0)</f>
        <v>0</v>
      </c>
      <c r="AR153" s="5">
        <f t="shared" si="292"/>
        <v>0</v>
      </c>
      <c r="AS153" s="204">
        <f t="shared" si="301"/>
        <v>44818</v>
      </c>
      <c r="AT153" s="1">
        <f>IF($AT$4=FALSE,B153*'Pricing - Advanced'!$K$5,AT152+E153-E152)</f>
        <v>4475</v>
      </c>
      <c r="AW153">
        <f t="shared" si="241"/>
        <v>0</v>
      </c>
      <c r="AX153">
        <f t="shared" si="260"/>
        <v>0</v>
      </c>
      <c r="AY153">
        <f t="shared" si="242"/>
        <v>0</v>
      </c>
      <c r="AZ153">
        <f t="shared" si="243"/>
        <v>0</v>
      </c>
      <c r="BA153" s="603">
        <f t="shared" si="293"/>
        <v>0</v>
      </c>
      <c r="BB153" s="603">
        <f t="shared" si="294"/>
        <v>0</v>
      </c>
      <c r="BC153" s="5">
        <f t="shared" si="244"/>
        <v>0</v>
      </c>
      <c r="BE153" s="157">
        <f t="shared" si="261"/>
        <v>147</v>
      </c>
      <c r="BF153" s="489">
        <f t="shared" si="295"/>
        <v>4475</v>
      </c>
      <c r="BG153" s="146">
        <f t="shared" si="262"/>
        <v>0</v>
      </c>
      <c r="BH153" s="147">
        <f t="shared" si="263"/>
        <v>0</v>
      </c>
      <c r="BI153" s="154" t="e">
        <f t="shared" si="264"/>
        <v>#NUM!</v>
      </c>
      <c r="BJ153" s="277" t="e">
        <f t="shared" si="245"/>
        <v>#NUM!</v>
      </c>
      <c r="BK153" s="147" t="e">
        <f t="shared" si="246"/>
        <v>#NUM!</v>
      </c>
      <c r="BL153" s="132" t="e">
        <f t="shared" si="247"/>
        <v>#NUM!</v>
      </c>
      <c r="BN153" s="497">
        <f t="shared" si="265"/>
        <v>147</v>
      </c>
      <c r="BO153" s="497">
        <f t="shared" si="266"/>
        <v>4475</v>
      </c>
      <c r="BP153">
        <f t="shared" si="267"/>
        <v>0</v>
      </c>
      <c r="BQ153">
        <f t="shared" si="268"/>
        <v>0</v>
      </c>
      <c r="BR153" s="499" t="e">
        <f t="shared" si="269"/>
        <v>#NUM!</v>
      </c>
      <c r="BS153" s="277" t="e">
        <f t="shared" si="248"/>
        <v>#NUM!</v>
      </c>
      <c r="BT153" s="5" t="e">
        <f t="shared" si="249"/>
        <v>#NUM!</v>
      </c>
      <c r="BU153" s="5" t="e">
        <f t="shared" si="250"/>
        <v>#NUM!</v>
      </c>
      <c r="BW153" s="5"/>
      <c r="BX153" s="5"/>
      <c r="BY153" s="5"/>
      <c r="BZ153" s="5"/>
      <c r="CA153" s="130" t="e">
        <f t="shared" si="270"/>
        <v>#NUM!</v>
      </c>
      <c r="CB153" s="5"/>
      <c r="CC153" s="5" t="e">
        <f t="shared" si="251"/>
        <v>#NUM!</v>
      </c>
      <c r="CD153" s="5" t="e">
        <f t="shared" si="252"/>
        <v>#NUM!</v>
      </c>
      <c r="CE153" s="5"/>
      <c r="CI153" s="130">
        <f t="shared" si="271"/>
        <v>5.9383578663048935</v>
      </c>
      <c r="CJ153" s="130">
        <f t="shared" si="272"/>
        <v>5.9399835707801669</v>
      </c>
      <c r="CK153" s="296">
        <f t="shared" si="296"/>
        <v>6.7199397753267567</v>
      </c>
      <c r="CL153" s="130">
        <f t="shared" si="253"/>
        <v>6.7199397753267567</v>
      </c>
      <c r="CM153" s="5">
        <f t="shared" si="254"/>
        <v>0</v>
      </c>
      <c r="CN153" s="5">
        <f t="shared" si="273"/>
        <v>0</v>
      </c>
      <c r="DE153" s="130" t="e">
        <f t="shared" si="274"/>
        <v>#NUM!</v>
      </c>
      <c r="DF153" s="130" t="e">
        <f t="shared" si="275"/>
        <v>#NUM!</v>
      </c>
      <c r="DG153" s="130" t="e">
        <f t="shared" si="297"/>
        <v>#NUM!</v>
      </c>
      <c r="DH153" s="130" t="e">
        <f t="shared" si="276"/>
        <v>#NUM!</v>
      </c>
      <c r="DJ153" s="130" t="e">
        <f t="shared" si="277"/>
        <v>#NUM!</v>
      </c>
      <c r="DK153" s="130" t="e">
        <f t="shared" si="214"/>
        <v>#NUM!</v>
      </c>
      <c r="DL153" s="130" t="e">
        <f t="shared" si="255"/>
        <v>#NUM!</v>
      </c>
      <c r="DO153" s="130" t="e">
        <f t="shared" si="278"/>
        <v>#NUM!</v>
      </c>
      <c r="DP153" s="130" t="e">
        <f t="shared" si="216"/>
        <v>#NUM!</v>
      </c>
      <c r="DQ153" s="130" t="e">
        <f t="shared" si="256"/>
        <v>#NUM!</v>
      </c>
    </row>
    <row r="154" spans="2:121" hidden="1">
      <c r="B154" s="231">
        <v>148</v>
      </c>
      <c r="C154" s="280"/>
      <c r="D154" s="475"/>
      <c r="E154" s="318">
        <f t="shared" si="279"/>
        <v>44848</v>
      </c>
      <c r="F154" s="542">
        <f t="shared" si="302"/>
        <v>0</v>
      </c>
      <c r="G154" s="239"/>
      <c r="H154" s="685">
        <f t="shared" si="280"/>
        <v>0</v>
      </c>
      <c r="I154" s="234"/>
      <c r="J154" s="597">
        <f t="shared" si="281"/>
        <v>0</v>
      </c>
      <c r="K154" s="478">
        <f t="shared" si="282"/>
        <v>0</v>
      </c>
      <c r="L154" s="234"/>
      <c r="M154" s="235">
        <f t="shared" si="283"/>
        <v>0</v>
      </c>
      <c r="N154" s="479">
        <f t="shared" si="284"/>
        <v>0</v>
      </c>
      <c r="O154" s="234"/>
      <c r="P154" s="235">
        <f t="shared" si="285"/>
        <v>0</v>
      </c>
      <c r="Q154" s="651">
        <f t="shared" si="286"/>
        <v>0</v>
      </c>
      <c r="R154" s="479">
        <f>IF(J154&gt;0,IF(OR(ManualMode=FALSE,ISBLANK(S154)),'Pricing - Advanced'!$F$16*J154+'Pricing - Advanced'!$F$17,"N/A"),0)</f>
        <v>0</v>
      </c>
      <c r="S154" s="234"/>
      <c r="T154" s="235">
        <f t="shared" si="287"/>
        <v>0</v>
      </c>
      <c r="U154" s="599">
        <f>IF(OR(ManualMode=FALSE,ISBLANK(V154)),SUM(K154:L154)*'Pricing - Advanced'!$F$19+SUM(N154,O154)*'Pricing - Advanced'!$F$18,"N/A")</f>
        <v>0</v>
      </c>
      <c r="V154" s="234"/>
      <c r="W154" s="236">
        <f t="shared" si="288"/>
        <v>0</v>
      </c>
      <c r="X154" s="237">
        <f>'Pricing - Advanced'!$F$20*SUM(H154:I154)+IF(J154&gt;1,'Pricing - Advanced'!$F$21,0)</f>
        <v>0</v>
      </c>
      <c r="Y154" s="688">
        <f>IF(AND(FullTerm&gt;=B154,AB153&gt;0),AB153*'Pricing - Advanced'!$I$128,0)</f>
        <v>0</v>
      </c>
      <c r="Z154" s="233">
        <f t="shared" si="289"/>
        <v>0</v>
      </c>
      <c r="AA154" s="234"/>
      <c r="AB154" s="597">
        <f t="shared" si="290"/>
        <v>0</v>
      </c>
      <c r="AC154" s="236">
        <f t="shared" si="257"/>
        <v>0</v>
      </c>
      <c r="AF154" s="762" t="e">
        <f t="shared" si="291"/>
        <v>#N/A</v>
      </c>
      <c r="AG154" s="759" t="e">
        <f t="shared" si="258"/>
        <v>#N/A</v>
      </c>
      <c r="AH154" s="759">
        <f>IF(J154=0,0,J154-SUM($N$6:N154)-AB153)</f>
        <v>0</v>
      </c>
      <c r="AI154" s="759">
        <f t="shared" si="259"/>
        <v>0</v>
      </c>
      <c r="AJ154" s="760">
        <f t="shared" si="298"/>
        <v>3.0000000000000001E-3</v>
      </c>
      <c r="AK154" s="760">
        <f t="shared" si="299"/>
        <v>3.0000000000000001E-3</v>
      </c>
      <c r="AN154" s="1" t="b">
        <f t="shared" si="300"/>
        <v>1</v>
      </c>
      <c r="AQ154" s="15">
        <f>IF(J153&gt;1,IF(int_method=2,$AG$229*J153,$AG$229*'Pricing - Advanced'!$E$4),0)</f>
        <v>0</v>
      </c>
      <c r="AR154" s="5">
        <f t="shared" si="292"/>
        <v>0</v>
      </c>
      <c r="AS154" s="204">
        <f t="shared" si="301"/>
        <v>44848</v>
      </c>
      <c r="AT154" s="1">
        <f>IF($AT$4=FALSE,B154*'Pricing - Advanced'!$K$5,AT153+E154-E153)</f>
        <v>4505</v>
      </c>
      <c r="AW154">
        <f t="shared" si="241"/>
        <v>0</v>
      </c>
      <c r="AX154">
        <f t="shared" si="260"/>
        <v>0</v>
      </c>
      <c r="AY154">
        <f t="shared" si="242"/>
        <v>0</v>
      </c>
      <c r="AZ154">
        <f t="shared" si="243"/>
        <v>0</v>
      </c>
      <c r="BA154" s="603">
        <f t="shared" si="293"/>
        <v>0</v>
      </c>
      <c r="BB154" s="603">
        <f t="shared" si="294"/>
        <v>0</v>
      </c>
      <c r="BC154" s="5">
        <f t="shared" si="244"/>
        <v>0</v>
      </c>
      <c r="BE154" s="157">
        <f t="shared" si="261"/>
        <v>148</v>
      </c>
      <c r="BF154" s="489">
        <f t="shared" si="295"/>
        <v>4505</v>
      </c>
      <c r="BG154" s="146">
        <f t="shared" si="262"/>
        <v>0</v>
      </c>
      <c r="BH154" s="147">
        <f t="shared" si="263"/>
        <v>0</v>
      </c>
      <c r="BI154" s="154" t="e">
        <f t="shared" si="264"/>
        <v>#NUM!</v>
      </c>
      <c r="BJ154" s="277" t="e">
        <f t="shared" si="245"/>
        <v>#NUM!</v>
      </c>
      <c r="BK154" s="147" t="e">
        <f t="shared" si="246"/>
        <v>#NUM!</v>
      </c>
      <c r="BL154" s="132" t="e">
        <f t="shared" si="247"/>
        <v>#NUM!</v>
      </c>
      <c r="BN154" s="497">
        <f t="shared" si="265"/>
        <v>148</v>
      </c>
      <c r="BO154" s="497">
        <f t="shared" si="266"/>
        <v>4505</v>
      </c>
      <c r="BP154">
        <f t="shared" si="267"/>
        <v>0</v>
      </c>
      <c r="BQ154">
        <f t="shared" si="268"/>
        <v>0</v>
      </c>
      <c r="BR154" s="499" t="e">
        <f t="shared" si="269"/>
        <v>#NUM!</v>
      </c>
      <c r="BS154" s="277" t="e">
        <f t="shared" si="248"/>
        <v>#NUM!</v>
      </c>
      <c r="BT154" s="5" t="e">
        <f t="shared" si="249"/>
        <v>#NUM!</v>
      </c>
      <c r="BU154" s="5" t="e">
        <f t="shared" si="250"/>
        <v>#NUM!</v>
      </c>
      <c r="BW154" s="5"/>
      <c r="BX154" s="5"/>
      <c r="BY154" s="5"/>
      <c r="BZ154" s="5"/>
      <c r="CA154" s="130" t="e">
        <f t="shared" si="270"/>
        <v>#NUM!</v>
      </c>
      <c r="CB154" s="5"/>
      <c r="CC154" s="5" t="e">
        <f t="shared" si="251"/>
        <v>#NUM!</v>
      </c>
      <c r="CD154" s="5" t="e">
        <f t="shared" si="252"/>
        <v>#NUM!</v>
      </c>
      <c r="CE154" s="5"/>
      <c r="CI154" s="130">
        <f t="shared" si="271"/>
        <v>6.0107602080340499</v>
      </c>
      <c r="CJ154" s="130">
        <f t="shared" si="272"/>
        <v>6.0113585288577021</v>
      </c>
      <c r="CK154" s="296">
        <f t="shared" si="296"/>
        <v>6.8075950968241781</v>
      </c>
      <c r="CL154" s="130">
        <f t="shared" si="253"/>
        <v>6.8075950968241781</v>
      </c>
      <c r="CM154" s="5">
        <f t="shared" si="254"/>
        <v>0</v>
      </c>
      <c r="CN154" s="5">
        <f t="shared" si="273"/>
        <v>0</v>
      </c>
      <c r="DE154" s="130" t="e">
        <f t="shared" si="274"/>
        <v>#NUM!</v>
      </c>
      <c r="DF154" s="130" t="e">
        <f t="shared" si="275"/>
        <v>#NUM!</v>
      </c>
      <c r="DG154" s="130" t="e">
        <f t="shared" si="297"/>
        <v>#NUM!</v>
      </c>
      <c r="DH154" s="130" t="e">
        <f t="shared" si="276"/>
        <v>#NUM!</v>
      </c>
      <c r="DJ154" s="130" t="e">
        <f t="shared" si="277"/>
        <v>#NUM!</v>
      </c>
      <c r="DK154" s="130" t="e">
        <f t="shared" si="214"/>
        <v>#NUM!</v>
      </c>
      <c r="DL154" s="130" t="e">
        <f t="shared" si="255"/>
        <v>#NUM!</v>
      </c>
      <c r="DO154" s="130" t="e">
        <f t="shared" si="278"/>
        <v>#NUM!</v>
      </c>
      <c r="DP154" s="130" t="e">
        <f t="shared" si="216"/>
        <v>#NUM!</v>
      </c>
      <c r="DQ154" s="130" t="e">
        <f t="shared" si="256"/>
        <v>#NUM!</v>
      </c>
    </row>
    <row r="155" spans="2:121" hidden="1">
      <c r="B155" s="231">
        <v>149</v>
      </c>
      <c r="C155" s="280"/>
      <c r="D155" s="475"/>
      <c r="E155" s="318">
        <f t="shared" si="279"/>
        <v>44879</v>
      </c>
      <c r="F155" s="542">
        <f t="shared" si="302"/>
        <v>0</v>
      </c>
      <c r="G155" s="239"/>
      <c r="H155" s="685">
        <f t="shared" si="280"/>
        <v>0</v>
      </c>
      <c r="I155" s="234"/>
      <c r="J155" s="597">
        <f t="shared" si="281"/>
        <v>0</v>
      </c>
      <c r="K155" s="478">
        <f t="shared" si="282"/>
        <v>0</v>
      </c>
      <c r="L155" s="234"/>
      <c r="M155" s="235">
        <f t="shared" si="283"/>
        <v>0</v>
      </c>
      <c r="N155" s="479">
        <f t="shared" si="284"/>
        <v>0</v>
      </c>
      <c r="O155" s="234"/>
      <c r="P155" s="235">
        <f t="shared" si="285"/>
        <v>0</v>
      </c>
      <c r="Q155" s="651">
        <f t="shared" si="286"/>
        <v>0</v>
      </c>
      <c r="R155" s="479">
        <f>IF(J155&gt;0,IF(OR(ManualMode=FALSE,ISBLANK(S155)),'Pricing - Advanced'!$F$16*J155+'Pricing - Advanced'!$F$17,"N/A"),0)</f>
        <v>0</v>
      </c>
      <c r="S155" s="234"/>
      <c r="T155" s="235">
        <f t="shared" si="287"/>
        <v>0</v>
      </c>
      <c r="U155" s="599">
        <f>IF(OR(ManualMode=FALSE,ISBLANK(V155)),SUM(K155:L155)*'Pricing - Advanced'!$F$19+SUM(N155,O155)*'Pricing - Advanced'!$F$18,"N/A")</f>
        <v>0</v>
      </c>
      <c r="V155" s="234"/>
      <c r="W155" s="236">
        <f t="shared" si="288"/>
        <v>0</v>
      </c>
      <c r="X155" s="237">
        <f>'Pricing - Advanced'!$F$20*SUM(H155:I155)+IF(J155&gt;1,'Pricing - Advanced'!$F$21,0)</f>
        <v>0</v>
      </c>
      <c r="Y155" s="688">
        <f>IF(AND(FullTerm&gt;=B155,AB154&gt;0),AB154*'Pricing - Advanced'!$I$128,0)</f>
        <v>0</v>
      </c>
      <c r="Z155" s="233">
        <f t="shared" si="289"/>
        <v>0</v>
      </c>
      <c r="AA155" s="234"/>
      <c r="AB155" s="597">
        <f t="shared" si="290"/>
        <v>0</v>
      </c>
      <c r="AC155" s="236">
        <f t="shared" si="257"/>
        <v>0</v>
      </c>
      <c r="AF155" s="762" t="e">
        <f t="shared" si="291"/>
        <v>#N/A</v>
      </c>
      <c r="AG155" s="759" t="e">
        <f t="shared" si="258"/>
        <v>#N/A</v>
      </c>
      <c r="AH155" s="759">
        <f>IF(J155=0,0,J155-SUM($N$6:N155)-AB154)</f>
        <v>0</v>
      </c>
      <c r="AI155" s="759">
        <f t="shared" si="259"/>
        <v>0</v>
      </c>
      <c r="AJ155" s="760">
        <f t="shared" si="298"/>
        <v>3.0000000000000001E-3</v>
      </c>
      <c r="AK155" s="760">
        <f t="shared" si="299"/>
        <v>3.0000000000000001E-3</v>
      </c>
      <c r="AN155" s="1" t="b">
        <f t="shared" si="300"/>
        <v>1</v>
      </c>
      <c r="AQ155" s="15">
        <f>IF(J154&gt;1,IF(int_method=2,$AG$229*J154,$AG$229*'Pricing - Advanced'!$E$4),0)</f>
        <v>0</v>
      </c>
      <c r="AR155" s="5">
        <f t="shared" si="292"/>
        <v>0</v>
      </c>
      <c r="AS155" s="204">
        <f t="shared" si="301"/>
        <v>44879</v>
      </c>
      <c r="AT155" s="1">
        <f>IF($AT$4=FALSE,B155*'Pricing - Advanced'!$K$5,AT154+E155-E154)</f>
        <v>4536</v>
      </c>
      <c r="AW155">
        <f t="shared" si="241"/>
        <v>0</v>
      </c>
      <c r="AX155">
        <f t="shared" si="260"/>
        <v>0</v>
      </c>
      <c r="AY155">
        <f t="shared" si="242"/>
        <v>0</v>
      </c>
      <c r="AZ155">
        <f t="shared" si="243"/>
        <v>0</v>
      </c>
      <c r="BA155" s="603">
        <f t="shared" si="293"/>
        <v>0</v>
      </c>
      <c r="BB155" s="603">
        <f t="shared" si="294"/>
        <v>0</v>
      </c>
      <c r="BC155" s="5">
        <f t="shared" si="244"/>
        <v>0</v>
      </c>
      <c r="BE155" s="157">
        <f t="shared" si="261"/>
        <v>149</v>
      </c>
      <c r="BF155" s="489">
        <f t="shared" si="295"/>
        <v>4536</v>
      </c>
      <c r="BG155" s="146">
        <f t="shared" si="262"/>
        <v>0</v>
      </c>
      <c r="BH155" s="147">
        <f t="shared" si="263"/>
        <v>0</v>
      </c>
      <c r="BI155" s="154" t="e">
        <f t="shared" si="264"/>
        <v>#NUM!</v>
      </c>
      <c r="BJ155" s="277" t="e">
        <f t="shared" si="245"/>
        <v>#NUM!</v>
      </c>
      <c r="BK155" s="147" t="e">
        <f t="shared" si="246"/>
        <v>#NUM!</v>
      </c>
      <c r="BL155" s="132" t="e">
        <f t="shared" si="247"/>
        <v>#NUM!</v>
      </c>
      <c r="BN155" s="497">
        <f t="shared" si="265"/>
        <v>149</v>
      </c>
      <c r="BO155" s="497">
        <f t="shared" si="266"/>
        <v>4536</v>
      </c>
      <c r="BP155">
        <f t="shared" si="267"/>
        <v>0</v>
      </c>
      <c r="BQ155">
        <f t="shared" si="268"/>
        <v>0</v>
      </c>
      <c r="BR155" s="499" t="e">
        <f t="shared" si="269"/>
        <v>#NUM!</v>
      </c>
      <c r="BS155" s="277" t="e">
        <f t="shared" si="248"/>
        <v>#NUM!</v>
      </c>
      <c r="BT155" s="5" t="e">
        <f t="shared" si="249"/>
        <v>#NUM!</v>
      </c>
      <c r="BU155" s="5" t="e">
        <f t="shared" si="250"/>
        <v>#NUM!</v>
      </c>
      <c r="BW155" s="5"/>
      <c r="BX155" s="5"/>
      <c r="BY155" s="5"/>
      <c r="BZ155" s="5"/>
      <c r="CA155" s="130" t="e">
        <f t="shared" si="270"/>
        <v>#NUM!</v>
      </c>
      <c r="CB155" s="5"/>
      <c r="CC155" s="5" t="e">
        <f t="shared" si="251"/>
        <v>#NUM!</v>
      </c>
      <c r="CD155" s="5" t="e">
        <f t="shared" si="252"/>
        <v>#NUM!</v>
      </c>
      <c r="CE155" s="5"/>
      <c r="CI155" s="130">
        <f t="shared" si="271"/>
        <v>6.0840453020671061</v>
      </c>
      <c r="CJ155" s="130">
        <f t="shared" si="272"/>
        <v>6.0860137736471893</v>
      </c>
      <c r="CK155" s="296">
        <f t="shared" si="296"/>
        <v>6.8963937999059146</v>
      </c>
      <c r="CL155" s="130">
        <f t="shared" si="253"/>
        <v>6.8963937999059146</v>
      </c>
      <c r="CM155" s="5">
        <f t="shared" si="254"/>
        <v>0</v>
      </c>
      <c r="CN155" s="5">
        <f t="shared" si="273"/>
        <v>0</v>
      </c>
      <c r="DE155" s="130" t="e">
        <f t="shared" si="274"/>
        <v>#NUM!</v>
      </c>
      <c r="DF155" s="130" t="e">
        <f t="shared" si="275"/>
        <v>#NUM!</v>
      </c>
      <c r="DG155" s="130" t="e">
        <f t="shared" si="297"/>
        <v>#NUM!</v>
      </c>
      <c r="DH155" s="130" t="e">
        <f t="shared" si="276"/>
        <v>#NUM!</v>
      </c>
      <c r="DJ155" s="130" t="e">
        <f t="shared" si="277"/>
        <v>#NUM!</v>
      </c>
      <c r="DK155" s="130" t="e">
        <f t="shared" si="214"/>
        <v>#NUM!</v>
      </c>
      <c r="DL155" s="130" t="e">
        <f t="shared" si="255"/>
        <v>#NUM!</v>
      </c>
      <c r="DO155" s="130" t="e">
        <f t="shared" si="278"/>
        <v>#NUM!</v>
      </c>
      <c r="DP155" s="130" t="e">
        <f t="shared" si="216"/>
        <v>#NUM!</v>
      </c>
      <c r="DQ155" s="130" t="e">
        <f t="shared" si="256"/>
        <v>#NUM!</v>
      </c>
    </row>
    <row r="156" spans="2:121" hidden="1">
      <c r="B156" s="231">
        <v>150</v>
      </c>
      <c r="C156" s="280"/>
      <c r="D156" s="475"/>
      <c r="E156" s="318">
        <f t="shared" si="279"/>
        <v>44909</v>
      </c>
      <c r="F156" s="542">
        <f t="shared" si="302"/>
        <v>0</v>
      </c>
      <c r="G156" s="239"/>
      <c r="H156" s="685">
        <f t="shared" si="280"/>
        <v>0</v>
      </c>
      <c r="I156" s="234"/>
      <c r="J156" s="597">
        <f t="shared" si="281"/>
        <v>0</v>
      </c>
      <c r="K156" s="478">
        <f t="shared" si="282"/>
        <v>0</v>
      </c>
      <c r="L156" s="234"/>
      <c r="M156" s="235">
        <f t="shared" si="283"/>
        <v>0</v>
      </c>
      <c r="N156" s="479">
        <f t="shared" si="284"/>
        <v>0</v>
      </c>
      <c r="O156" s="234"/>
      <c r="P156" s="235">
        <f t="shared" si="285"/>
        <v>0</v>
      </c>
      <c r="Q156" s="651">
        <f t="shared" si="286"/>
        <v>0</v>
      </c>
      <c r="R156" s="479">
        <f>IF(J156&gt;0,IF(OR(ManualMode=FALSE,ISBLANK(S156)),'Pricing - Advanced'!$F$16*J156+'Pricing - Advanced'!$F$17,"N/A"),0)</f>
        <v>0</v>
      </c>
      <c r="S156" s="234"/>
      <c r="T156" s="235">
        <f t="shared" si="287"/>
        <v>0</v>
      </c>
      <c r="U156" s="599">
        <f>IF(OR(ManualMode=FALSE,ISBLANK(V156)),SUM(K156:L156)*'Pricing - Advanced'!$F$19+SUM(N156,O156)*'Pricing - Advanced'!$F$18,"N/A")</f>
        <v>0</v>
      </c>
      <c r="V156" s="234"/>
      <c r="W156" s="236">
        <f t="shared" si="288"/>
        <v>0</v>
      </c>
      <c r="X156" s="237">
        <f>'Pricing - Advanced'!$F$20*SUM(H156:I156)+IF(J156&gt;1,'Pricing - Advanced'!$F$21,0)</f>
        <v>0</v>
      </c>
      <c r="Y156" s="688">
        <f>IF(AND(FullTerm&gt;=B156,AB155&gt;0),AB155*'Pricing - Advanced'!$I$128,0)</f>
        <v>0</v>
      </c>
      <c r="Z156" s="233">
        <f t="shared" si="289"/>
        <v>0</v>
      </c>
      <c r="AA156" s="234"/>
      <c r="AB156" s="597">
        <f t="shared" si="290"/>
        <v>0</v>
      </c>
      <c r="AC156" s="236">
        <f t="shared" si="257"/>
        <v>0</v>
      </c>
      <c r="AF156" s="762" t="e">
        <f t="shared" si="291"/>
        <v>#N/A</v>
      </c>
      <c r="AG156" s="759" t="e">
        <f t="shared" si="258"/>
        <v>#N/A</v>
      </c>
      <c r="AH156" s="759">
        <f>IF(J156=0,0,J156-SUM($N$6:N156)-AB155)</f>
        <v>0</v>
      </c>
      <c r="AI156" s="759">
        <f t="shared" si="259"/>
        <v>0</v>
      </c>
      <c r="AJ156" s="760">
        <f t="shared" si="298"/>
        <v>3.0000000000000001E-3</v>
      </c>
      <c r="AK156" s="760">
        <f t="shared" si="299"/>
        <v>3.0000000000000001E-3</v>
      </c>
      <c r="AN156" s="1" t="b">
        <f t="shared" si="300"/>
        <v>1</v>
      </c>
      <c r="AQ156" s="15">
        <f>IF(J155&gt;1,IF(int_method=2,$AG$229*J155,$AG$229*'Pricing - Advanced'!$E$4),0)</f>
        <v>0</v>
      </c>
      <c r="AR156" s="5">
        <f t="shared" si="292"/>
        <v>0</v>
      </c>
      <c r="AS156" s="204">
        <f t="shared" si="301"/>
        <v>44909</v>
      </c>
      <c r="AT156" s="1">
        <f>IF($AT$4=FALSE,B156*'Pricing - Advanced'!$K$5,AT155+E156-E155)</f>
        <v>4566</v>
      </c>
      <c r="AW156">
        <f t="shared" si="241"/>
        <v>0</v>
      </c>
      <c r="AX156">
        <f t="shared" si="260"/>
        <v>0</v>
      </c>
      <c r="AY156">
        <f t="shared" si="242"/>
        <v>0</v>
      </c>
      <c r="AZ156">
        <f t="shared" si="243"/>
        <v>0</v>
      </c>
      <c r="BA156" s="603">
        <f t="shared" si="293"/>
        <v>0</v>
      </c>
      <c r="BB156" s="603">
        <f t="shared" si="294"/>
        <v>0</v>
      </c>
      <c r="BC156" s="5">
        <f t="shared" si="244"/>
        <v>0</v>
      </c>
      <c r="BE156" s="157">
        <f t="shared" si="261"/>
        <v>150</v>
      </c>
      <c r="BF156" s="489">
        <f t="shared" si="295"/>
        <v>4566</v>
      </c>
      <c r="BG156" s="146">
        <f t="shared" si="262"/>
        <v>0</v>
      </c>
      <c r="BH156" s="147">
        <f t="shared" si="263"/>
        <v>0</v>
      </c>
      <c r="BI156" s="154" t="e">
        <f t="shared" si="264"/>
        <v>#NUM!</v>
      </c>
      <c r="BJ156" s="277" t="e">
        <f t="shared" si="245"/>
        <v>#NUM!</v>
      </c>
      <c r="BK156" s="147" t="e">
        <f t="shared" si="246"/>
        <v>#NUM!</v>
      </c>
      <c r="BL156" s="132" t="e">
        <f t="shared" si="247"/>
        <v>#NUM!</v>
      </c>
      <c r="BN156" s="497">
        <f t="shared" si="265"/>
        <v>150</v>
      </c>
      <c r="BO156" s="497">
        <f t="shared" si="266"/>
        <v>4566</v>
      </c>
      <c r="BP156">
        <f t="shared" si="267"/>
        <v>0</v>
      </c>
      <c r="BQ156">
        <f t="shared" si="268"/>
        <v>0</v>
      </c>
      <c r="BR156" s="499" t="e">
        <f t="shared" si="269"/>
        <v>#NUM!</v>
      </c>
      <c r="BS156" s="277" t="e">
        <f t="shared" si="248"/>
        <v>#NUM!</v>
      </c>
      <c r="BT156" s="5" t="e">
        <f t="shared" si="249"/>
        <v>#NUM!</v>
      </c>
      <c r="BU156" s="5" t="e">
        <f t="shared" si="250"/>
        <v>#NUM!</v>
      </c>
      <c r="BW156" s="5"/>
      <c r="BX156" s="5"/>
      <c r="BY156" s="5"/>
      <c r="BZ156" s="5"/>
      <c r="CA156" s="130" t="e">
        <f t="shared" si="270"/>
        <v>#NUM!</v>
      </c>
      <c r="CB156" s="5"/>
      <c r="CC156" s="5" t="e">
        <f t="shared" si="251"/>
        <v>#NUM!</v>
      </c>
      <c r="CD156" s="5" t="e">
        <f t="shared" si="252"/>
        <v>#NUM!</v>
      </c>
      <c r="CE156" s="5"/>
      <c r="CI156" s="130">
        <f t="shared" si="271"/>
        <v>6.158223911200011</v>
      </c>
      <c r="CJ156" s="130">
        <f t="shared" si="272"/>
        <v>6.1591434334816393</v>
      </c>
      <c r="CK156" s="296">
        <f t="shared" si="296"/>
        <v>6.9863507989140174</v>
      </c>
      <c r="CL156" s="130">
        <f t="shared" si="253"/>
        <v>6.9863507989140174</v>
      </c>
      <c r="CM156" s="5">
        <f t="shared" si="254"/>
        <v>0</v>
      </c>
      <c r="CN156" s="5">
        <f t="shared" si="273"/>
        <v>0</v>
      </c>
      <c r="DE156" s="130" t="e">
        <f t="shared" si="274"/>
        <v>#NUM!</v>
      </c>
      <c r="DF156" s="130" t="e">
        <f t="shared" si="275"/>
        <v>#NUM!</v>
      </c>
      <c r="DG156" s="130" t="e">
        <f t="shared" si="297"/>
        <v>#NUM!</v>
      </c>
      <c r="DH156" s="130" t="e">
        <f t="shared" si="276"/>
        <v>#NUM!</v>
      </c>
      <c r="DJ156" s="130" t="e">
        <f t="shared" si="277"/>
        <v>#NUM!</v>
      </c>
      <c r="DK156" s="130" t="e">
        <f t="shared" si="214"/>
        <v>#NUM!</v>
      </c>
      <c r="DL156" s="130" t="e">
        <f t="shared" si="255"/>
        <v>#NUM!</v>
      </c>
      <c r="DO156" s="130" t="e">
        <f t="shared" si="278"/>
        <v>#NUM!</v>
      </c>
      <c r="DP156" s="130" t="e">
        <f t="shared" si="216"/>
        <v>#NUM!</v>
      </c>
      <c r="DQ156" s="130" t="e">
        <f t="shared" si="256"/>
        <v>#NUM!</v>
      </c>
    </row>
    <row r="157" spans="2:121" hidden="1">
      <c r="B157" s="231">
        <v>151</v>
      </c>
      <c r="C157" s="280"/>
      <c r="D157" s="475"/>
      <c r="E157" s="318">
        <f t="shared" si="279"/>
        <v>44940</v>
      </c>
      <c r="F157" s="542">
        <f t="shared" si="302"/>
        <v>0</v>
      </c>
      <c r="G157" s="239"/>
      <c r="H157" s="685">
        <f t="shared" si="280"/>
        <v>0</v>
      </c>
      <c r="I157" s="234"/>
      <c r="J157" s="597">
        <f t="shared" si="281"/>
        <v>0</v>
      </c>
      <c r="K157" s="478">
        <f t="shared" si="282"/>
        <v>0</v>
      </c>
      <c r="L157" s="234"/>
      <c r="M157" s="235">
        <f t="shared" si="283"/>
        <v>0</v>
      </c>
      <c r="N157" s="479">
        <f t="shared" si="284"/>
        <v>0</v>
      </c>
      <c r="O157" s="234"/>
      <c r="P157" s="235">
        <f t="shared" si="285"/>
        <v>0</v>
      </c>
      <c r="Q157" s="651">
        <f t="shared" si="286"/>
        <v>0</v>
      </c>
      <c r="R157" s="479">
        <f>IF(J157&gt;0,IF(OR(ManualMode=FALSE,ISBLANK(S157)),'Pricing - Advanced'!$F$16*J157+'Pricing - Advanced'!$F$17,"N/A"),0)</f>
        <v>0</v>
      </c>
      <c r="S157" s="234"/>
      <c r="T157" s="235">
        <f t="shared" si="287"/>
        <v>0</v>
      </c>
      <c r="U157" s="599">
        <f>IF(OR(ManualMode=FALSE,ISBLANK(V157)),SUM(K157:L157)*'Pricing - Advanced'!$F$19+SUM(N157,O157)*'Pricing - Advanced'!$F$18,"N/A")</f>
        <v>0</v>
      </c>
      <c r="V157" s="234"/>
      <c r="W157" s="236">
        <f t="shared" si="288"/>
        <v>0</v>
      </c>
      <c r="X157" s="237">
        <f>'Pricing - Advanced'!$F$20*SUM(H157:I157)+IF(J157&gt;1,'Pricing - Advanced'!$F$21,0)</f>
        <v>0</v>
      </c>
      <c r="Y157" s="688">
        <f>IF(AND(FullTerm&gt;=B157,AB156&gt;0),AB156*'Pricing - Advanced'!$I$128,0)</f>
        <v>0</v>
      </c>
      <c r="Z157" s="233">
        <f t="shared" si="289"/>
        <v>0</v>
      </c>
      <c r="AA157" s="234"/>
      <c r="AB157" s="597">
        <f t="shared" si="290"/>
        <v>0</v>
      </c>
      <c r="AC157" s="236">
        <f t="shared" si="257"/>
        <v>0</v>
      </c>
      <c r="AF157" s="762" t="e">
        <f t="shared" si="291"/>
        <v>#N/A</v>
      </c>
      <c r="AG157" s="759" t="e">
        <f t="shared" si="258"/>
        <v>#N/A</v>
      </c>
      <c r="AH157" s="759">
        <f>IF(J157=0,0,J157-SUM($N$6:N157)-AB156)</f>
        <v>0</v>
      </c>
      <c r="AI157" s="759">
        <f t="shared" si="259"/>
        <v>0</v>
      </c>
      <c r="AJ157" s="760">
        <f t="shared" si="298"/>
        <v>3.0000000000000001E-3</v>
      </c>
      <c r="AK157" s="760">
        <f t="shared" si="299"/>
        <v>3.0000000000000001E-3</v>
      </c>
      <c r="AN157" s="1" t="b">
        <f t="shared" si="300"/>
        <v>1</v>
      </c>
      <c r="AQ157" s="15">
        <f>IF(J156&gt;1,IF(int_method=2,$AG$229*J156,$AG$229*'Pricing - Advanced'!$E$4),0)</f>
        <v>0</v>
      </c>
      <c r="AR157" s="5">
        <f t="shared" si="292"/>
        <v>0</v>
      </c>
      <c r="AS157" s="204">
        <f t="shared" si="301"/>
        <v>44940</v>
      </c>
      <c r="AT157" s="1">
        <f>IF($AT$4=FALSE,B157*'Pricing - Advanced'!$K$5,AT156+E157-E156)</f>
        <v>4597</v>
      </c>
      <c r="AW157">
        <f t="shared" si="241"/>
        <v>0</v>
      </c>
      <c r="AX157">
        <f t="shared" si="260"/>
        <v>0</v>
      </c>
      <c r="AY157">
        <f t="shared" si="242"/>
        <v>0</v>
      </c>
      <c r="AZ157">
        <f t="shared" si="243"/>
        <v>0</v>
      </c>
      <c r="BA157" s="603">
        <f t="shared" si="293"/>
        <v>0</v>
      </c>
      <c r="BB157" s="603">
        <f t="shared" si="294"/>
        <v>0</v>
      </c>
      <c r="BC157" s="5">
        <f t="shared" si="244"/>
        <v>0</v>
      </c>
      <c r="BE157" s="157">
        <f t="shared" si="261"/>
        <v>151</v>
      </c>
      <c r="BF157" s="489">
        <f t="shared" si="295"/>
        <v>4597</v>
      </c>
      <c r="BG157" s="146">
        <f t="shared" si="262"/>
        <v>0</v>
      </c>
      <c r="BH157" s="147">
        <f t="shared" si="263"/>
        <v>0</v>
      </c>
      <c r="BI157" s="154" t="e">
        <f t="shared" si="264"/>
        <v>#NUM!</v>
      </c>
      <c r="BJ157" s="277" t="e">
        <f t="shared" si="245"/>
        <v>#NUM!</v>
      </c>
      <c r="BK157" s="147" t="e">
        <f t="shared" si="246"/>
        <v>#NUM!</v>
      </c>
      <c r="BL157" s="132" t="e">
        <f t="shared" si="247"/>
        <v>#NUM!</v>
      </c>
      <c r="BN157" s="497">
        <f t="shared" si="265"/>
        <v>151</v>
      </c>
      <c r="BO157" s="497">
        <f t="shared" si="266"/>
        <v>4597</v>
      </c>
      <c r="BP157">
        <f t="shared" si="267"/>
        <v>0</v>
      </c>
      <c r="BQ157">
        <f t="shared" si="268"/>
        <v>0</v>
      </c>
      <c r="BR157" s="499" t="e">
        <f t="shared" si="269"/>
        <v>#NUM!</v>
      </c>
      <c r="BS157" s="277" t="e">
        <f t="shared" si="248"/>
        <v>#NUM!</v>
      </c>
      <c r="BT157" s="5" t="e">
        <f t="shared" si="249"/>
        <v>#NUM!</v>
      </c>
      <c r="BU157" s="5" t="e">
        <f t="shared" si="250"/>
        <v>#NUM!</v>
      </c>
      <c r="BW157" s="5"/>
      <c r="BX157" s="5"/>
      <c r="BY157" s="5"/>
      <c r="BZ157" s="5"/>
      <c r="CA157" s="130" t="e">
        <f t="shared" si="270"/>
        <v>#NUM!</v>
      </c>
      <c r="CB157" s="5"/>
      <c r="CC157" s="5" t="e">
        <f t="shared" si="251"/>
        <v>#NUM!</v>
      </c>
      <c r="CD157" s="5" t="e">
        <f t="shared" si="252"/>
        <v>#NUM!</v>
      </c>
      <c r="CE157" s="5"/>
      <c r="CI157" s="130">
        <f t="shared" si="271"/>
        <v>6.2333069294521275</v>
      </c>
      <c r="CJ157" s="130">
        <f t="shared" si="272"/>
        <v>6.2356340235059715</v>
      </c>
      <c r="CK157" s="296">
        <f t="shared" si="296"/>
        <v>7.0774812027341616</v>
      </c>
      <c r="CL157" s="130">
        <f t="shared" si="253"/>
        <v>7.0774812027341616</v>
      </c>
      <c r="CM157" s="5">
        <f t="shared" si="254"/>
        <v>0</v>
      </c>
      <c r="CN157" s="5">
        <f t="shared" si="273"/>
        <v>0</v>
      </c>
      <c r="DE157" s="130" t="e">
        <f t="shared" si="274"/>
        <v>#NUM!</v>
      </c>
      <c r="DF157" s="130" t="e">
        <f t="shared" si="275"/>
        <v>#NUM!</v>
      </c>
      <c r="DG157" s="130" t="e">
        <f t="shared" si="297"/>
        <v>#NUM!</v>
      </c>
      <c r="DH157" s="130" t="e">
        <f t="shared" si="276"/>
        <v>#NUM!</v>
      </c>
      <c r="DJ157" s="130" t="e">
        <f t="shared" si="277"/>
        <v>#NUM!</v>
      </c>
      <c r="DK157" s="130" t="e">
        <f t="shared" si="214"/>
        <v>#NUM!</v>
      </c>
      <c r="DL157" s="130" t="e">
        <f t="shared" si="255"/>
        <v>#NUM!</v>
      </c>
      <c r="DO157" s="130" t="e">
        <f t="shared" si="278"/>
        <v>#NUM!</v>
      </c>
      <c r="DP157" s="130" t="e">
        <f t="shared" si="216"/>
        <v>#NUM!</v>
      </c>
      <c r="DQ157" s="130" t="e">
        <f t="shared" si="256"/>
        <v>#NUM!</v>
      </c>
    </row>
    <row r="158" spans="2:121" hidden="1">
      <c r="B158" s="231">
        <v>152</v>
      </c>
      <c r="C158" s="280"/>
      <c r="D158" s="475"/>
      <c r="E158" s="318">
        <f t="shared" si="279"/>
        <v>44971</v>
      </c>
      <c r="F158" s="542">
        <f t="shared" si="302"/>
        <v>0</v>
      </c>
      <c r="G158" s="239"/>
      <c r="H158" s="685">
        <f t="shared" si="280"/>
        <v>0</v>
      </c>
      <c r="I158" s="234"/>
      <c r="J158" s="597">
        <f t="shared" si="281"/>
        <v>0</v>
      </c>
      <c r="K158" s="478">
        <f t="shared" si="282"/>
        <v>0</v>
      </c>
      <c r="L158" s="234"/>
      <c r="M158" s="235">
        <f t="shared" si="283"/>
        <v>0</v>
      </c>
      <c r="N158" s="479">
        <f t="shared" si="284"/>
        <v>0</v>
      </c>
      <c r="O158" s="234"/>
      <c r="P158" s="235">
        <f t="shared" si="285"/>
        <v>0</v>
      </c>
      <c r="Q158" s="651">
        <f t="shared" si="286"/>
        <v>0</v>
      </c>
      <c r="R158" s="479">
        <f>IF(J158&gt;0,IF(OR(ManualMode=FALSE,ISBLANK(S158)),'Pricing - Advanced'!$F$16*J158+'Pricing - Advanced'!$F$17,"N/A"),0)</f>
        <v>0</v>
      </c>
      <c r="S158" s="234"/>
      <c r="T158" s="235">
        <f t="shared" si="287"/>
        <v>0</v>
      </c>
      <c r="U158" s="599">
        <f>IF(OR(ManualMode=FALSE,ISBLANK(V158)),SUM(K158:L158)*'Pricing - Advanced'!$F$19+SUM(N158,O158)*'Pricing - Advanced'!$F$18,"N/A")</f>
        <v>0</v>
      </c>
      <c r="V158" s="234"/>
      <c r="W158" s="236">
        <f t="shared" si="288"/>
        <v>0</v>
      </c>
      <c r="X158" s="237">
        <f>'Pricing - Advanced'!$F$20*SUM(H158:I158)+IF(J158&gt;1,'Pricing - Advanced'!$F$21,0)</f>
        <v>0</v>
      </c>
      <c r="Y158" s="688">
        <f>IF(AND(FullTerm&gt;=B158,AB157&gt;0),AB157*'Pricing - Advanced'!$I$128,0)</f>
        <v>0</v>
      </c>
      <c r="Z158" s="233">
        <f t="shared" si="289"/>
        <v>0</v>
      </c>
      <c r="AA158" s="234"/>
      <c r="AB158" s="597">
        <f t="shared" si="290"/>
        <v>0</v>
      </c>
      <c r="AC158" s="236">
        <f t="shared" si="257"/>
        <v>0</v>
      </c>
      <c r="AF158" s="762" t="e">
        <f t="shared" si="291"/>
        <v>#N/A</v>
      </c>
      <c r="AG158" s="759" t="e">
        <f t="shared" si="258"/>
        <v>#N/A</v>
      </c>
      <c r="AH158" s="759">
        <f>IF(J158=0,0,J158-SUM($N$6:N158)-AB157)</f>
        <v>0</v>
      </c>
      <c r="AI158" s="759">
        <f t="shared" si="259"/>
        <v>0</v>
      </c>
      <c r="AJ158" s="760">
        <f t="shared" si="298"/>
        <v>3.0000000000000001E-3</v>
      </c>
      <c r="AK158" s="760">
        <f t="shared" si="299"/>
        <v>3.0000000000000001E-3</v>
      </c>
      <c r="AN158" s="1" t="b">
        <f t="shared" si="300"/>
        <v>1</v>
      </c>
      <c r="AQ158" s="15">
        <f>IF(J157&gt;1,IF(int_method=2,$AG$229*J157,$AG$229*'Pricing - Advanced'!$E$4),0)</f>
        <v>0</v>
      </c>
      <c r="AR158" s="5">
        <f t="shared" si="292"/>
        <v>0</v>
      </c>
      <c r="AS158" s="204">
        <f t="shared" si="301"/>
        <v>44971</v>
      </c>
      <c r="AT158" s="1">
        <f>IF($AT$4=FALSE,B158*'Pricing - Advanced'!$K$5,AT157+E158-E157)</f>
        <v>4628</v>
      </c>
      <c r="AW158">
        <f t="shared" si="241"/>
        <v>0</v>
      </c>
      <c r="AX158">
        <f t="shared" si="260"/>
        <v>0</v>
      </c>
      <c r="AY158">
        <f t="shared" si="242"/>
        <v>0</v>
      </c>
      <c r="AZ158">
        <f t="shared" si="243"/>
        <v>0</v>
      </c>
      <c r="BA158" s="603">
        <f t="shared" si="293"/>
        <v>0</v>
      </c>
      <c r="BB158" s="603">
        <f t="shared" si="294"/>
        <v>0</v>
      </c>
      <c r="BC158" s="5">
        <f t="shared" si="244"/>
        <v>0</v>
      </c>
      <c r="BE158" s="157">
        <f t="shared" si="261"/>
        <v>152</v>
      </c>
      <c r="BF158" s="489">
        <f t="shared" si="295"/>
        <v>4628</v>
      </c>
      <c r="BG158" s="146">
        <f t="shared" si="262"/>
        <v>0</v>
      </c>
      <c r="BH158" s="147">
        <f t="shared" si="263"/>
        <v>0</v>
      </c>
      <c r="BI158" s="154" t="e">
        <f t="shared" si="264"/>
        <v>#NUM!</v>
      </c>
      <c r="BJ158" s="277" t="e">
        <f t="shared" si="245"/>
        <v>#NUM!</v>
      </c>
      <c r="BK158" s="147" t="e">
        <f t="shared" si="246"/>
        <v>#NUM!</v>
      </c>
      <c r="BL158" s="132" t="e">
        <f t="shared" si="247"/>
        <v>#NUM!</v>
      </c>
      <c r="BN158" s="497">
        <f t="shared" si="265"/>
        <v>152</v>
      </c>
      <c r="BO158" s="497">
        <f t="shared" si="266"/>
        <v>4628</v>
      </c>
      <c r="BP158">
        <f t="shared" si="267"/>
        <v>0</v>
      </c>
      <c r="BQ158">
        <f t="shared" si="268"/>
        <v>0</v>
      </c>
      <c r="BR158" s="499" t="e">
        <f t="shared" si="269"/>
        <v>#NUM!</v>
      </c>
      <c r="BS158" s="277" t="e">
        <f t="shared" si="248"/>
        <v>#NUM!</v>
      </c>
      <c r="BT158" s="5" t="e">
        <f t="shared" si="249"/>
        <v>#NUM!</v>
      </c>
      <c r="BU158" s="5" t="e">
        <f t="shared" si="250"/>
        <v>#NUM!</v>
      </c>
      <c r="BW158" s="5"/>
      <c r="BX158" s="5"/>
      <c r="BY158" s="5"/>
      <c r="BZ158" s="5"/>
      <c r="CA158" s="130" t="e">
        <f t="shared" si="270"/>
        <v>#NUM!</v>
      </c>
      <c r="CB158" s="5"/>
      <c r="CC158" s="5" t="e">
        <f t="shared" si="251"/>
        <v>#NUM!</v>
      </c>
      <c r="CD158" s="5" t="e">
        <f t="shared" si="252"/>
        <v>#NUM!</v>
      </c>
      <c r="CE158" s="5"/>
      <c r="CI158" s="130">
        <f t="shared" si="271"/>
        <v>6.3093053836661595</v>
      </c>
      <c r="CJ158" s="130">
        <f t="shared" si="272"/>
        <v>6.3130745524991658</v>
      </c>
      <c r="CK158" s="296">
        <f t="shared" si="296"/>
        <v>7.169800317333288</v>
      </c>
      <c r="CL158" s="130">
        <f t="shared" si="253"/>
        <v>7.169800317333288</v>
      </c>
      <c r="CM158" s="5">
        <f t="shared" si="254"/>
        <v>0</v>
      </c>
      <c r="CN158" s="5">
        <f t="shared" si="273"/>
        <v>0</v>
      </c>
      <c r="DE158" s="130" t="e">
        <f t="shared" si="274"/>
        <v>#NUM!</v>
      </c>
      <c r="DF158" s="130" t="e">
        <f t="shared" si="275"/>
        <v>#NUM!</v>
      </c>
      <c r="DG158" s="130" t="e">
        <f t="shared" si="297"/>
        <v>#NUM!</v>
      </c>
      <c r="DH158" s="130" t="e">
        <f t="shared" si="276"/>
        <v>#NUM!</v>
      </c>
      <c r="DJ158" s="130" t="e">
        <f t="shared" si="277"/>
        <v>#NUM!</v>
      </c>
      <c r="DK158" s="130" t="e">
        <f t="shared" si="214"/>
        <v>#NUM!</v>
      </c>
      <c r="DL158" s="130" t="e">
        <f t="shared" si="255"/>
        <v>#NUM!</v>
      </c>
      <c r="DO158" s="130" t="e">
        <f t="shared" si="278"/>
        <v>#NUM!</v>
      </c>
      <c r="DP158" s="130" t="e">
        <f t="shared" si="216"/>
        <v>#NUM!</v>
      </c>
      <c r="DQ158" s="130" t="e">
        <f t="shared" si="256"/>
        <v>#NUM!</v>
      </c>
    </row>
    <row r="159" spans="2:121" hidden="1">
      <c r="B159" s="231">
        <v>153</v>
      </c>
      <c r="C159" s="280"/>
      <c r="D159" s="475"/>
      <c r="E159" s="318">
        <f t="shared" si="279"/>
        <v>44999</v>
      </c>
      <c r="F159" s="542">
        <f t="shared" si="302"/>
        <v>0</v>
      </c>
      <c r="G159" s="239"/>
      <c r="H159" s="685">
        <f t="shared" si="280"/>
        <v>0</v>
      </c>
      <c r="I159" s="234"/>
      <c r="J159" s="597">
        <f t="shared" si="281"/>
        <v>0</v>
      </c>
      <c r="K159" s="478">
        <f t="shared" si="282"/>
        <v>0</v>
      </c>
      <c r="L159" s="234"/>
      <c r="M159" s="235">
        <f t="shared" si="283"/>
        <v>0</v>
      </c>
      <c r="N159" s="479">
        <f t="shared" si="284"/>
        <v>0</v>
      </c>
      <c r="O159" s="234"/>
      <c r="P159" s="235">
        <f t="shared" si="285"/>
        <v>0</v>
      </c>
      <c r="Q159" s="651">
        <f t="shared" si="286"/>
        <v>0</v>
      </c>
      <c r="R159" s="479">
        <f>IF(J159&gt;0,IF(OR(ManualMode=FALSE,ISBLANK(S159)),'Pricing - Advanced'!$F$16*J159+'Pricing - Advanced'!$F$17,"N/A"),0)</f>
        <v>0</v>
      </c>
      <c r="S159" s="234"/>
      <c r="T159" s="235">
        <f t="shared" si="287"/>
        <v>0</v>
      </c>
      <c r="U159" s="599">
        <f>IF(OR(ManualMode=FALSE,ISBLANK(V159)),SUM(K159:L159)*'Pricing - Advanced'!$F$19+SUM(N159,O159)*'Pricing - Advanced'!$F$18,"N/A")</f>
        <v>0</v>
      </c>
      <c r="V159" s="234"/>
      <c r="W159" s="236">
        <f t="shared" si="288"/>
        <v>0</v>
      </c>
      <c r="X159" s="237">
        <f>'Pricing - Advanced'!$F$20*SUM(H159:I159)+IF(J159&gt;1,'Pricing - Advanced'!$F$21,0)</f>
        <v>0</v>
      </c>
      <c r="Y159" s="688">
        <f>IF(AND(FullTerm&gt;=B159,AB158&gt;0),AB158*'Pricing - Advanced'!$I$128,0)</f>
        <v>0</v>
      </c>
      <c r="Z159" s="233">
        <f t="shared" si="289"/>
        <v>0</v>
      </c>
      <c r="AA159" s="234"/>
      <c r="AB159" s="597">
        <f t="shared" si="290"/>
        <v>0</v>
      </c>
      <c r="AC159" s="236">
        <f t="shared" si="257"/>
        <v>0</v>
      </c>
      <c r="AF159" s="762" t="e">
        <f t="shared" si="291"/>
        <v>#N/A</v>
      </c>
      <c r="AG159" s="759" t="e">
        <f t="shared" si="258"/>
        <v>#N/A</v>
      </c>
      <c r="AH159" s="759">
        <f>IF(J159=0,0,J159-SUM($N$6:N159)-AB158)</f>
        <v>0</v>
      </c>
      <c r="AI159" s="759">
        <f t="shared" si="259"/>
        <v>0</v>
      </c>
      <c r="AJ159" s="760">
        <f t="shared" si="298"/>
        <v>3.0000000000000001E-3</v>
      </c>
      <c r="AK159" s="760">
        <f t="shared" si="299"/>
        <v>3.0000000000000001E-3</v>
      </c>
      <c r="AN159" s="1" t="b">
        <f t="shared" si="300"/>
        <v>1</v>
      </c>
      <c r="AQ159" s="15">
        <f>IF(J158&gt;1,IF(int_method=2,$AG$229*J158,$AG$229*'Pricing - Advanced'!$E$4),0)</f>
        <v>0</v>
      </c>
      <c r="AR159" s="5">
        <f t="shared" si="292"/>
        <v>0</v>
      </c>
      <c r="AS159" s="204">
        <f t="shared" si="301"/>
        <v>44999</v>
      </c>
      <c r="AT159" s="1">
        <f>IF($AT$4=FALSE,B159*'Pricing - Advanced'!$K$5,AT158+E159-E158)</f>
        <v>4656</v>
      </c>
      <c r="AW159">
        <f t="shared" si="241"/>
        <v>0</v>
      </c>
      <c r="AX159">
        <f t="shared" si="260"/>
        <v>0</v>
      </c>
      <c r="AY159">
        <f t="shared" si="242"/>
        <v>0</v>
      </c>
      <c r="AZ159">
        <f t="shared" si="243"/>
        <v>0</v>
      </c>
      <c r="BA159" s="603">
        <f t="shared" si="293"/>
        <v>0</v>
      </c>
      <c r="BB159" s="603">
        <f t="shared" si="294"/>
        <v>0</v>
      </c>
      <c r="BC159" s="5">
        <f t="shared" si="244"/>
        <v>0</v>
      </c>
      <c r="BE159" s="157">
        <f t="shared" si="261"/>
        <v>153</v>
      </c>
      <c r="BF159" s="489">
        <f t="shared" si="295"/>
        <v>4656</v>
      </c>
      <c r="BG159" s="146">
        <f t="shared" si="262"/>
        <v>0</v>
      </c>
      <c r="BH159" s="147">
        <f t="shared" si="263"/>
        <v>0</v>
      </c>
      <c r="BI159" s="154" t="e">
        <f t="shared" si="264"/>
        <v>#NUM!</v>
      </c>
      <c r="BJ159" s="277" t="e">
        <f t="shared" si="245"/>
        <v>#NUM!</v>
      </c>
      <c r="BK159" s="147" t="e">
        <f t="shared" si="246"/>
        <v>#NUM!</v>
      </c>
      <c r="BL159" s="132" t="e">
        <f t="shared" si="247"/>
        <v>#NUM!</v>
      </c>
      <c r="BN159" s="497">
        <f t="shared" si="265"/>
        <v>153</v>
      </c>
      <c r="BO159" s="497">
        <f t="shared" si="266"/>
        <v>4656</v>
      </c>
      <c r="BP159">
        <f t="shared" si="267"/>
        <v>0</v>
      </c>
      <c r="BQ159">
        <f t="shared" si="268"/>
        <v>0</v>
      </c>
      <c r="BR159" s="499" t="e">
        <f t="shared" si="269"/>
        <v>#NUM!</v>
      </c>
      <c r="BS159" s="277" t="e">
        <f t="shared" si="248"/>
        <v>#NUM!</v>
      </c>
      <c r="BT159" s="5" t="e">
        <f t="shared" si="249"/>
        <v>#NUM!</v>
      </c>
      <c r="BU159" s="5" t="e">
        <f t="shared" si="250"/>
        <v>#NUM!</v>
      </c>
      <c r="BW159" s="5"/>
      <c r="BX159" s="5"/>
      <c r="BY159" s="5"/>
      <c r="BZ159" s="5"/>
      <c r="CA159" s="130" t="e">
        <f t="shared" si="270"/>
        <v>#NUM!</v>
      </c>
      <c r="CB159" s="5"/>
      <c r="CC159" s="5" t="e">
        <f t="shared" si="251"/>
        <v>#NUM!</v>
      </c>
      <c r="CD159" s="5" t="e">
        <f t="shared" si="252"/>
        <v>#NUM!</v>
      </c>
      <c r="CE159" s="5"/>
      <c r="CI159" s="130">
        <f t="shared" si="271"/>
        <v>6.386230435127576</v>
      </c>
      <c r="CJ159" s="130">
        <f t="shared" si="272"/>
        <v>6.3838471395691698</v>
      </c>
      <c r="CK159" s="296">
        <f t="shared" si="296"/>
        <v>7.2633236483303438</v>
      </c>
      <c r="CL159" s="130">
        <f t="shared" si="253"/>
        <v>7.2633236483303438</v>
      </c>
      <c r="CM159" s="5">
        <f t="shared" si="254"/>
        <v>0</v>
      </c>
      <c r="CN159" s="5">
        <f t="shared" si="273"/>
        <v>0</v>
      </c>
      <c r="DE159" s="130" t="e">
        <f t="shared" si="274"/>
        <v>#NUM!</v>
      </c>
      <c r="DF159" s="130" t="e">
        <f t="shared" si="275"/>
        <v>#NUM!</v>
      </c>
      <c r="DG159" s="130" t="e">
        <f t="shared" si="297"/>
        <v>#NUM!</v>
      </c>
      <c r="DH159" s="130" t="e">
        <f t="shared" si="276"/>
        <v>#NUM!</v>
      </c>
      <c r="DJ159" s="130" t="e">
        <f t="shared" si="277"/>
        <v>#NUM!</v>
      </c>
      <c r="DK159" s="130" t="e">
        <f t="shared" si="214"/>
        <v>#NUM!</v>
      </c>
      <c r="DL159" s="130" t="e">
        <f t="shared" si="255"/>
        <v>#NUM!</v>
      </c>
      <c r="DO159" s="130" t="e">
        <f t="shared" si="278"/>
        <v>#NUM!</v>
      </c>
      <c r="DP159" s="130" t="e">
        <f t="shared" si="216"/>
        <v>#NUM!</v>
      </c>
      <c r="DQ159" s="130" t="e">
        <f t="shared" si="256"/>
        <v>#NUM!</v>
      </c>
    </row>
    <row r="160" spans="2:121" hidden="1">
      <c r="B160" s="231">
        <v>154</v>
      </c>
      <c r="C160" s="280"/>
      <c r="D160" s="475"/>
      <c r="E160" s="318">
        <f t="shared" si="279"/>
        <v>45030</v>
      </c>
      <c r="F160" s="542">
        <f t="shared" si="302"/>
        <v>0</v>
      </c>
      <c r="G160" s="239"/>
      <c r="H160" s="685">
        <f t="shared" si="280"/>
        <v>0</v>
      </c>
      <c r="I160" s="234"/>
      <c r="J160" s="597">
        <f t="shared" si="281"/>
        <v>0</v>
      </c>
      <c r="K160" s="478">
        <f t="shared" si="282"/>
        <v>0</v>
      </c>
      <c r="L160" s="234"/>
      <c r="M160" s="235">
        <f t="shared" si="283"/>
        <v>0</v>
      </c>
      <c r="N160" s="479">
        <f t="shared" si="284"/>
        <v>0</v>
      </c>
      <c r="O160" s="234"/>
      <c r="P160" s="235">
        <f t="shared" si="285"/>
        <v>0</v>
      </c>
      <c r="Q160" s="651">
        <f t="shared" si="286"/>
        <v>0</v>
      </c>
      <c r="R160" s="479">
        <f>IF(J160&gt;0,IF(OR(ManualMode=FALSE,ISBLANK(S160)),'Pricing - Advanced'!$F$16*J160+'Pricing - Advanced'!$F$17,"N/A"),0)</f>
        <v>0</v>
      </c>
      <c r="S160" s="234"/>
      <c r="T160" s="235">
        <f t="shared" si="287"/>
        <v>0</v>
      </c>
      <c r="U160" s="599">
        <f>IF(OR(ManualMode=FALSE,ISBLANK(V160)),SUM(K160:L160)*'Pricing - Advanced'!$F$19+SUM(N160,O160)*'Pricing - Advanced'!$F$18,"N/A")</f>
        <v>0</v>
      </c>
      <c r="V160" s="234"/>
      <c r="W160" s="236">
        <f t="shared" si="288"/>
        <v>0</v>
      </c>
      <c r="X160" s="237">
        <f>'Pricing - Advanced'!$F$20*SUM(H160:I160)+IF(J160&gt;1,'Pricing - Advanced'!$F$21,0)</f>
        <v>0</v>
      </c>
      <c r="Y160" s="688">
        <f>IF(AND(FullTerm&gt;=B160,AB159&gt;0),AB159*'Pricing - Advanced'!$I$128,0)</f>
        <v>0</v>
      </c>
      <c r="Z160" s="233">
        <f t="shared" si="289"/>
        <v>0</v>
      </c>
      <c r="AA160" s="234"/>
      <c r="AB160" s="597">
        <f t="shared" si="290"/>
        <v>0</v>
      </c>
      <c r="AC160" s="236">
        <f t="shared" si="257"/>
        <v>0</v>
      </c>
      <c r="AF160" s="762" t="e">
        <f t="shared" si="291"/>
        <v>#N/A</v>
      </c>
      <c r="AG160" s="759" t="e">
        <f t="shared" si="258"/>
        <v>#N/A</v>
      </c>
      <c r="AH160" s="759">
        <f>IF(J160=0,0,J160-SUM($N$6:N160)-AB159)</f>
        <v>0</v>
      </c>
      <c r="AI160" s="759">
        <f t="shared" si="259"/>
        <v>0</v>
      </c>
      <c r="AJ160" s="760">
        <f t="shared" si="298"/>
        <v>3.0000000000000001E-3</v>
      </c>
      <c r="AK160" s="760">
        <f t="shared" si="299"/>
        <v>3.0000000000000001E-3</v>
      </c>
      <c r="AN160" s="1" t="b">
        <f t="shared" si="300"/>
        <v>1</v>
      </c>
      <c r="AQ160" s="15">
        <f>IF(J159&gt;1,IF(int_method=2,$AG$229*J159,$AG$229*'Pricing - Advanced'!$E$4),0)</f>
        <v>0</v>
      </c>
      <c r="AR160" s="5">
        <f t="shared" si="292"/>
        <v>0</v>
      </c>
      <c r="AS160" s="204">
        <f t="shared" si="301"/>
        <v>45030</v>
      </c>
      <c r="AT160" s="1">
        <f>IF($AT$4=FALSE,B160*'Pricing - Advanced'!$K$5,AT159+E160-E159)</f>
        <v>4687</v>
      </c>
      <c r="AW160">
        <f t="shared" si="241"/>
        <v>0</v>
      </c>
      <c r="AX160">
        <f t="shared" si="260"/>
        <v>0</v>
      </c>
      <c r="AY160">
        <f t="shared" si="242"/>
        <v>0</v>
      </c>
      <c r="AZ160">
        <f t="shared" si="243"/>
        <v>0</v>
      </c>
      <c r="BA160" s="603">
        <f t="shared" si="293"/>
        <v>0</v>
      </c>
      <c r="BB160" s="603">
        <f t="shared" si="294"/>
        <v>0</v>
      </c>
      <c r="BC160" s="5">
        <f t="shared" si="244"/>
        <v>0</v>
      </c>
      <c r="BE160" s="157">
        <f t="shared" si="261"/>
        <v>154</v>
      </c>
      <c r="BF160" s="489">
        <f t="shared" si="295"/>
        <v>4687</v>
      </c>
      <c r="BG160" s="146">
        <f t="shared" si="262"/>
        <v>0</v>
      </c>
      <c r="BH160" s="147">
        <f t="shared" si="263"/>
        <v>0</v>
      </c>
      <c r="BI160" s="154" t="e">
        <f t="shared" si="264"/>
        <v>#NUM!</v>
      </c>
      <c r="BJ160" s="277" t="e">
        <f t="shared" si="245"/>
        <v>#NUM!</v>
      </c>
      <c r="BK160" s="147" t="e">
        <f t="shared" si="246"/>
        <v>#NUM!</v>
      </c>
      <c r="BL160" s="132" t="e">
        <f t="shared" si="247"/>
        <v>#NUM!</v>
      </c>
      <c r="BN160" s="497">
        <f t="shared" si="265"/>
        <v>154</v>
      </c>
      <c r="BO160" s="497">
        <f t="shared" si="266"/>
        <v>4687</v>
      </c>
      <c r="BP160">
        <f t="shared" si="267"/>
        <v>0</v>
      </c>
      <c r="BQ160">
        <f t="shared" si="268"/>
        <v>0</v>
      </c>
      <c r="BR160" s="499" t="e">
        <f t="shared" si="269"/>
        <v>#NUM!</v>
      </c>
      <c r="BS160" s="277" t="e">
        <f t="shared" si="248"/>
        <v>#NUM!</v>
      </c>
      <c r="BT160" s="5" t="e">
        <f t="shared" si="249"/>
        <v>#NUM!</v>
      </c>
      <c r="BU160" s="5" t="e">
        <f t="shared" si="250"/>
        <v>#NUM!</v>
      </c>
      <c r="BW160" s="5"/>
      <c r="BX160" s="5"/>
      <c r="BY160" s="5"/>
      <c r="BZ160" s="5"/>
      <c r="CA160" s="130" t="e">
        <f t="shared" si="270"/>
        <v>#NUM!</v>
      </c>
      <c r="CB160" s="5"/>
      <c r="CC160" s="5" t="e">
        <f t="shared" si="251"/>
        <v>#NUM!</v>
      </c>
      <c r="CD160" s="5" t="e">
        <f t="shared" si="252"/>
        <v>#NUM!</v>
      </c>
      <c r="CE160" s="5"/>
      <c r="CI160" s="130">
        <f t="shared" si="271"/>
        <v>6.4640933812037717</v>
      </c>
      <c r="CJ160" s="130">
        <f t="shared" si="272"/>
        <v>6.4631283317681261</v>
      </c>
      <c r="CK160" s="296">
        <f t="shared" si="296"/>
        <v>7.3580669036005535</v>
      </c>
      <c r="CL160" s="130">
        <f t="shared" si="253"/>
        <v>7.3580669036005535</v>
      </c>
      <c r="CM160" s="5">
        <f t="shared" si="254"/>
        <v>0</v>
      </c>
      <c r="CN160" s="5">
        <f t="shared" si="273"/>
        <v>0</v>
      </c>
      <c r="DE160" s="130" t="e">
        <f t="shared" si="274"/>
        <v>#NUM!</v>
      </c>
      <c r="DF160" s="130" t="e">
        <f t="shared" si="275"/>
        <v>#NUM!</v>
      </c>
      <c r="DG160" s="130" t="e">
        <f t="shared" si="297"/>
        <v>#NUM!</v>
      </c>
      <c r="DH160" s="130" t="e">
        <f t="shared" si="276"/>
        <v>#NUM!</v>
      </c>
      <c r="DJ160" s="130" t="e">
        <f t="shared" si="277"/>
        <v>#NUM!</v>
      </c>
      <c r="DK160" s="130" t="e">
        <f t="shared" si="214"/>
        <v>#NUM!</v>
      </c>
      <c r="DL160" s="130" t="e">
        <f t="shared" si="255"/>
        <v>#NUM!</v>
      </c>
      <c r="DO160" s="130" t="e">
        <f t="shared" si="278"/>
        <v>#NUM!</v>
      </c>
      <c r="DP160" s="130" t="e">
        <f t="shared" si="216"/>
        <v>#NUM!</v>
      </c>
      <c r="DQ160" s="130" t="e">
        <f t="shared" si="256"/>
        <v>#NUM!</v>
      </c>
    </row>
    <row r="161" spans="2:121" hidden="1">
      <c r="B161" s="231">
        <v>155</v>
      </c>
      <c r="C161" s="280"/>
      <c r="D161" s="475"/>
      <c r="E161" s="318">
        <f t="shared" si="279"/>
        <v>45060</v>
      </c>
      <c r="F161" s="542">
        <f t="shared" si="302"/>
        <v>0</v>
      </c>
      <c r="G161" s="239"/>
      <c r="H161" s="685">
        <f t="shared" si="280"/>
        <v>0</v>
      </c>
      <c r="I161" s="234"/>
      <c r="J161" s="597">
        <f t="shared" si="281"/>
        <v>0</v>
      </c>
      <c r="K161" s="478">
        <f t="shared" si="282"/>
        <v>0</v>
      </c>
      <c r="L161" s="234"/>
      <c r="M161" s="235">
        <f t="shared" si="283"/>
        <v>0</v>
      </c>
      <c r="N161" s="479">
        <f t="shared" si="284"/>
        <v>0</v>
      </c>
      <c r="O161" s="234"/>
      <c r="P161" s="235">
        <f t="shared" si="285"/>
        <v>0</v>
      </c>
      <c r="Q161" s="651">
        <f t="shared" si="286"/>
        <v>0</v>
      </c>
      <c r="R161" s="479">
        <f>IF(J161&gt;0,IF(OR(ManualMode=FALSE,ISBLANK(S161)),'Pricing - Advanced'!$F$16*J161+'Pricing - Advanced'!$F$17,"N/A"),0)</f>
        <v>0</v>
      </c>
      <c r="S161" s="234"/>
      <c r="T161" s="235">
        <f t="shared" si="287"/>
        <v>0</v>
      </c>
      <c r="U161" s="599">
        <f>IF(OR(ManualMode=FALSE,ISBLANK(V161)),SUM(K161:L161)*'Pricing - Advanced'!$F$19+SUM(N161,O161)*'Pricing - Advanced'!$F$18,"N/A")</f>
        <v>0</v>
      </c>
      <c r="V161" s="234"/>
      <c r="W161" s="236">
        <f t="shared" si="288"/>
        <v>0</v>
      </c>
      <c r="X161" s="237">
        <f>'Pricing - Advanced'!$F$20*SUM(H161:I161)+IF(J161&gt;1,'Pricing - Advanced'!$F$21,0)</f>
        <v>0</v>
      </c>
      <c r="Y161" s="688">
        <f>IF(AND(FullTerm&gt;=B161,AB160&gt;0),AB160*'Pricing - Advanced'!$I$128,0)</f>
        <v>0</v>
      </c>
      <c r="Z161" s="233">
        <f t="shared" si="289"/>
        <v>0</v>
      </c>
      <c r="AA161" s="234"/>
      <c r="AB161" s="597">
        <f t="shared" si="290"/>
        <v>0</v>
      </c>
      <c r="AC161" s="236">
        <f t="shared" si="257"/>
        <v>0</v>
      </c>
      <c r="AF161" s="762" t="e">
        <f t="shared" si="291"/>
        <v>#N/A</v>
      </c>
      <c r="AG161" s="759" t="e">
        <f t="shared" si="258"/>
        <v>#N/A</v>
      </c>
      <c r="AH161" s="759">
        <f>IF(J161=0,0,J161-SUM($N$6:N161)-AB160)</f>
        <v>0</v>
      </c>
      <c r="AI161" s="759">
        <f t="shared" si="259"/>
        <v>0</v>
      </c>
      <c r="AJ161" s="760">
        <f t="shared" si="298"/>
        <v>3.0000000000000001E-3</v>
      </c>
      <c r="AK161" s="760">
        <f t="shared" si="299"/>
        <v>3.0000000000000001E-3</v>
      </c>
      <c r="AN161" s="1" t="b">
        <f t="shared" si="300"/>
        <v>1</v>
      </c>
      <c r="AQ161" s="15">
        <f>IF(J160&gt;1,IF(int_method=2,$AG$229*J160,$AG$229*'Pricing - Advanced'!$E$4),0)</f>
        <v>0</v>
      </c>
      <c r="AR161" s="5">
        <f t="shared" si="292"/>
        <v>0</v>
      </c>
      <c r="AS161" s="204">
        <f t="shared" si="301"/>
        <v>45060</v>
      </c>
      <c r="AT161" s="1">
        <f>IF($AT$4=FALSE,B161*'Pricing - Advanced'!$K$5,AT160+E161-E160)</f>
        <v>4717</v>
      </c>
      <c r="AW161">
        <f t="shared" si="241"/>
        <v>0</v>
      </c>
      <c r="AX161">
        <f t="shared" si="260"/>
        <v>0</v>
      </c>
      <c r="AY161">
        <f t="shared" si="242"/>
        <v>0</v>
      </c>
      <c r="AZ161">
        <f t="shared" si="243"/>
        <v>0</v>
      </c>
      <c r="BA161" s="603">
        <f t="shared" si="293"/>
        <v>0</v>
      </c>
      <c r="BB161" s="603">
        <f t="shared" si="294"/>
        <v>0</v>
      </c>
      <c r="BC161" s="5">
        <f t="shared" si="244"/>
        <v>0</v>
      </c>
      <c r="BE161" s="157">
        <f t="shared" si="261"/>
        <v>155</v>
      </c>
      <c r="BF161" s="489">
        <f t="shared" si="295"/>
        <v>4717</v>
      </c>
      <c r="BG161" s="146">
        <f t="shared" si="262"/>
        <v>0</v>
      </c>
      <c r="BH161" s="147">
        <f t="shared" si="263"/>
        <v>0</v>
      </c>
      <c r="BI161" s="154" t="e">
        <f t="shared" si="264"/>
        <v>#NUM!</v>
      </c>
      <c r="BJ161" s="277" t="e">
        <f t="shared" si="245"/>
        <v>#NUM!</v>
      </c>
      <c r="BK161" s="147" t="e">
        <f t="shared" si="246"/>
        <v>#NUM!</v>
      </c>
      <c r="BL161" s="132" t="e">
        <f t="shared" si="247"/>
        <v>#NUM!</v>
      </c>
      <c r="BN161" s="497">
        <f t="shared" si="265"/>
        <v>155</v>
      </c>
      <c r="BO161" s="497">
        <f t="shared" si="266"/>
        <v>4717</v>
      </c>
      <c r="BP161">
        <f t="shared" si="267"/>
        <v>0</v>
      </c>
      <c r="BQ161">
        <f t="shared" si="268"/>
        <v>0</v>
      </c>
      <c r="BR161" s="499" t="e">
        <f t="shared" si="269"/>
        <v>#NUM!</v>
      </c>
      <c r="BS161" s="277" t="e">
        <f t="shared" si="248"/>
        <v>#NUM!</v>
      </c>
      <c r="BT161" s="5" t="e">
        <f t="shared" si="249"/>
        <v>#NUM!</v>
      </c>
      <c r="BU161" s="5" t="e">
        <f t="shared" si="250"/>
        <v>#NUM!</v>
      </c>
      <c r="BW161" s="5"/>
      <c r="BX161" s="5"/>
      <c r="BY161" s="5"/>
      <c r="BZ161" s="5"/>
      <c r="CA161" s="130" t="e">
        <f t="shared" si="270"/>
        <v>#NUM!</v>
      </c>
      <c r="CB161" s="5"/>
      <c r="CC161" s="5" t="e">
        <f t="shared" si="251"/>
        <v>#NUM!</v>
      </c>
      <c r="CD161" s="5" t="e">
        <f t="shared" si="252"/>
        <v>#NUM!</v>
      </c>
      <c r="CE161" s="5"/>
      <c r="CI161" s="130">
        <f t="shared" si="271"/>
        <v>6.542905657003228</v>
      </c>
      <c r="CJ161" s="130">
        <f t="shared" si="272"/>
        <v>6.5407894074651907</v>
      </c>
      <c r="CK161" s="296">
        <f t="shared" si="296"/>
        <v>7.454045995913666</v>
      </c>
      <c r="CL161" s="130">
        <f t="shared" si="253"/>
        <v>7.454045995913666</v>
      </c>
      <c r="CM161" s="5">
        <f t="shared" si="254"/>
        <v>0</v>
      </c>
      <c r="CN161" s="5">
        <f t="shared" si="273"/>
        <v>0</v>
      </c>
      <c r="DE161" s="130" t="e">
        <f t="shared" si="274"/>
        <v>#NUM!</v>
      </c>
      <c r="DF161" s="130" t="e">
        <f t="shared" si="275"/>
        <v>#NUM!</v>
      </c>
      <c r="DG161" s="130" t="e">
        <f t="shared" si="297"/>
        <v>#NUM!</v>
      </c>
      <c r="DH161" s="130" t="e">
        <f t="shared" si="276"/>
        <v>#NUM!</v>
      </c>
      <c r="DJ161" s="130" t="e">
        <f t="shared" si="277"/>
        <v>#NUM!</v>
      </c>
      <c r="DK161" s="130" t="e">
        <f t="shared" si="214"/>
        <v>#NUM!</v>
      </c>
      <c r="DL161" s="130" t="e">
        <f t="shared" si="255"/>
        <v>#NUM!</v>
      </c>
      <c r="DO161" s="130" t="e">
        <f t="shared" si="278"/>
        <v>#NUM!</v>
      </c>
      <c r="DP161" s="130" t="e">
        <f t="shared" si="216"/>
        <v>#NUM!</v>
      </c>
      <c r="DQ161" s="130" t="e">
        <f t="shared" si="256"/>
        <v>#NUM!</v>
      </c>
    </row>
    <row r="162" spans="2:121" hidden="1">
      <c r="B162" s="231">
        <v>156</v>
      </c>
      <c r="C162" s="280"/>
      <c r="D162" s="475"/>
      <c r="E162" s="318">
        <f t="shared" si="279"/>
        <v>45091</v>
      </c>
      <c r="F162" s="542">
        <f t="shared" si="302"/>
        <v>0</v>
      </c>
      <c r="G162" s="239"/>
      <c r="H162" s="685">
        <f t="shared" si="280"/>
        <v>0</v>
      </c>
      <c r="I162" s="234"/>
      <c r="J162" s="597">
        <f t="shared" si="281"/>
        <v>0</v>
      </c>
      <c r="K162" s="478">
        <f t="shared" si="282"/>
        <v>0</v>
      </c>
      <c r="L162" s="234"/>
      <c r="M162" s="235">
        <f t="shared" si="283"/>
        <v>0</v>
      </c>
      <c r="N162" s="479">
        <f t="shared" si="284"/>
        <v>0</v>
      </c>
      <c r="O162" s="234"/>
      <c r="P162" s="235">
        <f t="shared" si="285"/>
        <v>0</v>
      </c>
      <c r="Q162" s="651">
        <f t="shared" si="286"/>
        <v>0</v>
      </c>
      <c r="R162" s="479">
        <f>IF(J162&gt;0,IF(OR(ManualMode=FALSE,ISBLANK(S162)),'Pricing - Advanced'!$F$16*J162+'Pricing - Advanced'!$F$17,"N/A"),0)</f>
        <v>0</v>
      </c>
      <c r="S162" s="234"/>
      <c r="T162" s="235">
        <f t="shared" si="287"/>
        <v>0</v>
      </c>
      <c r="U162" s="599">
        <f>IF(OR(ManualMode=FALSE,ISBLANK(V162)),SUM(K162:L162)*'Pricing - Advanced'!$F$19+SUM(N162,O162)*'Pricing - Advanced'!$F$18,"N/A")</f>
        <v>0</v>
      </c>
      <c r="V162" s="234"/>
      <c r="W162" s="236">
        <f t="shared" si="288"/>
        <v>0</v>
      </c>
      <c r="X162" s="237">
        <f>'Pricing - Advanced'!$F$20*SUM(H162:I162)+IF(J162&gt;1,'Pricing - Advanced'!$F$21,0)</f>
        <v>0</v>
      </c>
      <c r="Y162" s="688">
        <f>IF(AND(FullTerm&gt;=B162,AB161&gt;0),AB161*'Pricing - Advanced'!$I$128,0)</f>
        <v>0</v>
      </c>
      <c r="Z162" s="233">
        <f t="shared" si="289"/>
        <v>0</v>
      </c>
      <c r="AA162" s="234"/>
      <c r="AB162" s="597">
        <f t="shared" si="290"/>
        <v>0</v>
      </c>
      <c r="AC162" s="236">
        <f t="shared" si="257"/>
        <v>0</v>
      </c>
      <c r="AF162" s="762" t="e">
        <f t="shared" si="291"/>
        <v>#N/A</v>
      </c>
      <c r="AG162" s="759" t="e">
        <f t="shared" si="258"/>
        <v>#N/A</v>
      </c>
      <c r="AH162" s="759">
        <f>IF(J162=0,0,J162-SUM($N$6:N162)-AB161)</f>
        <v>0</v>
      </c>
      <c r="AI162" s="759">
        <f t="shared" si="259"/>
        <v>0</v>
      </c>
      <c r="AJ162" s="760">
        <f t="shared" si="298"/>
        <v>3.0000000000000001E-3</v>
      </c>
      <c r="AK162" s="760">
        <f t="shared" si="299"/>
        <v>3.0000000000000001E-3</v>
      </c>
      <c r="AN162" s="1" t="b">
        <f t="shared" si="300"/>
        <v>1</v>
      </c>
      <c r="AQ162" s="15">
        <f>IF(J161&gt;1,IF(int_method=2,$AG$229*J161,$AG$229*'Pricing - Advanced'!$E$4),0)</f>
        <v>0</v>
      </c>
      <c r="AR162" s="5">
        <f t="shared" si="292"/>
        <v>0</v>
      </c>
      <c r="AS162" s="204">
        <f t="shared" si="301"/>
        <v>45091</v>
      </c>
      <c r="AT162" s="1">
        <f>IF($AT$4=FALSE,B162*'Pricing - Advanced'!$K$5,AT161+E162-E161)</f>
        <v>4748</v>
      </c>
      <c r="AW162">
        <f t="shared" si="241"/>
        <v>0</v>
      </c>
      <c r="AX162">
        <f t="shared" si="260"/>
        <v>0</v>
      </c>
      <c r="AY162">
        <f t="shared" si="242"/>
        <v>0</v>
      </c>
      <c r="AZ162">
        <f t="shared" si="243"/>
        <v>0</v>
      </c>
      <c r="BA162" s="603">
        <f t="shared" si="293"/>
        <v>0</v>
      </c>
      <c r="BB162" s="603">
        <f t="shared" si="294"/>
        <v>0</v>
      </c>
      <c r="BC162" s="5">
        <f t="shared" si="244"/>
        <v>0</v>
      </c>
      <c r="BE162" s="157">
        <f t="shared" si="261"/>
        <v>156</v>
      </c>
      <c r="BF162" s="489">
        <f t="shared" si="295"/>
        <v>4748</v>
      </c>
      <c r="BG162" s="146">
        <f t="shared" si="262"/>
        <v>0</v>
      </c>
      <c r="BH162" s="147">
        <f t="shared" si="263"/>
        <v>0</v>
      </c>
      <c r="BI162" s="154" t="e">
        <f t="shared" si="264"/>
        <v>#NUM!</v>
      </c>
      <c r="BJ162" s="277" t="e">
        <f t="shared" si="245"/>
        <v>#NUM!</v>
      </c>
      <c r="BK162" s="147" t="e">
        <f t="shared" si="246"/>
        <v>#NUM!</v>
      </c>
      <c r="BL162" s="132" t="e">
        <f t="shared" si="247"/>
        <v>#NUM!</v>
      </c>
      <c r="BN162" s="497">
        <f t="shared" si="265"/>
        <v>156</v>
      </c>
      <c r="BO162" s="497">
        <f t="shared" si="266"/>
        <v>4748</v>
      </c>
      <c r="BP162">
        <f t="shared" si="267"/>
        <v>0</v>
      </c>
      <c r="BQ162">
        <f t="shared" si="268"/>
        <v>0</v>
      </c>
      <c r="BR162" s="499" t="e">
        <f t="shared" si="269"/>
        <v>#NUM!</v>
      </c>
      <c r="BS162" s="277" t="e">
        <f t="shared" si="248"/>
        <v>#NUM!</v>
      </c>
      <c r="BT162" s="5" t="e">
        <f t="shared" si="249"/>
        <v>#NUM!</v>
      </c>
      <c r="BU162" s="5" t="e">
        <f t="shared" si="250"/>
        <v>#NUM!</v>
      </c>
      <c r="BW162" s="5"/>
      <c r="BX162" s="5"/>
      <c r="BY162" s="5"/>
      <c r="BZ162" s="5"/>
      <c r="CA162" s="130" t="e">
        <f t="shared" si="270"/>
        <v>#NUM!</v>
      </c>
      <c r="CB162" s="5"/>
      <c r="CC162" s="5" t="e">
        <f t="shared" si="251"/>
        <v>#NUM!</v>
      </c>
      <c r="CD162" s="5" t="e">
        <f t="shared" si="252"/>
        <v>#NUM!</v>
      </c>
      <c r="CE162" s="5"/>
      <c r="CI162" s="130">
        <f t="shared" si="271"/>
        <v>6.6226788370548944</v>
      </c>
      <c r="CJ162" s="130">
        <f t="shared" si="272"/>
        <v>6.6220196704725751</v>
      </c>
      <c r="CK162" s="296">
        <f t="shared" si="296"/>
        <v>7.551277045606609</v>
      </c>
      <c r="CL162" s="130">
        <f t="shared" si="253"/>
        <v>7.551277045606609</v>
      </c>
      <c r="CM162" s="5">
        <f t="shared" si="254"/>
        <v>0</v>
      </c>
      <c r="CN162" s="5">
        <f t="shared" si="273"/>
        <v>0</v>
      </c>
      <c r="DE162" s="130" t="e">
        <f t="shared" si="274"/>
        <v>#NUM!</v>
      </c>
      <c r="DF162" s="130" t="e">
        <f t="shared" si="275"/>
        <v>#NUM!</v>
      </c>
      <c r="DG162" s="130" t="e">
        <f t="shared" si="297"/>
        <v>#NUM!</v>
      </c>
      <c r="DH162" s="130" t="e">
        <f t="shared" si="276"/>
        <v>#NUM!</v>
      </c>
      <c r="DJ162" s="130" t="e">
        <f t="shared" si="277"/>
        <v>#NUM!</v>
      </c>
      <c r="DK162" s="130" t="e">
        <f t="shared" si="214"/>
        <v>#NUM!</v>
      </c>
      <c r="DL162" s="130" t="e">
        <f t="shared" si="255"/>
        <v>#NUM!</v>
      </c>
      <c r="DO162" s="130" t="e">
        <f t="shared" si="278"/>
        <v>#NUM!</v>
      </c>
      <c r="DP162" s="130" t="e">
        <f t="shared" si="216"/>
        <v>#NUM!</v>
      </c>
      <c r="DQ162" s="130" t="e">
        <f t="shared" si="256"/>
        <v>#NUM!</v>
      </c>
    </row>
    <row r="163" spans="2:121" hidden="1">
      <c r="B163" s="231">
        <v>157</v>
      </c>
      <c r="C163" s="280"/>
      <c r="D163" s="475"/>
      <c r="E163" s="318">
        <f t="shared" si="279"/>
        <v>45121</v>
      </c>
      <c r="F163" s="542">
        <f t="shared" si="302"/>
        <v>0</v>
      </c>
      <c r="G163" s="239"/>
      <c r="H163" s="685">
        <f t="shared" si="280"/>
        <v>0</v>
      </c>
      <c r="I163" s="234"/>
      <c r="J163" s="597">
        <f t="shared" si="281"/>
        <v>0</v>
      </c>
      <c r="K163" s="478">
        <f t="shared" si="282"/>
        <v>0</v>
      </c>
      <c r="L163" s="234"/>
      <c r="M163" s="235">
        <f t="shared" si="283"/>
        <v>0</v>
      </c>
      <c r="N163" s="479">
        <f t="shared" si="284"/>
        <v>0</v>
      </c>
      <c r="O163" s="234"/>
      <c r="P163" s="235">
        <f t="shared" si="285"/>
        <v>0</v>
      </c>
      <c r="Q163" s="651">
        <f t="shared" si="286"/>
        <v>0</v>
      </c>
      <c r="R163" s="479">
        <f>IF(J163&gt;0,IF(OR(ManualMode=FALSE,ISBLANK(S163)),'Pricing - Advanced'!$F$16*J163+'Pricing - Advanced'!$F$17,"N/A"),0)</f>
        <v>0</v>
      </c>
      <c r="S163" s="234"/>
      <c r="T163" s="235">
        <f t="shared" si="287"/>
        <v>0</v>
      </c>
      <c r="U163" s="599">
        <f>IF(OR(ManualMode=FALSE,ISBLANK(V163)),SUM(K163:L163)*'Pricing - Advanced'!$F$19+SUM(N163,O163)*'Pricing - Advanced'!$F$18,"N/A")</f>
        <v>0</v>
      </c>
      <c r="V163" s="234"/>
      <c r="W163" s="236">
        <f t="shared" si="288"/>
        <v>0</v>
      </c>
      <c r="X163" s="237">
        <f>'Pricing - Advanced'!$F$20*SUM(H163:I163)+IF(J163&gt;1,'Pricing - Advanced'!$F$21,0)</f>
        <v>0</v>
      </c>
      <c r="Y163" s="688">
        <f>IF(AND(FullTerm&gt;=B163,AB162&gt;0),AB162*'Pricing - Advanced'!$I$128,0)</f>
        <v>0</v>
      </c>
      <c r="Z163" s="233">
        <f t="shared" si="289"/>
        <v>0</v>
      </c>
      <c r="AA163" s="234"/>
      <c r="AB163" s="597">
        <f t="shared" si="290"/>
        <v>0</v>
      </c>
      <c r="AC163" s="236">
        <f t="shared" si="257"/>
        <v>0</v>
      </c>
      <c r="AF163" s="762" t="e">
        <f t="shared" si="291"/>
        <v>#N/A</v>
      </c>
      <c r="AG163" s="759" t="e">
        <f t="shared" si="258"/>
        <v>#N/A</v>
      </c>
      <c r="AH163" s="759">
        <f>IF(J163=0,0,J163-SUM($N$6:N163)-AB162)</f>
        <v>0</v>
      </c>
      <c r="AI163" s="759">
        <f t="shared" si="259"/>
        <v>0</v>
      </c>
      <c r="AJ163" s="760">
        <f t="shared" si="298"/>
        <v>3.0000000000000001E-3</v>
      </c>
      <c r="AK163" s="760">
        <f t="shared" si="299"/>
        <v>3.0000000000000001E-3</v>
      </c>
      <c r="AN163" s="1" t="b">
        <f t="shared" si="300"/>
        <v>1</v>
      </c>
      <c r="AQ163" s="15">
        <f>IF(J162&gt;1,IF(int_method=2,$AG$229*J162,$AG$229*'Pricing - Advanced'!$E$4),0)</f>
        <v>0</v>
      </c>
      <c r="AR163" s="5">
        <f t="shared" si="292"/>
        <v>0</v>
      </c>
      <c r="AS163" s="204">
        <f t="shared" si="301"/>
        <v>45121</v>
      </c>
      <c r="AT163" s="1">
        <f>IF($AT$4=FALSE,B163*'Pricing - Advanced'!$K$5,AT162+E163-E162)</f>
        <v>4778</v>
      </c>
      <c r="AW163">
        <f t="shared" si="241"/>
        <v>0</v>
      </c>
      <c r="AX163">
        <f t="shared" si="260"/>
        <v>0</v>
      </c>
      <c r="AY163">
        <f t="shared" si="242"/>
        <v>0</v>
      </c>
      <c r="AZ163">
        <f t="shared" si="243"/>
        <v>0</v>
      </c>
      <c r="BA163" s="603">
        <f t="shared" si="293"/>
        <v>0</v>
      </c>
      <c r="BB163" s="603">
        <f t="shared" si="294"/>
        <v>0</v>
      </c>
      <c r="BC163" s="5">
        <f t="shared" si="244"/>
        <v>0</v>
      </c>
      <c r="BE163" s="157">
        <f t="shared" si="261"/>
        <v>157</v>
      </c>
      <c r="BF163" s="489">
        <f t="shared" si="295"/>
        <v>4778</v>
      </c>
      <c r="BG163" s="146">
        <f t="shared" si="262"/>
        <v>0</v>
      </c>
      <c r="BH163" s="147">
        <f t="shared" si="263"/>
        <v>0</v>
      </c>
      <c r="BI163" s="154" t="e">
        <f t="shared" si="264"/>
        <v>#NUM!</v>
      </c>
      <c r="BJ163" s="277" t="e">
        <f t="shared" si="245"/>
        <v>#NUM!</v>
      </c>
      <c r="BK163" s="147" t="e">
        <f t="shared" si="246"/>
        <v>#NUM!</v>
      </c>
      <c r="BL163" s="132" t="e">
        <f t="shared" si="247"/>
        <v>#NUM!</v>
      </c>
      <c r="BN163" s="497">
        <f t="shared" si="265"/>
        <v>157</v>
      </c>
      <c r="BO163" s="497">
        <f t="shared" si="266"/>
        <v>4778</v>
      </c>
      <c r="BP163">
        <f t="shared" si="267"/>
        <v>0</v>
      </c>
      <c r="BQ163">
        <f t="shared" si="268"/>
        <v>0</v>
      </c>
      <c r="BR163" s="499" t="e">
        <f t="shared" si="269"/>
        <v>#NUM!</v>
      </c>
      <c r="BS163" s="277" t="e">
        <f t="shared" si="248"/>
        <v>#NUM!</v>
      </c>
      <c r="BT163" s="5" t="e">
        <f t="shared" si="249"/>
        <v>#NUM!</v>
      </c>
      <c r="BU163" s="5" t="e">
        <f t="shared" si="250"/>
        <v>#NUM!</v>
      </c>
      <c r="BW163" s="5"/>
      <c r="BX163" s="5"/>
      <c r="BY163" s="5"/>
      <c r="BZ163" s="5"/>
      <c r="CA163" s="130" t="e">
        <f t="shared" si="270"/>
        <v>#NUM!</v>
      </c>
      <c r="CB163" s="5"/>
      <c r="CC163" s="5" t="e">
        <f t="shared" si="251"/>
        <v>#NUM!</v>
      </c>
      <c r="CD163" s="5" t="e">
        <f t="shared" si="252"/>
        <v>#NUM!</v>
      </c>
      <c r="CE163" s="5"/>
      <c r="CI163" s="130">
        <f t="shared" si="271"/>
        <v>6.7034246370080535</v>
      </c>
      <c r="CJ163" s="130">
        <f t="shared" si="272"/>
        <v>6.7015899875848355</v>
      </c>
      <c r="CK163" s="296">
        <f t="shared" si="296"/>
        <v>7.6497763832910097</v>
      </c>
      <c r="CL163" s="130">
        <f t="shared" si="253"/>
        <v>7.6497763832910097</v>
      </c>
      <c r="CM163" s="5">
        <f t="shared" si="254"/>
        <v>0</v>
      </c>
      <c r="CN163" s="5">
        <f t="shared" si="273"/>
        <v>0</v>
      </c>
      <c r="DE163" s="130" t="e">
        <f t="shared" si="274"/>
        <v>#NUM!</v>
      </c>
      <c r="DF163" s="130" t="e">
        <f t="shared" si="275"/>
        <v>#NUM!</v>
      </c>
      <c r="DG163" s="130" t="e">
        <f t="shared" si="297"/>
        <v>#NUM!</v>
      </c>
      <c r="DH163" s="130" t="e">
        <f t="shared" si="276"/>
        <v>#NUM!</v>
      </c>
      <c r="DJ163" s="130" t="e">
        <f t="shared" si="277"/>
        <v>#NUM!</v>
      </c>
      <c r="DK163" s="130" t="e">
        <f t="shared" si="214"/>
        <v>#NUM!</v>
      </c>
      <c r="DL163" s="130" t="e">
        <f t="shared" si="255"/>
        <v>#NUM!</v>
      </c>
      <c r="DO163" s="130" t="e">
        <f t="shared" si="278"/>
        <v>#NUM!</v>
      </c>
      <c r="DP163" s="130" t="e">
        <f t="shared" si="216"/>
        <v>#NUM!</v>
      </c>
      <c r="DQ163" s="130" t="e">
        <f t="shared" si="256"/>
        <v>#NUM!</v>
      </c>
    </row>
    <row r="164" spans="2:121" hidden="1">
      <c r="B164" s="231">
        <v>158</v>
      </c>
      <c r="C164" s="280"/>
      <c r="D164" s="475"/>
      <c r="E164" s="318">
        <f t="shared" si="279"/>
        <v>45152</v>
      </c>
      <c r="F164" s="542">
        <f t="shared" si="302"/>
        <v>0</v>
      </c>
      <c r="G164" s="239"/>
      <c r="H164" s="685">
        <f t="shared" si="280"/>
        <v>0</v>
      </c>
      <c r="I164" s="234"/>
      <c r="J164" s="597">
        <f t="shared" si="281"/>
        <v>0</v>
      </c>
      <c r="K164" s="478">
        <f t="shared" si="282"/>
        <v>0</v>
      </c>
      <c r="L164" s="234"/>
      <c r="M164" s="235">
        <f t="shared" si="283"/>
        <v>0</v>
      </c>
      <c r="N164" s="479">
        <f t="shared" si="284"/>
        <v>0</v>
      </c>
      <c r="O164" s="234"/>
      <c r="P164" s="235">
        <f t="shared" si="285"/>
        <v>0</v>
      </c>
      <c r="Q164" s="651">
        <f t="shared" si="286"/>
        <v>0</v>
      </c>
      <c r="R164" s="479">
        <f>IF(J164&gt;0,IF(OR(ManualMode=FALSE,ISBLANK(S164)),'Pricing - Advanced'!$F$16*J164+'Pricing - Advanced'!$F$17,"N/A"),0)</f>
        <v>0</v>
      </c>
      <c r="S164" s="234"/>
      <c r="T164" s="235">
        <f t="shared" si="287"/>
        <v>0</v>
      </c>
      <c r="U164" s="599">
        <f>IF(OR(ManualMode=FALSE,ISBLANK(V164)),SUM(K164:L164)*'Pricing - Advanced'!$F$19+SUM(N164,O164)*'Pricing - Advanced'!$F$18,"N/A")</f>
        <v>0</v>
      </c>
      <c r="V164" s="234"/>
      <c r="W164" s="236">
        <f t="shared" si="288"/>
        <v>0</v>
      </c>
      <c r="X164" s="237">
        <f>'Pricing - Advanced'!$F$20*SUM(H164:I164)+IF(J164&gt;1,'Pricing - Advanced'!$F$21,0)</f>
        <v>0</v>
      </c>
      <c r="Y164" s="688">
        <f>IF(AND(FullTerm&gt;=B164,AB163&gt;0),AB163*'Pricing - Advanced'!$I$128,0)</f>
        <v>0</v>
      </c>
      <c r="Z164" s="233">
        <f t="shared" si="289"/>
        <v>0</v>
      </c>
      <c r="AA164" s="234"/>
      <c r="AB164" s="597">
        <f t="shared" si="290"/>
        <v>0</v>
      </c>
      <c r="AC164" s="236">
        <f t="shared" si="257"/>
        <v>0</v>
      </c>
      <c r="AF164" s="762" t="e">
        <f t="shared" si="291"/>
        <v>#N/A</v>
      </c>
      <c r="AG164" s="759" t="e">
        <f t="shared" si="258"/>
        <v>#N/A</v>
      </c>
      <c r="AH164" s="759">
        <f>IF(J164=0,0,J164-SUM($N$6:N164)-AB163)</f>
        <v>0</v>
      </c>
      <c r="AI164" s="759">
        <f t="shared" si="259"/>
        <v>0</v>
      </c>
      <c r="AJ164" s="760">
        <f t="shared" si="298"/>
        <v>3.0000000000000001E-3</v>
      </c>
      <c r="AK164" s="760">
        <f t="shared" si="299"/>
        <v>3.0000000000000001E-3</v>
      </c>
      <c r="AN164" s="1" t="b">
        <f t="shared" si="300"/>
        <v>1</v>
      </c>
      <c r="AQ164" s="15">
        <f>IF(J163&gt;1,IF(int_method=2,$AG$229*J163,$AG$229*'Pricing - Advanced'!$E$4),0)</f>
        <v>0</v>
      </c>
      <c r="AR164" s="5">
        <f t="shared" si="292"/>
        <v>0</v>
      </c>
      <c r="AS164" s="204">
        <f t="shared" si="301"/>
        <v>45152</v>
      </c>
      <c r="AT164" s="1">
        <f>IF($AT$4=FALSE,B164*'Pricing - Advanced'!$K$5,AT163+E164-E163)</f>
        <v>4809</v>
      </c>
      <c r="AW164">
        <f t="shared" si="241"/>
        <v>0</v>
      </c>
      <c r="AX164">
        <f t="shared" si="260"/>
        <v>0</v>
      </c>
      <c r="AY164">
        <f t="shared" si="242"/>
        <v>0</v>
      </c>
      <c r="AZ164">
        <f t="shared" si="243"/>
        <v>0</v>
      </c>
      <c r="BA164" s="603">
        <f t="shared" si="293"/>
        <v>0</v>
      </c>
      <c r="BB164" s="603">
        <f t="shared" si="294"/>
        <v>0</v>
      </c>
      <c r="BC164" s="5">
        <f t="shared" si="244"/>
        <v>0</v>
      </c>
      <c r="BE164" s="157">
        <f t="shared" si="261"/>
        <v>158</v>
      </c>
      <c r="BF164" s="489">
        <f t="shared" si="295"/>
        <v>4809</v>
      </c>
      <c r="BG164" s="146">
        <f t="shared" si="262"/>
        <v>0</v>
      </c>
      <c r="BH164" s="147">
        <f t="shared" si="263"/>
        <v>0</v>
      </c>
      <c r="BI164" s="154" t="e">
        <f t="shared" si="264"/>
        <v>#NUM!</v>
      </c>
      <c r="BJ164" s="277" t="e">
        <f t="shared" si="245"/>
        <v>#NUM!</v>
      </c>
      <c r="BK164" s="147" t="e">
        <f t="shared" si="246"/>
        <v>#NUM!</v>
      </c>
      <c r="BL164" s="132" t="e">
        <f t="shared" si="247"/>
        <v>#NUM!</v>
      </c>
      <c r="BN164" s="497">
        <f t="shared" si="265"/>
        <v>158</v>
      </c>
      <c r="BO164" s="497">
        <f t="shared" si="266"/>
        <v>4809</v>
      </c>
      <c r="BP164">
        <f t="shared" si="267"/>
        <v>0</v>
      </c>
      <c r="BQ164">
        <f t="shared" si="268"/>
        <v>0</v>
      </c>
      <c r="BR164" s="499" t="e">
        <f t="shared" si="269"/>
        <v>#NUM!</v>
      </c>
      <c r="BS164" s="277" t="e">
        <f t="shared" si="248"/>
        <v>#NUM!</v>
      </c>
      <c r="BT164" s="5" t="e">
        <f t="shared" si="249"/>
        <v>#NUM!</v>
      </c>
      <c r="BU164" s="5" t="e">
        <f t="shared" si="250"/>
        <v>#NUM!</v>
      </c>
      <c r="BW164" s="5"/>
      <c r="BX164" s="5"/>
      <c r="BY164" s="5"/>
      <c r="BZ164" s="5"/>
      <c r="CA164" s="130" t="e">
        <f t="shared" si="270"/>
        <v>#NUM!</v>
      </c>
      <c r="CB164" s="5"/>
      <c r="CC164" s="5" t="e">
        <f t="shared" si="251"/>
        <v>#NUM!</v>
      </c>
      <c r="CD164" s="5" t="e">
        <f t="shared" si="252"/>
        <v>#NUM!</v>
      </c>
      <c r="CE164" s="5"/>
      <c r="CI164" s="130">
        <f t="shared" si="271"/>
        <v>6.7851549153528818</v>
      </c>
      <c r="CJ164" s="130">
        <f t="shared" si="272"/>
        <v>6.7848172378977525</v>
      </c>
      <c r="CK164" s="296">
        <f t="shared" si="296"/>
        <v>7.7495605525960318</v>
      </c>
      <c r="CL164" s="130">
        <f t="shared" si="253"/>
        <v>7.7495605525960318</v>
      </c>
      <c r="CM164" s="5">
        <f t="shared" si="254"/>
        <v>0</v>
      </c>
      <c r="CN164" s="5">
        <f t="shared" si="273"/>
        <v>0</v>
      </c>
      <c r="DE164" s="130" t="e">
        <f t="shared" si="274"/>
        <v>#NUM!</v>
      </c>
      <c r="DF164" s="130" t="e">
        <f t="shared" si="275"/>
        <v>#NUM!</v>
      </c>
      <c r="DG164" s="130" t="e">
        <f t="shared" si="297"/>
        <v>#NUM!</v>
      </c>
      <c r="DH164" s="130" t="e">
        <f t="shared" si="276"/>
        <v>#NUM!</v>
      </c>
      <c r="DJ164" s="130" t="e">
        <f t="shared" si="277"/>
        <v>#NUM!</v>
      </c>
      <c r="DK164" s="130" t="e">
        <f t="shared" si="214"/>
        <v>#NUM!</v>
      </c>
      <c r="DL164" s="130" t="e">
        <f t="shared" si="255"/>
        <v>#NUM!</v>
      </c>
      <c r="DO164" s="130" t="e">
        <f t="shared" si="278"/>
        <v>#NUM!</v>
      </c>
      <c r="DP164" s="130" t="e">
        <f t="shared" si="216"/>
        <v>#NUM!</v>
      </c>
      <c r="DQ164" s="130" t="e">
        <f t="shared" si="256"/>
        <v>#NUM!</v>
      </c>
    </row>
    <row r="165" spans="2:121" hidden="1">
      <c r="B165" s="231">
        <v>159</v>
      </c>
      <c r="C165" s="280"/>
      <c r="D165" s="475"/>
      <c r="E165" s="318">
        <f t="shared" si="279"/>
        <v>45183</v>
      </c>
      <c r="F165" s="542">
        <f t="shared" si="302"/>
        <v>0</v>
      </c>
      <c r="G165" s="239"/>
      <c r="H165" s="685">
        <f t="shared" si="280"/>
        <v>0</v>
      </c>
      <c r="I165" s="234"/>
      <c r="J165" s="597">
        <f t="shared" si="281"/>
        <v>0</v>
      </c>
      <c r="K165" s="478">
        <f t="shared" si="282"/>
        <v>0</v>
      </c>
      <c r="L165" s="234"/>
      <c r="M165" s="235">
        <f t="shared" si="283"/>
        <v>0</v>
      </c>
      <c r="N165" s="479">
        <f t="shared" si="284"/>
        <v>0</v>
      </c>
      <c r="O165" s="234"/>
      <c r="P165" s="235">
        <f t="shared" si="285"/>
        <v>0</v>
      </c>
      <c r="Q165" s="651">
        <f t="shared" si="286"/>
        <v>0</v>
      </c>
      <c r="R165" s="479">
        <f>IF(J165&gt;0,IF(OR(ManualMode=FALSE,ISBLANK(S165)),'Pricing - Advanced'!$F$16*J165+'Pricing - Advanced'!$F$17,"N/A"),0)</f>
        <v>0</v>
      </c>
      <c r="S165" s="234"/>
      <c r="T165" s="235">
        <f t="shared" si="287"/>
        <v>0</v>
      </c>
      <c r="U165" s="599">
        <f>IF(OR(ManualMode=FALSE,ISBLANK(V165)),SUM(K165:L165)*'Pricing - Advanced'!$F$19+SUM(N165,O165)*'Pricing - Advanced'!$F$18,"N/A")</f>
        <v>0</v>
      </c>
      <c r="V165" s="234"/>
      <c r="W165" s="236">
        <f t="shared" si="288"/>
        <v>0</v>
      </c>
      <c r="X165" s="237">
        <f>'Pricing - Advanced'!$F$20*SUM(H165:I165)+IF(J165&gt;1,'Pricing - Advanced'!$F$21,0)</f>
        <v>0</v>
      </c>
      <c r="Y165" s="688">
        <f>IF(AND(FullTerm&gt;=B165,AB164&gt;0),AB164*'Pricing - Advanced'!$I$128,0)</f>
        <v>0</v>
      </c>
      <c r="Z165" s="233">
        <f t="shared" si="289"/>
        <v>0</v>
      </c>
      <c r="AA165" s="234"/>
      <c r="AB165" s="597">
        <f t="shared" si="290"/>
        <v>0</v>
      </c>
      <c r="AC165" s="236">
        <f t="shared" si="257"/>
        <v>0</v>
      </c>
      <c r="AF165" s="762" t="e">
        <f t="shared" si="291"/>
        <v>#N/A</v>
      </c>
      <c r="AG165" s="759" t="e">
        <f t="shared" si="258"/>
        <v>#N/A</v>
      </c>
      <c r="AH165" s="759">
        <f>IF(J165=0,0,J165-SUM($N$6:N165)-AB164)</f>
        <v>0</v>
      </c>
      <c r="AI165" s="759">
        <f t="shared" si="259"/>
        <v>0</v>
      </c>
      <c r="AJ165" s="760">
        <f t="shared" si="298"/>
        <v>3.0000000000000001E-3</v>
      </c>
      <c r="AK165" s="760">
        <f t="shared" si="299"/>
        <v>3.0000000000000001E-3</v>
      </c>
      <c r="AN165" s="1" t="b">
        <f t="shared" si="300"/>
        <v>1</v>
      </c>
      <c r="AQ165" s="15">
        <f>IF(J164&gt;1,IF(int_method=2,$AG$229*J164,$AG$229*'Pricing - Advanced'!$E$4),0)</f>
        <v>0</v>
      </c>
      <c r="AR165" s="5">
        <f t="shared" si="292"/>
        <v>0</v>
      </c>
      <c r="AS165" s="204">
        <f t="shared" si="301"/>
        <v>45183</v>
      </c>
      <c r="AT165" s="1">
        <f>IF($AT$4=FALSE,B165*'Pricing - Advanced'!$K$5,AT164+E165-E164)</f>
        <v>4840</v>
      </c>
      <c r="AW165">
        <f t="shared" si="241"/>
        <v>0</v>
      </c>
      <c r="AX165">
        <f t="shared" si="260"/>
        <v>0</v>
      </c>
      <c r="AY165">
        <f t="shared" si="242"/>
        <v>0</v>
      </c>
      <c r="AZ165">
        <f t="shared" si="243"/>
        <v>0</v>
      </c>
      <c r="BA165" s="603">
        <f t="shared" si="293"/>
        <v>0</v>
      </c>
      <c r="BB165" s="603">
        <f t="shared" si="294"/>
        <v>0</v>
      </c>
      <c r="BC165" s="5">
        <f t="shared" si="244"/>
        <v>0</v>
      </c>
      <c r="BE165" s="157">
        <f t="shared" si="261"/>
        <v>159</v>
      </c>
      <c r="BF165" s="489">
        <f t="shared" si="295"/>
        <v>4840</v>
      </c>
      <c r="BG165" s="146">
        <f t="shared" si="262"/>
        <v>0</v>
      </c>
      <c r="BH165" s="147">
        <f t="shared" si="263"/>
        <v>0</v>
      </c>
      <c r="BI165" s="154" t="e">
        <f t="shared" si="264"/>
        <v>#NUM!</v>
      </c>
      <c r="BJ165" s="277" t="e">
        <f t="shared" si="245"/>
        <v>#NUM!</v>
      </c>
      <c r="BK165" s="147" t="e">
        <f t="shared" si="246"/>
        <v>#NUM!</v>
      </c>
      <c r="BL165" s="132" t="e">
        <f t="shared" si="247"/>
        <v>#NUM!</v>
      </c>
      <c r="BN165" s="497">
        <f t="shared" si="265"/>
        <v>159</v>
      </c>
      <c r="BO165" s="497">
        <f t="shared" si="266"/>
        <v>4840</v>
      </c>
      <c r="BP165">
        <f t="shared" si="267"/>
        <v>0</v>
      </c>
      <c r="BQ165">
        <f t="shared" si="268"/>
        <v>0</v>
      </c>
      <c r="BR165" s="499" t="e">
        <f t="shared" si="269"/>
        <v>#NUM!</v>
      </c>
      <c r="BS165" s="277" t="e">
        <f t="shared" si="248"/>
        <v>#NUM!</v>
      </c>
      <c r="BT165" s="5" t="e">
        <f t="shared" si="249"/>
        <v>#NUM!</v>
      </c>
      <c r="BU165" s="5" t="e">
        <f t="shared" si="250"/>
        <v>#NUM!</v>
      </c>
      <c r="BW165" s="5"/>
      <c r="BX165" s="5"/>
      <c r="BY165" s="5"/>
      <c r="BZ165" s="5"/>
      <c r="CA165" s="130" t="e">
        <f t="shared" si="270"/>
        <v>#NUM!</v>
      </c>
      <c r="CB165" s="5"/>
      <c r="CC165" s="5" t="e">
        <f t="shared" si="251"/>
        <v>#NUM!</v>
      </c>
      <c r="CD165" s="5" t="e">
        <f t="shared" si="252"/>
        <v>#NUM!</v>
      </c>
      <c r="CE165" s="5"/>
      <c r="CI165" s="130">
        <f t="shared" si="271"/>
        <v>6.8678816751620442</v>
      </c>
      <c r="CJ165" s="130">
        <f t="shared" si="272"/>
        <v>6.8690780899689781</v>
      </c>
      <c r="CK165" s="296">
        <f t="shared" si="296"/>
        <v>7.8506463129469886</v>
      </c>
      <c r="CL165" s="130">
        <f t="shared" si="253"/>
        <v>7.8506463129469886</v>
      </c>
      <c r="CM165" s="5">
        <f t="shared" si="254"/>
        <v>0</v>
      </c>
      <c r="CN165" s="5">
        <f t="shared" si="273"/>
        <v>0</v>
      </c>
      <c r="DE165" s="130" t="e">
        <f t="shared" si="274"/>
        <v>#NUM!</v>
      </c>
      <c r="DF165" s="130" t="e">
        <f t="shared" si="275"/>
        <v>#NUM!</v>
      </c>
      <c r="DG165" s="130" t="e">
        <f t="shared" si="297"/>
        <v>#NUM!</v>
      </c>
      <c r="DH165" s="130" t="e">
        <f t="shared" si="276"/>
        <v>#NUM!</v>
      </c>
      <c r="DJ165" s="130" t="e">
        <f t="shared" si="277"/>
        <v>#NUM!</v>
      </c>
      <c r="DK165" s="130" t="e">
        <f t="shared" si="214"/>
        <v>#NUM!</v>
      </c>
      <c r="DL165" s="130" t="e">
        <f t="shared" si="255"/>
        <v>#NUM!</v>
      </c>
      <c r="DO165" s="130" t="e">
        <f t="shared" si="278"/>
        <v>#NUM!</v>
      </c>
      <c r="DP165" s="130" t="e">
        <f t="shared" si="216"/>
        <v>#NUM!</v>
      </c>
      <c r="DQ165" s="130" t="e">
        <f t="shared" si="256"/>
        <v>#NUM!</v>
      </c>
    </row>
    <row r="166" spans="2:121" hidden="1">
      <c r="B166" s="231">
        <v>160</v>
      </c>
      <c r="C166" s="280"/>
      <c r="D166" s="475"/>
      <c r="E166" s="318">
        <f t="shared" si="279"/>
        <v>45213</v>
      </c>
      <c r="F166" s="542">
        <f t="shared" si="302"/>
        <v>0</v>
      </c>
      <c r="G166" s="239"/>
      <c r="H166" s="685">
        <f t="shared" si="280"/>
        <v>0</v>
      </c>
      <c r="I166" s="234"/>
      <c r="J166" s="597">
        <f t="shared" si="281"/>
        <v>0</v>
      </c>
      <c r="K166" s="478">
        <f t="shared" si="282"/>
        <v>0</v>
      </c>
      <c r="L166" s="234"/>
      <c r="M166" s="235">
        <f t="shared" si="283"/>
        <v>0</v>
      </c>
      <c r="N166" s="479">
        <f t="shared" si="284"/>
        <v>0</v>
      </c>
      <c r="O166" s="234"/>
      <c r="P166" s="235">
        <f t="shared" si="285"/>
        <v>0</v>
      </c>
      <c r="Q166" s="651">
        <f t="shared" si="286"/>
        <v>0</v>
      </c>
      <c r="R166" s="479">
        <f>IF(J166&gt;0,IF(OR(ManualMode=FALSE,ISBLANK(S166)),'Pricing - Advanced'!$F$16*J166+'Pricing - Advanced'!$F$17,"N/A"),0)</f>
        <v>0</v>
      </c>
      <c r="S166" s="234"/>
      <c r="T166" s="235">
        <f t="shared" si="287"/>
        <v>0</v>
      </c>
      <c r="U166" s="599">
        <f>IF(OR(ManualMode=FALSE,ISBLANK(V166)),SUM(K166:L166)*'Pricing - Advanced'!$F$19+SUM(N166,O166)*'Pricing - Advanced'!$F$18,"N/A")</f>
        <v>0</v>
      </c>
      <c r="V166" s="234"/>
      <c r="W166" s="236">
        <f t="shared" si="288"/>
        <v>0</v>
      </c>
      <c r="X166" s="237">
        <f>'Pricing - Advanced'!$F$20*SUM(H166:I166)+IF(J166&gt;1,'Pricing - Advanced'!$F$21,0)</f>
        <v>0</v>
      </c>
      <c r="Y166" s="688">
        <f>IF(AND(FullTerm&gt;=B166,AB165&gt;0),AB165*'Pricing - Advanced'!$I$128,0)</f>
        <v>0</v>
      </c>
      <c r="Z166" s="233">
        <f t="shared" si="289"/>
        <v>0</v>
      </c>
      <c r="AA166" s="234"/>
      <c r="AB166" s="597">
        <f t="shared" si="290"/>
        <v>0</v>
      </c>
      <c r="AC166" s="236">
        <f t="shared" ref="AC166:AC188" si="303">IF(AND(ManualMode=TRUE,NOT(ISBLANK(AA166)),AN166="x"),W166-AA166,W166-X166+Z166)</f>
        <v>0</v>
      </c>
      <c r="AF166" s="762" t="e">
        <f t="shared" si="291"/>
        <v>#N/A</v>
      </c>
      <c r="AG166" s="759" t="e">
        <f t="shared" ref="AG166:AG188" si="304">IF(AB166&gt;0,AB166,NA())</f>
        <v>#N/A</v>
      </c>
      <c r="AH166" s="759">
        <f>IF(J166=0,0,J166-SUM($N$6:N166)-AB165)</f>
        <v>0</v>
      </c>
      <c r="AI166" s="759">
        <f t="shared" ref="AI166:AI188" si="305">IF(AND(AH166&lt;0,B166&lt;=term),1,0)</f>
        <v>0</v>
      </c>
      <c r="AJ166" s="760">
        <f t="shared" si="298"/>
        <v>3.0000000000000001E-3</v>
      </c>
      <c r="AK166" s="760">
        <f t="shared" si="299"/>
        <v>3.0000000000000001E-3</v>
      </c>
      <c r="AN166" s="1" t="b">
        <f t="shared" si="300"/>
        <v>1</v>
      </c>
      <c r="AQ166" s="15">
        <f>IF(J165&gt;1,IF(int_method=2,$AG$229*J165,$AG$229*'Pricing - Advanced'!$E$4),0)</f>
        <v>0</v>
      </c>
      <c r="AR166" s="5">
        <f t="shared" si="292"/>
        <v>0</v>
      </c>
      <c r="AS166" s="204">
        <f t="shared" si="301"/>
        <v>45213</v>
      </c>
      <c r="AT166" s="1">
        <f>IF($AT$4=FALSE,B166*'Pricing - Advanced'!$K$5,AT165+E166-E165)</f>
        <v>4870</v>
      </c>
      <c r="AW166">
        <f t="shared" si="241"/>
        <v>0</v>
      </c>
      <c r="AX166">
        <f t="shared" ref="AX166:AX188" si="306">G166+Z166</f>
        <v>0</v>
      </c>
      <c r="AY166">
        <f t="shared" si="242"/>
        <v>0</v>
      </c>
      <c r="AZ166">
        <f t="shared" si="243"/>
        <v>0</v>
      </c>
      <c r="BA166" s="603">
        <f t="shared" si="293"/>
        <v>0</v>
      </c>
      <c r="BB166" s="603">
        <f t="shared" si="294"/>
        <v>0</v>
      </c>
      <c r="BC166" s="5">
        <f t="shared" si="244"/>
        <v>0</v>
      </c>
      <c r="BE166" s="157">
        <f t="shared" ref="BE166:BE188" si="307">B166</f>
        <v>160</v>
      </c>
      <c r="BF166" s="489">
        <f t="shared" si="295"/>
        <v>4870</v>
      </c>
      <c r="BG166" s="146">
        <f t="shared" ref="BG166:BG188" si="308">AW166</f>
        <v>0</v>
      </c>
      <c r="BH166" s="147">
        <f t="shared" ref="BH166:BH188" si="309">AY166</f>
        <v>0</v>
      </c>
      <c r="BI166" s="154" t="e">
        <f t="shared" ref="BI166:BI188" si="310">DH166</f>
        <v>#NUM!</v>
      </c>
      <c r="BJ166" s="277" t="e">
        <f t="shared" si="245"/>
        <v>#NUM!</v>
      </c>
      <c r="BK166" s="147" t="e">
        <f t="shared" si="246"/>
        <v>#NUM!</v>
      </c>
      <c r="BL166" s="132" t="e">
        <f t="shared" si="247"/>
        <v>#NUM!</v>
      </c>
      <c r="BN166" s="497">
        <f t="shared" ref="BN166:BN188" si="311">BE166</f>
        <v>160</v>
      </c>
      <c r="BO166" s="497">
        <f t="shared" ref="BO166:BO188" si="312">BF166</f>
        <v>4870</v>
      </c>
      <c r="BP166">
        <f t="shared" ref="BP166:BP188" si="313">AW166</f>
        <v>0</v>
      </c>
      <c r="BQ166">
        <f t="shared" ref="BQ166:BQ188" si="314">AZ166</f>
        <v>0</v>
      </c>
      <c r="BR166" s="499" t="e">
        <f t="shared" ref="BR166:BR188" si="315">IF($CR$1=1,DJ166,IF($CR$1=2,DL166,DK166))</f>
        <v>#NUM!</v>
      </c>
      <c r="BS166" s="277" t="e">
        <f t="shared" si="248"/>
        <v>#NUM!</v>
      </c>
      <c r="BT166" s="5" t="e">
        <f t="shared" si="249"/>
        <v>#NUM!</v>
      </c>
      <c r="BU166" s="5" t="e">
        <f t="shared" si="250"/>
        <v>#NUM!</v>
      </c>
      <c r="BW166" s="5"/>
      <c r="BX166" s="5"/>
      <c r="BY166" s="5"/>
      <c r="BZ166" s="5"/>
      <c r="CA166" s="130" t="e">
        <f t="shared" ref="CA166:CA188" si="316">IF($CR$1=1,DO166,IF($CR$1=2,DQ166,DP166))</f>
        <v>#NUM!</v>
      </c>
      <c r="CB166" s="5"/>
      <c r="CC166" s="5" t="e">
        <f t="shared" si="251"/>
        <v>#NUM!</v>
      </c>
      <c r="CD166" s="5" t="e">
        <f t="shared" si="252"/>
        <v>#NUM!</v>
      </c>
      <c r="CE166" s="5"/>
      <c r="CI166" s="130">
        <f t="shared" ref="CI166:CI188" si="317">(1+CJ$2)^($B166/$CR$4)</f>
        <v>6.9516170658534628</v>
      </c>
      <c r="CJ166" s="130">
        <f t="shared" ref="CJ166:CJ188" si="318">(1+CJ$2)^($AT166/DaysYr)</f>
        <v>6.9516170658534628</v>
      </c>
      <c r="CK166" s="296">
        <f t="shared" si="296"/>
        <v>7.9530506423802017</v>
      </c>
      <c r="CL166" s="130">
        <f t="shared" si="253"/>
        <v>7.9530506423802017</v>
      </c>
      <c r="CM166" s="5">
        <f t="shared" si="254"/>
        <v>0</v>
      </c>
      <c r="CN166" s="5">
        <f t="shared" ref="CN166:CN188" si="319">BC166/CL166</f>
        <v>0</v>
      </c>
      <c r="DE166" s="130" t="e">
        <f t="shared" ref="DE166:DE188" si="320">(1+DF$3)^($B166/$CR$4)</f>
        <v>#NUM!</v>
      </c>
      <c r="DF166" s="130" t="e">
        <f t="shared" ref="DF166:DF188" si="321">(1+DF$3)^($BF166/DaysYr)</f>
        <v>#NUM!</v>
      </c>
      <c r="DG166" s="130" t="e">
        <f t="shared" si="297"/>
        <v>#NUM!</v>
      </c>
      <c r="DH166" s="130" t="e">
        <f t="shared" ref="DH166:DH188" si="322">IF($CR$1=1,DE166,IF($CR$1=2,DG166,DF166))</f>
        <v>#NUM!</v>
      </c>
      <c r="DJ166" s="130" t="e">
        <f t="shared" ref="DJ166:DJ188" si="323">(1+DK$3)^($B166/$CR$4)</f>
        <v>#NUM!</v>
      </c>
      <c r="DK166" s="130" t="e">
        <f t="shared" si="214"/>
        <v>#NUM!</v>
      </c>
      <c r="DL166" s="130" t="e">
        <f t="shared" si="255"/>
        <v>#NUM!</v>
      </c>
      <c r="DO166" s="130" t="e">
        <f t="shared" ref="DO166:DO188" si="324">(1+DP$3)^($B166/$CR$4)</f>
        <v>#NUM!</v>
      </c>
      <c r="DP166" s="130" t="e">
        <f t="shared" si="216"/>
        <v>#NUM!</v>
      </c>
      <c r="DQ166" s="130" t="e">
        <f t="shared" si="256"/>
        <v>#NUM!</v>
      </c>
    </row>
    <row r="167" spans="2:121" hidden="1">
      <c r="B167" s="231">
        <v>161</v>
      </c>
      <c r="C167" s="280"/>
      <c r="D167" s="475"/>
      <c r="E167" s="318">
        <f t="shared" ref="E167:E188" si="325">IF(ManualDates="x",IF(NOT(ISBLANK(D167)),D167,IF(C167=0,AS167,E166+C167)),AS167)</f>
        <v>45244</v>
      </c>
      <c r="F167" s="542">
        <f t="shared" si="302"/>
        <v>0</v>
      </c>
      <c r="G167" s="239"/>
      <c r="H167" s="685">
        <f t="shared" ref="H167:H188" si="326">IF(AND(ManualMode=TRUE,NOT(ISBLANK(I167))),"N/A",IF(B167=PrepayPeriod,J166,IF(AND(B167&gt;=FirstPmt,B167&lt;=PrepayPeriod),IF(AND(B167&lt;$AG$228,amortized=1),LoanAmt/$AG$226,-PPMT($AG$229,$B167-FirstPmt+1,$AG$226,LoanAmt)),0)))</f>
        <v>0</v>
      </c>
      <c r="I167" s="234"/>
      <c r="J167" s="597">
        <f t="shared" ref="J167:J188" si="327">IF(AN167&lt;&gt;"x",0,IF(AND(ManualMode=TRUE,NOT(ISBLANK(I167))),J166-I167,IF(J166+G167-H167&gt;1,(J166+G167-H167),0)))</f>
        <v>0</v>
      </c>
      <c r="K167" s="478">
        <f t="shared" ref="K167:K188" si="328">IF(AND(ManualMode=TRUE,NOT(ISBLANK(L167))),"N/A",IF(OR($AH$227&gt;B167,J166&lt;1),0,AR167))</f>
        <v>0</v>
      </c>
      <c r="L167" s="234"/>
      <c r="M167" s="235">
        <f t="shared" ref="M167:M188" si="329">IF(AN167="x",IF(ManualMode=FALSE,-H167-K167,IF(ISBLANK(I167),-H167,-I167)+IF(ISBLANK(L167),-K167,-L167)),0)</f>
        <v>0</v>
      </c>
      <c r="N167" s="479">
        <f t="shared" ref="N167:N188" si="330">IF(OR(ManualMode=FALSE,ISBLANK(O167)),IF(FeeOngoPerc&lt;1,FeeOngoPerc*SUM(H167:I167),IF(J166&gt;1,FeeOngoPerc,0))+IF(FeeOngoFix&lt;1,FeeOngoFix*SUM(H167:I167),IF(J166&gt;1,FeeOngoFix,0)),"N/A")</f>
        <v>0</v>
      </c>
      <c r="O167" s="234"/>
      <c r="P167" s="235">
        <f t="shared" ref="P167:P188" si="331">IF(AND(ManualMode=TRUE,NOT(ISBLANK(O167)),AN167="x"),M167-O167,M167-N167)</f>
        <v>0</v>
      </c>
      <c r="Q167" s="651">
        <f t="shared" ref="Q167:Q188" si="332">IF(J166&gt;0.01,IF(ManualMode=FALSE,SUM(K167,N167),SUM(K167,L167,N167,O167))/J166*(365.25/(AT167-AT166)),0)</f>
        <v>0</v>
      </c>
      <c r="R167" s="479">
        <f>IF(J167&gt;0,IF(OR(ManualMode=FALSE,ISBLANK(S167)),'Pricing - Advanced'!$F$16*J167+'Pricing - Advanced'!$F$17,"N/A"),0)</f>
        <v>0</v>
      </c>
      <c r="S167" s="234"/>
      <c r="T167" s="235">
        <f t="shared" ref="T167:T188" si="333">IF(AND(ManualMode=TRUE,NOT(ISBLANK(S167)),AN167="x"),P167-S167,P167-R167)</f>
        <v>0</v>
      </c>
      <c r="U167" s="599">
        <f>IF(OR(ManualMode=FALSE,ISBLANK(V167)),SUM(K167:L167)*'Pricing - Advanced'!$F$19+SUM(N167,O167)*'Pricing - Advanced'!$F$18,"N/A")</f>
        <v>0</v>
      </c>
      <c r="V167" s="234"/>
      <c r="W167" s="236">
        <f t="shared" ref="W167:W188" si="334">IF(AND(ManualMode=TRUE,NOT(ISBLANK(V167)),AN167="x"),T167-V167,T167-U167)</f>
        <v>0</v>
      </c>
      <c r="X167" s="237">
        <f>'Pricing - Advanced'!$F$20*SUM(H167:I167)+IF(J167&gt;1,'Pricing - Advanced'!$F$21,0)</f>
        <v>0</v>
      </c>
      <c r="Y167" s="688">
        <f>IF(AND(FullTerm&gt;=B167,AB166&gt;0),AB166*'Pricing - Advanced'!$I$128,0)</f>
        <v>0</v>
      </c>
      <c r="Z167" s="233">
        <f t="shared" ref="Z167:Z188" si="335">IF(FullTerm=B167,AB166+X167+Y167,0)</f>
        <v>0</v>
      </c>
      <c r="AA167" s="234"/>
      <c r="AB167" s="597">
        <f t="shared" ref="AB167:AB188" si="336">IF(AND(ManualMode=TRUE,NOT(ISBLANK(AA167)),AN167="x"),AB166+AA167,AB166+X167+Y167-Z167)</f>
        <v>0</v>
      </c>
      <c r="AC167" s="236">
        <f t="shared" si="303"/>
        <v>0</v>
      </c>
      <c r="AF167" s="762" t="e">
        <f t="shared" ref="AF167:AF188" si="337">IF(int_method=1,AF166,IF(J167&gt;0,J167,NA()))</f>
        <v>#N/A</v>
      </c>
      <c r="AG167" s="759" t="e">
        <f t="shared" si="304"/>
        <v>#N/A</v>
      </c>
      <c r="AH167" s="759">
        <f>IF(J167=0,0,J167-SUM($N$6:N167)-AB166)</f>
        <v>0</v>
      </c>
      <c r="AI167" s="759">
        <f t="shared" si="305"/>
        <v>0</v>
      </c>
      <c r="AJ167" s="760">
        <f t="shared" si="298"/>
        <v>3.0000000000000001E-3</v>
      </c>
      <c r="AK167" s="760">
        <f t="shared" si="299"/>
        <v>3.0000000000000001E-3</v>
      </c>
      <c r="AN167" s="1" t="b">
        <f t="shared" si="300"/>
        <v>1</v>
      </c>
      <c r="AQ167" s="15">
        <f>IF(J166&gt;1,IF(int_method=2,$AG$229*J166,$AG$229*'Pricing - Advanced'!$E$4),0)</f>
        <v>0</v>
      </c>
      <c r="AR167" s="5">
        <f t="shared" ref="AR167:AR188" si="338">IF(B167&gt;$AI$233,AQ167,0)+AR166-IF(ManualMode=TRUE,SUM(K166:L166),K166)</f>
        <v>0</v>
      </c>
      <c r="AS167" s="204">
        <f t="shared" si="301"/>
        <v>45244</v>
      </c>
      <c r="AT167" s="1">
        <f>IF($AT$4=FALSE,B167*'Pricing - Advanced'!$K$5,AT166+E167-E166)</f>
        <v>4901</v>
      </c>
      <c r="AW167">
        <f t="shared" si="241"/>
        <v>0</v>
      </c>
      <c r="AX167">
        <f t="shared" si="306"/>
        <v>0</v>
      </c>
      <c r="AY167">
        <f t="shared" si="242"/>
        <v>0</v>
      </c>
      <c r="AZ167">
        <f t="shared" si="243"/>
        <v>0</v>
      </c>
      <c r="BA167" s="603">
        <f t="shared" si="293"/>
        <v>0</v>
      </c>
      <c r="BB167" s="603">
        <f t="shared" si="294"/>
        <v>0</v>
      </c>
      <c r="BC167" s="5">
        <f t="shared" si="244"/>
        <v>0</v>
      </c>
      <c r="BE167" s="157">
        <f t="shared" si="307"/>
        <v>161</v>
      </c>
      <c r="BF167" s="489">
        <f t="shared" ref="BF167:BF188" si="339">E167-$E$6</f>
        <v>4901</v>
      </c>
      <c r="BG167" s="146">
        <f t="shared" si="308"/>
        <v>0</v>
      </c>
      <c r="BH167" s="147">
        <f t="shared" si="309"/>
        <v>0</v>
      </c>
      <c r="BI167" s="154" t="e">
        <f t="shared" si="310"/>
        <v>#NUM!</v>
      </c>
      <c r="BJ167" s="277" t="e">
        <f t="shared" si="245"/>
        <v>#NUM!</v>
      </c>
      <c r="BK167" s="147" t="e">
        <f t="shared" si="246"/>
        <v>#NUM!</v>
      </c>
      <c r="BL167" s="132" t="e">
        <f t="shared" si="247"/>
        <v>#NUM!</v>
      </c>
      <c r="BN167" s="497">
        <f t="shared" si="311"/>
        <v>161</v>
      </c>
      <c r="BO167" s="497">
        <f t="shared" si="312"/>
        <v>4901</v>
      </c>
      <c r="BP167">
        <f t="shared" si="313"/>
        <v>0</v>
      </c>
      <c r="BQ167">
        <f t="shared" si="314"/>
        <v>0</v>
      </c>
      <c r="BR167" s="499" t="e">
        <f t="shared" si="315"/>
        <v>#NUM!</v>
      </c>
      <c r="BS167" s="277" t="e">
        <f t="shared" si="248"/>
        <v>#NUM!</v>
      </c>
      <c r="BT167" s="5" t="e">
        <f t="shared" si="249"/>
        <v>#NUM!</v>
      </c>
      <c r="BU167" s="5" t="e">
        <f t="shared" si="250"/>
        <v>#NUM!</v>
      </c>
      <c r="BW167" s="5"/>
      <c r="BX167" s="5"/>
      <c r="BY167" s="5"/>
      <c r="BZ167" s="5"/>
      <c r="CA167" s="130" t="e">
        <f t="shared" si="316"/>
        <v>#NUM!</v>
      </c>
      <c r="CB167" s="5"/>
      <c r="CC167" s="5" t="e">
        <f t="shared" si="251"/>
        <v>#NUM!</v>
      </c>
      <c r="CD167" s="5" t="e">
        <f t="shared" si="252"/>
        <v>#NUM!</v>
      </c>
      <c r="CE167" s="5"/>
      <c r="CI167" s="130">
        <f t="shared" si="317"/>
        <v>7.0363733849746168</v>
      </c>
      <c r="CJ167" s="130">
        <f t="shared" si="318"/>
        <v>7.0379494100719464</v>
      </c>
      <c r="CK167" s="296">
        <f t="shared" ref="CK167:CK188" si="340">CK166*(1+CJ$2/PeriodsYr)</f>
        <v>8.0567907403945789</v>
      </c>
      <c r="CL167" s="130">
        <f t="shared" si="253"/>
        <v>8.0567907403945789</v>
      </c>
      <c r="CM167" s="5">
        <f t="shared" si="254"/>
        <v>0</v>
      </c>
      <c r="CN167" s="5">
        <f t="shared" si="319"/>
        <v>0</v>
      </c>
      <c r="DE167" s="130" t="e">
        <f t="shared" si="320"/>
        <v>#NUM!</v>
      </c>
      <c r="DF167" s="130" t="e">
        <f t="shared" si="321"/>
        <v>#NUM!</v>
      </c>
      <c r="DG167" s="130" t="e">
        <f t="shared" ref="DG167:DG188" si="341">DG166*(1+DF$3/PeriodsYr)</f>
        <v>#NUM!</v>
      </c>
      <c r="DH167" s="130" t="e">
        <f t="shared" si="322"/>
        <v>#NUM!</v>
      </c>
      <c r="DJ167" s="130" t="e">
        <f t="shared" si="323"/>
        <v>#NUM!</v>
      </c>
      <c r="DK167" s="130" t="e">
        <f t="shared" si="214"/>
        <v>#NUM!</v>
      </c>
      <c r="DL167" s="130" t="e">
        <f t="shared" si="255"/>
        <v>#NUM!</v>
      </c>
      <c r="DO167" s="130" t="e">
        <f t="shared" si="324"/>
        <v>#NUM!</v>
      </c>
      <c r="DP167" s="130" t="e">
        <f t="shared" si="216"/>
        <v>#NUM!</v>
      </c>
      <c r="DQ167" s="130" t="e">
        <f t="shared" si="256"/>
        <v>#NUM!</v>
      </c>
    </row>
    <row r="168" spans="2:121" hidden="1">
      <c r="B168" s="231">
        <v>162</v>
      </c>
      <c r="C168" s="280"/>
      <c r="D168" s="475"/>
      <c r="E168" s="318">
        <f t="shared" si="325"/>
        <v>45274</v>
      </c>
      <c r="F168" s="542">
        <f t="shared" si="302"/>
        <v>0</v>
      </c>
      <c r="G168" s="239"/>
      <c r="H168" s="685">
        <f t="shared" si="326"/>
        <v>0</v>
      </c>
      <c r="I168" s="234"/>
      <c r="J168" s="597">
        <f t="shared" si="327"/>
        <v>0</v>
      </c>
      <c r="K168" s="478">
        <f t="shared" si="328"/>
        <v>0</v>
      </c>
      <c r="L168" s="234"/>
      <c r="M168" s="235">
        <f t="shared" si="329"/>
        <v>0</v>
      </c>
      <c r="N168" s="479">
        <f t="shared" si="330"/>
        <v>0</v>
      </c>
      <c r="O168" s="234"/>
      <c r="P168" s="235">
        <f t="shared" si="331"/>
        <v>0</v>
      </c>
      <c r="Q168" s="651">
        <f t="shared" si="332"/>
        <v>0</v>
      </c>
      <c r="R168" s="479">
        <f>IF(J168&gt;0,IF(OR(ManualMode=FALSE,ISBLANK(S168)),'Pricing - Advanced'!$F$16*J168+'Pricing - Advanced'!$F$17,"N/A"),0)</f>
        <v>0</v>
      </c>
      <c r="S168" s="234"/>
      <c r="T168" s="235">
        <f t="shared" si="333"/>
        <v>0</v>
      </c>
      <c r="U168" s="599">
        <f>IF(OR(ManualMode=FALSE,ISBLANK(V168)),SUM(K168:L168)*'Pricing - Advanced'!$F$19+SUM(N168,O168)*'Pricing - Advanced'!$F$18,"N/A")</f>
        <v>0</v>
      </c>
      <c r="V168" s="234"/>
      <c r="W168" s="236">
        <f t="shared" si="334"/>
        <v>0</v>
      </c>
      <c r="X168" s="237">
        <f>'Pricing - Advanced'!$F$20*SUM(H168:I168)+IF(J168&gt;1,'Pricing - Advanced'!$F$21,0)</f>
        <v>0</v>
      </c>
      <c r="Y168" s="688">
        <f>IF(AND(FullTerm&gt;=B168,AB167&gt;0),AB167*'Pricing - Advanced'!$I$128,0)</f>
        <v>0</v>
      </c>
      <c r="Z168" s="233">
        <f t="shared" si="335"/>
        <v>0</v>
      </c>
      <c r="AA168" s="234"/>
      <c r="AB168" s="597">
        <f t="shared" si="336"/>
        <v>0</v>
      </c>
      <c r="AC168" s="236">
        <f t="shared" si="303"/>
        <v>0</v>
      </c>
      <c r="AF168" s="762" t="e">
        <f t="shared" si="337"/>
        <v>#N/A</v>
      </c>
      <c r="AG168" s="759" t="e">
        <f t="shared" si="304"/>
        <v>#N/A</v>
      </c>
      <c r="AH168" s="759">
        <f>IF(J168=0,0,J168-SUM($N$6:N168)-AB167)</f>
        <v>0</v>
      </c>
      <c r="AI168" s="759">
        <f t="shared" si="305"/>
        <v>0</v>
      </c>
      <c r="AJ168" s="760">
        <f t="shared" si="298"/>
        <v>3.0000000000000001E-3</v>
      </c>
      <c r="AK168" s="760">
        <f t="shared" si="299"/>
        <v>3.0000000000000001E-3</v>
      </c>
      <c r="AN168" s="1" t="b">
        <f t="shared" ref="AN168:AN188" si="342">IF(B168&lt;=term,"x",TRUE)</f>
        <v>1</v>
      </c>
      <c r="AQ168" s="15">
        <f>IF(J167&gt;1,IF(int_method=2,$AG$229*J167,$AG$229*'Pricing - Advanced'!$E$4),0)</f>
        <v>0</v>
      </c>
      <c r="AR168" s="5">
        <f t="shared" si="338"/>
        <v>0</v>
      </c>
      <c r="AS168" s="204">
        <f t="shared" ref="AS168:AS188" si="343">IF(SameDay,EDATE(E167,$CR$3),E167+DaysPeriod)</f>
        <v>45274</v>
      </c>
      <c r="AT168" s="1">
        <f>IF($AT$4=FALSE,B168*'Pricing - Advanced'!$K$5,AT167+E168-E167)</f>
        <v>4931</v>
      </c>
      <c r="AW168">
        <f t="shared" si="241"/>
        <v>0</v>
      </c>
      <c r="AX168">
        <f t="shared" si="306"/>
        <v>0</v>
      </c>
      <c r="AY168">
        <f t="shared" si="242"/>
        <v>0</v>
      </c>
      <c r="AZ168">
        <f t="shared" si="243"/>
        <v>0</v>
      </c>
      <c r="BA168" s="603">
        <f t="shared" si="293"/>
        <v>0</v>
      </c>
      <c r="BB168" s="603">
        <f t="shared" si="294"/>
        <v>0</v>
      </c>
      <c r="BC168" s="5">
        <f t="shared" si="244"/>
        <v>0</v>
      </c>
      <c r="BE168" s="157">
        <f t="shared" si="307"/>
        <v>162</v>
      </c>
      <c r="BF168" s="489">
        <f t="shared" si="339"/>
        <v>4931</v>
      </c>
      <c r="BG168" s="146">
        <f t="shared" si="308"/>
        <v>0</v>
      </c>
      <c r="BH168" s="147">
        <f t="shared" si="309"/>
        <v>0</v>
      </c>
      <c r="BI168" s="154" t="e">
        <f t="shared" si="310"/>
        <v>#NUM!</v>
      </c>
      <c r="BJ168" s="277" t="e">
        <f t="shared" si="245"/>
        <v>#NUM!</v>
      </c>
      <c r="BK168" s="147" t="e">
        <f t="shared" si="246"/>
        <v>#NUM!</v>
      </c>
      <c r="BL168" s="132" t="e">
        <f t="shared" si="247"/>
        <v>#NUM!</v>
      </c>
      <c r="BN168" s="497">
        <f t="shared" si="311"/>
        <v>162</v>
      </c>
      <c r="BO168" s="497">
        <f t="shared" si="312"/>
        <v>4931</v>
      </c>
      <c r="BP168">
        <f t="shared" si="313"/>
        <v>0</v>
      </c>
      <c r="BQ168">
        <f t="shared" si="314"/>
        <v>0</v>
      </c>
      <c r="BR168" s="499" t="e">
        <f t="shared" si="315"/>
        <v>#NUM!</v>
      </c>
      <c r="BS168" s="277" t="e">
        <f t="shared" si="248"/>
        <v>#NUM!</v>
      </c>
      <c r="BT168" s="5" t="e">
        <f t="shared" si="249"/>
        <v>#NUM!</v>
      </c>
      <c r="BU168" s="5" t="e">
        <f t="shared" si="250"/>
        <v>#NUM!</v>
      </c>
      <c r="BW168" s="5"/>
      <c r="BX168" s="5"/>
      <c r="BY168" s="5"/>
      <c r="BZ168" s="5"/>
      <c r="CA168" s="130" t="e">
        <f t="shared" si="316"/>
        <v>#NUM!</v>
      </c>
      <c r="CB168" s="5"/>
      <c r="CC168" s="5" t="e">
        <f t="shared" si="251"/>
        <v>#NUM!</v>
      </c>
      <c r="CD168" s="5" t="e">
        <f t="shared" si="252"/>
        <v>#NUM!</v>
      </c>
      <c r="CE168" s="5"/>
      <c r="CI168" s="130">
        <f t="shared" si="317"/>
        <v>7.1221630800085887</v>
      </c>
      <c r="CJ168" s="130">
        <f t="shared" si="318"/>
        <v>7.1225175470221496</v>
      </c>
      <c r="CK168" s="296">
        <f t="shared" si="340"/>
        <v>8.1618840308403851</v>
      </c>
      <c r="CL168" s="130">
        <f t="shared" si="253"/>
        <v>8.1618840308403851</v>
      </c>
      <c r="CM168" s="5">
        <f t="shared" si="254"/>
        <v>0</v>
      </c>
      <c r="CN168" s="5">
        <f t="shared" si="319"/>
        <v>0</v>
      </c>
      <c r="DE168" s="130" t="e">
        <f t="shared" si="320"/>
        <v>#NUM!</v>
      </c>
      <c r="DF168" s="130" t="e">
        <f t="shared" si="321"/>
        <v>#NUM!</v>
      </c>
      <c r="DG168" s="130" t="e">
        <f t="shared" si="341"/>
        <v>#NUM!</v>
      </c>
      <c r="DH168" s="130" t="e">
        <f t="shared" si="322"/>
        <v>#NUM!</v>
      </c>
      <c r="DJ168" s="130" t="e">
        <f t="shared" si="323"/>
        <v>#NUM!</v>
      </c>
      <c r="DK168" s="130" t="e">
        <f t="shared" si="214"/>
        <v>#NUM!</v>
      </c>
      <c r="DL168" s="130" t="e">
        <f t="shared" si="255"/>
        <v>#NUM!</v>
      </c>
      <c r="DO168" s="130" t="e">
        <f t="shared" si="324"/>
        <v>#NUM!</v>
      </c>
      <c r="DP168" s="130" t="e">
        <f t="shared" si="216"/>
        <v>#NUM!</v>
      </c>
      <c r="DQ168" s="130" t="e">
        <f t="shared" si="256"/>
        <v>#NUM!</v>
      </c>
    </row>
    <row r="169" spans="2:121" hidden="1">
      <c r="B169" s="231">
        <v>163</v>
      </c>
      <c r="C169" s="280"/>
      <c r="D169" s="475"/>
      <c r="E169" s="318">
        <f t="shared" si="325"/>
        <v>45305</v>
      </c>
      <c r="F169" s="542">
        <f t="shared" si="302"/>
        <v>0</v>
      </c>
      <c r="G169" s="239"/>
      <c r="H169" s="685">
        <f t="shared" si="326"/>
        <v>0</v>
      </c>
      <c r="I169" s="234"/>
      <c r="J169" s="597">
        <f t="shared" si="327"/>
        <v>0</v>
      </c>
      <c r="K169" s="478">
        <f t="shared" si="328"/>
        <v>0</v>
      </c>
      <c r="L169" s="234"/>
      <c r="M169" s="235">
        <f t="shared" si="329"/>
        <v>0</v>
      </c>
      <c r="N169" s="479">
        <f t="shared" si="330"/>
        <v>0</v>
      </c>
      <c r="O169" s="234"/>
      <c r="P169" s="235">
        <f t="shared" si="331"/>
        <v>0</v>
      </c>
      <c r="Q169" s="651">
        <f t="shared" si="332"/>
        <v>0</v>
      </c>
      <c r="R169" s="479">
        <f>IF(J169&gt;0,IF(OR(ManualMode=FALSE,ISBLANK(S169)),'Pricing - Advanced'!$F$16*J169+'Pricing - Advanced'!$F$17,"N/A"),0)</f>
        <v>0</v>
      </c>
      <c r="S169" s="234"/>
      <c r="T169" s="235">
        <f t="shared" si="333"/>
        <v>0</v>
      </c>
      <c r="U169" s="599">
        <f>IF(OR(ManualMode=FALSE,ISBLANK(V169)),SUM(K169:L169)*'Pricing - Advanced'!$F$19+SUM(N169,O169)*'Pricing - Advanced'!$F$18,"N/A")</f>
        <v>0</v>
      </c>
      <c r="V169" s="234"/>
      <c r="W169" s="236">
        <f t="shared" si="334"/>
        <v>0</v>
      </c>
      <c r="X169" s="237">
        <f>'Pricing - Advanced'!$F$20*SUM(H169:I169)+IF(J169&gt;1,'Pricing - Advanced'!$F$21,0)</f>
        <v>0</v>
      </c>
      <c r="Y169" s="688">
        <f>IF(AND(FullTerm&gt;=B169,AB168&gt;0),AB168*'Pricing - Advanced'!$I$128,0)</f>
        <v>0</v>
      </c>
      <c r="Z169" s="233">
        <f t="shared" si="335"/>
        <v>0</v>
      </c>
      <c r="AA169" s="234"/>
      <c r="AB169" s="597">
        <f t="shared" si="336"/>
        <v>0</v>
      </c>
      <c r="AC169" s="236">
        <f t="shared" si="303"/>
        <v>0</v>
      </c>
      <c r="AF169" s="762" t="e">
        <f t="shared" si="337"/>
        <v>#N/A</v>
      </c>
      <c r="AG169" s="759" t="e">
        <f t="shared" si="304"/>
        <v>#N/A</v>
      </c>
      <c r="AH169" s="759">
        <f>IF(J169=0,0,J169-SUM($N$6:N169)-AB168)</f>
        <v>0</v>
      </c>
      <c r="AI169" s="759">
        <f t="shared" si="305"/>
        <v>0</v>
      </c>
      <c r="AJ169" s="760">
        <f t="shared" si="298"/>
        <v>3.0000000000000001E-3</v>
      </c>
      <c r="AK169" s="760">
        <f t="shared" si="299"/>
        <v>3.0000000000000001E-3</v>
      </c>
      <c r="AN169" s="1" t="b">
        <f t="shared" si="342"/>
        <v>1</v>
      </c>
      <c r="AQ169" s="15">
        <f>IF(J168&gt;1,IF(int_method=2,$AG$229*J168,$AG$229*'Pricing - Advanced'!$E$4),0)</f>
        <v>0</v>
      </c>
      <c r="AR169" s="5">
        <f t="shared" si="338"/>
        <v>0</v>
      </c>
      <c r="AS169" s="204">
        <f t="shared" si="343"/>
        <v>45305</v>
      </c>
      <c r="AT169" s="1">
        <f>IF($AT$4=FALSE,B169*'Pricing - Advanced'!$K$5,AT168+E169-E168)</f>
        <v>4962</v>
      </c>
      <c r="AW169">
        <f t="shared" si="241"/>
        <v>0</v>
      </c>
      <c r="AX169">
        <f t="shared" si="306"/>
        <v>0</v>
      </c>
      <c r="AY169">
        <f t="shared" si="242"/>
        <v>0</v>
      </c>
      <c r="AZ169">
        <f t="shared" si="243"/>
        <v>0</v>
      </c>
      <c r="BA169" s="603">
        <f t="shared" si="293"/>
        <v>0</v>
      </c>
      <c r="BB169" s="603">
        <f t="shared" si="294"/>
        <v>0</v>
      </c>
      <c r="BC169" s="5">
        <f t="shared" si="244"/>
        <v>0</v>
      </c>
      <c r="BE169" s="157">
        <f t="shared" si="307"/>
        <v>163</v>
      </c>
      <c r="BF169" s="489">
        <f t="shared" si="339"/>
        <v>4962</v>
      </c>
      <c r="BG169" s="146">
        <f t="shared" si="308"/>
        <v>0</v>
      </c>
      <c r="BH169" s="147">
        <f t="shared" si="309"/>
        <v>0</v>
      </c>
      <c r="BI169" s="154" t="e">
        <f t="shared" si="310"/>
        <v>#NUM!</v>
      </c>
      <c r="BJ169" s="277" t="e">
        <f t="shared" si="245"/>
        <v>#NUM!</v>
      </c>
      <c r="BK169" s="147" t="e">
        <f t="shared" si="246"/>
        <v>#NUM!</v>
      </c>
      <c r="BL169" s="132" t="e">
        <f t="shared" si="247"/>
        <v>#NUM!</v>
      </c>
      <c r="BN169" s="497">
        <f t="shared" si="311"/>
        <v>163</v>
      </c>
      <c r="BO169" s="497">
        <f t="shared" si="312"/>
        <v>4962</v>
      </c>
      <c r="BP169">
        <f t="shared" si="313"/>
        <v>0</v>
      </c>
      <c r="BQ169">
        <f t="shared" si="314"/>
        <v>0</v>
      </c>
      <c r="BR169" s="499" t="e">
        <f t="shared" si="315"/>
        <v>#NUM!</v>
      </c>
      <c r="BS169" s="277" t="e">
        <f t="shared" si="248"/>
        <v>#NUM!</v>
      </c>
      <c r="BT169" s="5" t="e">
        <f t="shared" si="249"/>
        <v>#NUM!</v>
      </c>
      <c r="BU169" s="5" t="e">
        <f t="shared" si="250"/>
        <v>#NUM!</v>
      </c>
      <c r="BW169" s="5"/>
      <c r="BX169" s="5"/>
      <c r="BY169" s="5"/>
      <c r="BZ169" s="5"/>
      <c r="CA169" s="130" t="e">
        <f t="shared" si="316"/>
        <v>#NUM!</v>
      </c>
      <c r="CB169" s="5"/>
      <c r="CC169" s="5" t="e">
        <f t="shared" si="251"/>
        <v>#NUM!</v>
      </c>
      <c r="CD169" s="5" t="e">
        <f t="shared" si="252"/>
        <v>#NUM!</v>
      </c>
      <c r="CE169" s="5"/>
      <c r="CI169" s="130">
        <f t="shared" si="317"/>
        <v>7.2089987502021122</v>
      </c>
      <c r="CJ169" s="130">
        <f t="shared" si="318"/>
        <v>7.2109723095251272</v>
      </c>
      <c r="CK169" s="296">
        <f t="shared" si="340"/>
        <v>8.2683481648456922</v>
      </c>
      <c r="CL169" s="130">
        <f t="shared" si="253"/>
        <v>8.2683481648456922</v>
      </c>
      <c r="CM169" s="5">
        <f t="shared" si="254"/>
        <v>0</v>
      </c>
      <c r="CN169" s="5">
        <f t="shared" si="319"/>
        <v>0</v>
      </c>
      <c r="DE169" s="130" t="e">
        <f t="shared" si="320"/>
        <v>#NUM!</v>
      </c>
      <c r="DF169" s="130" t="e">
        <f t="shared" si="321"/>
        <v>#NUM!</v>
      </c>
      <c r="DG169" s="130" t="e">
        <f t="shared" si="341"/>
        <v>#NUM!</v>
      </c>
      <c r="DH169" s="130" t="e">
        <f t="shared" si="322"/>
        <v>#NUM!</v>
      </c>
      <c r="DJ169" s="130" t="e">
        <f t="shared" si="323"/>
        <v>#NUM!</v>
      </c>
      <c r="DK169" s="130" t="e">
        <f t="shared" si="214"/>
        <v>#NUM!</v>
      </c>
      <c r="DL169" s="130" t="e">
        <f t="shared" si="255"/>
        <v>#NUM!</v>
      </c>
      <c r="DO169" s="130" t="e">
        <f t="shared" si="324"/>
        <v>#NUM!</v>
      </c>
      <c r="DP169" s="130" t="e">
        <f t="shared" si="216"/>
        <v>#NUM!</v>
      </c>
      <c r="DQ169" s="130" t="e">
        <f t="shared" si="256"/>
        <v>#NUM!</v>
      </c>
    </row>
    <row r="170" spans="2:121" hidden="1">
      <c r="B170" s="231">
        <v>164</v>
      </c>
      <c r="C170" s="280"/>
      <c r="D170" s="475"/>
      <c r="E170" s="318">
        <f t="shared" si="325"/>
        <v>45336</v>
      </c>
      <c r="F170" s="542">
        <f t="shared" si="302"/>
        <v>0</v>
      </c>
      <c r="G170" s="239"/>
      <c r="H170" s="685">
        <f t="shared" si="326"/>
        <v>0</v>
      </c>
      <c r="I170" s="234"/>
      <c r="J170" s="597">
        <f t="shared" si="327"/>
        <v>0</v>
      </c>
      <c r="K170" s="478">
        <f t="shared" si="328"/>
        <v>0</v>
      </c>
      <c r="L170" s="234"/>
      <c r="M170" s="235">
        <f t="shared" si="329"/>
        <v>0</v>
      </c>
      <c r="N170" s="479">
        <f t="shared" si="330"/>
        <v>0</v>
      </c>
      <c r="O170" s="234"/>
      <c r="P170" s="235">
        <f t="shared" si="331"/>
        <v>0</v>
      </c>
      <c r="Q170" s="651">
        <f t="shared" si="332"/>
        <v>0</v>
      </c>
      <c r="R170" s="479">
        <f>IF(J170&gt;0,IF(OR(ManualMode=FALSE,ISBLANK(S170)),'Pricing - Advanced'!$F$16*J170+'Pricing - Advanced'!$F$17,"N/A"),0)</f>
        <v>0</v>
      </c>
      <c r="S170" s="234"/>
      <c r="T170" s="235">
        <f t="shared" si="333"/>
        <v>0</v>
      </c>
      <c r="U170" s="599">
        <f>IF(OR(ManualMode=FALSE,ISBLANK(V170)),SUM(K170:L170)*'Pricing - Advanced'!$F$19+SUM(N170,O170)*'Pricing - Advanced'!$F$18,"N/A")</f>
        <v>0</v>
      </c>
      <c r="V170" s="234"/>
      <c r="W170" s="236">
        <f t="shared" si="334"/>
        <v>0</v>
      </c>
      <c r="X170" s="237">
        <f>'Pricing - Advanced'!$F$20*SUM(H170:I170)+IF(J170&gt;1,'Pricing - Advanced'!$F$21,0)</f>
        <v>0</v>
      </c>
      <c r="Y170" s="688">
        <f>IF(AND(FullTerm&gt;=B170,AB169&gt;0),AB169*'Pricing - Advanced'!$I$128,0)</f>
        <v>0</v>
      </c>
      <c r="Z170" s="233">
        <f t="shared" si="335"/>
        <v>0</v>
      </c>
      <c r="AA170" s="234"/>
      <c r="AB170" s="597">
        <f t="shared" si="336"/>
        <v>0</v>
      </c>
      <c r="AC170" s="236">
        <f t="shared" si="303"/>
        <v>0</v>
      </c>
      <c r="AF170" s="762" t="e">
        <f t="shared" si="337"/>
        <v>#N/A</v>
      </c>
      <c r="AG170" s="759" t="e">
        <f t="shared" si="304"/>
        <v>#N/A</v>
      </c>
      <c r="AH170" s="759">
        <f>IF(J170=0,0,J170-SUM($N$6:N170)-AB169)</f>
        <v>0</v>
      </c>
      <c r="AI170" s="759">
        <f t="shared" si="305"/>
        <v>0</v>
      </c>
      <c r="AJ170" s="760">
        <f t="shared" si="298"/>
        <v>3.0000000000000001E-3</v>
      </c>
      <c r="AK170" s="760">
        <f t="shared" si="299"/>
        <v>3.0000000000000001E-3</v>
      </c>
      <c r="AN170" s="1" t="b">
        <f t="shared" si="342"/>
        <v>1</v>
      </c>
      <c r="AQ170" s="15">
        <f>IF(J169&gt;1,IF(int_method=2,$AG$229*J169,$AG$229*'Pricing - Advanced'!$E$4),0)</f>
        <v>0</v>
      </c>
      <c r="AR170" s="5">
        <f t="shared" si="338"/>
        <v>0</v>
      </c>
      <c r="AS170" s="204">
        <f t="shared" si="343"/>
        <v>45336</v>
      </c>
      <c r="AT170" s="1">
        <f>IF($AT$4=FALSE,B170*'Pricing - Advanced'!$K$5,AT169+E170-E169)</f>
        <v>4993</v>
      </c>
      <c r="AW170">
        <f t="shared" si="241"/>
        <v>0</v>
      </c>
      <c r="AX170">
        <f t="shared" si="306"/>
        <v>0</v>
      </c>
      <c r="AY170">
        <f t="shared" si="242"/>
        <v>0</v>
      </c>
      <c r="AZ170">
        <f t="shared" si="243"/>
        <v>0</v>
      </c>
      <c r="BA170" s="603">
        <f t="shared" si="293"/>
        <v>0</v>
      </c>
      <c r="BB170" s="603">
        <f t="shared" si="294"/>
        <v>0</v>
      </c>
      <c r="BC170" s="5">
        <f t="shared" si="244"/>
        <v>0</v>
      </c>
      <c r="BE170" s="157">
        <f t="shared" si="307"/>
        <v>164</v>
      </c>
      <c r="BF170" s="489">
        <f t="shared" si="339"/>
        <v>4993</v>
      </c>
      <c r="BG170" s="146">
        <f t="shared" si="308"/>
        <v>0</v>
      </c>
      <c r="BH170" s="147">
        <f t="shared" si="309"/>
        <v>0</v>
      </c>
      <c r="BI170" s="154" t="e">
        <f t="shared" si="310"/>
        <v>#NUM!</v>
      </c>
      <c r="BJ170" s="277" t="e">
        <f t="shared" si="245"/>
        <v>#NUM!</v>
      </c>
      <c r="BK170" s="147" t="e">
        <f t="shared" si="246"/>
        <v>#NUM!</v>
      </c>
      <c r="BL170" s="132" t="e">
        <f t="shared" si="247"/>
        <v>#NUM!</v>
      </c>
      <c r="BN170" s="497">
        <f t="shared" si="311"/>
        <v>164</v>
      </c>
      <c r="BO170" s="497">
        <f t="shared" si="312"/>
        <v>4993</v>
      </c>
      <c r="BP170">
        <f t="shared" si="313"/>
        <v>0</v>
      </c>
      <c r="BQ170">
        <f t="shared" si="314"/>
        <v>0</v>
      </c>
      <c r="BR170" s="499" t="e">
        <f t="shared" si="315"/>
        <v>#NUM!</v>
      </c>
      <c r="BS170" s="277" t="e">
        <f t="shared" si="248"/>
        <v>#NUM!</v>
      </c>
      <c r="BT170" s="5" t="e">
        <f t="shared" si="249"/>
        <v>#NUM!</v>
      </c>
      <c r="BU170" s="5" t="e">
        <f t="shared" si="250"/>
        <v>#NUM!</v>
      </c>
      <c r="BW170" s="5"/>
      <c r="BX170" s="5"/>
      <c r="BY170" s="5"/>
      <c r="BZ170" s="5"/>
      <c r="CA170" s="130" t="e">
        <f t="shared" si="316"/>
        <v>#NUM!</v>
      </c>
      <c r="CB170" s="5"/>
      <c r="CC170" s="5" t="e">
        <f t="shared" si="251"/>
        <v>#NUM!</v>
      </c>
      <c r="CD170" s="5" t="e">
        <f t="shared" si="252"/>
        <v>#NUM!</v>
      </c>
      <c r="CE170" s="5"/>
      <c r="CI170" s="130">
        <f t="shared" si="317"/>
        <v>7.2968931484159345</v>
      </c>
      <c r="CJ170" s="130">
        <f t="shared" si="318"/>
        <v>7.3005255944196321</v>
      </c>
      <c r="CK170" s="296">
        <f t="shared" si="340"/>
        <v>8.3762010237810127</v>
      </c>
      <c r="CL170" s="130">
        <f t="shared" si="253"/>
        <v>8.3762010237810127</v>
      </c>
      <c r="CM170" s="5">
        <f t="shared" si="254"/>
        <v>0</v>
      </c>
      <c r="CN170" s="5">
        <f t="shared" si="319"/>
        <v>0</v>
      </c>
      <c r="DE170" s="130" t="e">
        <f t="shared" si="320"/>
        <v>#NUM!</v>
      </c>
      <c r="DF170" s="130" t="e">
        <f t="shared" si="321"/>
        <v>#NUM!</v>
      </c>
      <c r="DG170" s="130" t="e">
        <f t="shared" si="341"/>
        <v>#NUM!</v>
      </c>
      <c r="DH170" s="130" t="e">
        <f t="shared" si="322"/>
        <v>#NUM!</v>
      </c>
      <c r="DJ170" s="130" t="e">
        <f t="shared" si="323"/>
        <v>#NUM!</v>
      </c>
      <c r="DK170" s="130" t="e">
        <f t="shared" si="214"/>
        <v>#NUM!</v>
      </c>
      <c r="DL170" s="130" t="e">
        <f t="shared" si="255"/>
        <v>#NUM!</v>
      </c>
      <c r="DO170" s="130" t="e">
        <f t="shared" si="324"/>
        <v>#NUM!</v>
      </c>
      <c r="DP170" s="130" t="e">
        <f t="shared" si="216"/>
        <v>#NUM!</v>
      </c>
      <c r="DQ170" s="130" t="e">
        <f t="shared" si="256"/>
        <v>#NUM!</v>
      </c>
    </row>
    <row r="171" spans="2:121" hidden="1">
      <c r="B171" s="231">
        <v>165</v>
      </c>
      <c r="C171" s="280"/>
      <c r="D171" s="475"/>
      <c r="E171" s="318">
        <f t="shared" si="325"/>
        <v>45365</v>
      </c>
      <c r="F171" s="542">
        <f t="shared" si="302"/>
        <v>0</v>
      </c>
      <c r="G171" s="239"/>
      <c r="H171" s="685">
        <f t="shared" si="326"/>
        <v>0</v>
      </c>
      <c r="I171" s="234"/>
      <c r="J171" s="597">
        <f t="shared" si="327"/>
        <v>0</v>
      </c>
      <c r="K171" s="478">
        <f t="shared" si="328"/>
        <v>0</v>
      </c>
      <c r="L171" s="234"/>
      <c r="M171" s="235">
        <f t="shared" si="329"/>
        <v>0</v>
      </c>
      <c r="N171" s="479">
        <f t="shared" si="330"/>
        <v>0</v>
      </c>
      <c r="O171" s="234"/>
      <c r="P171" s="235">
        <f t="shared" si="331"/>
        <v>0</v>
      </c>
      <c r="Q171" s="651">
        <f t="shared" si="332"/>
        <v>0</v>
      </c>
      <c r="R171" s="479">
        <f>IF(J171&gt;0,IF(OR(ManualMode=FALSE,ISBLANK(S171)),'Pricing - Advanced'!$F$16*J171+'Pricing - Advanced'!$F$17,"N/A"),0)</f>
        <v>0</v>
      </c>
      <c r="S171" s="234"/>
      <c r="T171" s="235">
        <f t="shared" si="333"/>
        <v>0</v>
      </c>
      <c r="U171" s="599">
        <f>IF(OR(ManualMode=FALSE,ISBLANK(V171)),SUM(K171:L171)*'Pricing - Advanced'!$F$19+SUM(N171,O171)*'Pricing - Advanced'!$F$18,"N/A")</f>
        <v>0</v>
      </c>
      <c r="V171" s="234"/>
      <c r="W171" s="236">
        <f t="shared" si="334"/>
        <v>0</v>
      </c>
      <c r="X171" s="237">
        <f>'Pricing - Advanced'!$F$20*SUM(H171:I171)+IF(J171&gt;1,'Pricing - Advanced'!$F$21,0)</f>
        <v>0</v>
      </c>
      <c r="Y171" s="688">
        <f>IF(AND(FullTerm&gt;=B171,AB170&gt;0),AB170*'Pricing - Advanced'!$I$128,0)</f>
        <v>0</v>
      </c>
      <c r="Z171" s="233">
        <f t="shared" si="335"/>
        <v>0</v>
      </c>
      <c r="AA171" s="234"/>
      <c r="AB171" s="597">
        <f t="shared" si="336"/>
        <v>0</v>
      </c>
      <c r="AC171" s="236">
        <f t="shared" si="303"/>
        <v>0</v>
      </c>
      <c r="AF171" s="762" t="e">
        <f t="shared" si="337"/>
        <v>#N/A</v>
      </c>
      <c r="AG171" s="759" t="e">
        <f t="shared" si="304"/>
        <v>#N/A</v>
      </c>
      <c r="AH171" s="759">
        <f>IF(J171=0,0,J171-SUM($N$6:N171)-AB170)</f>
        <v>0</v>
      </c>
      <c r="AI171" s="759">
        <f t="shared" si="305"/>
        <v>0</v>
      </c>
      <c r="AJ171" s="760">
        <f t="shared" si="298"/>
        <v>3.0000000000000001E-3</v>
      </c>
      <c r="AK171" s="760">
        <f t="shared" si="299"/>
        <v>3.0000000000000001E-3</v>
      </c>
      <c r="AN171" s="1" t="b">
        <f t="shared" si="342"/>
        <v>1</v>
      </c>
      <c r="AQ171" s="15">
        <f>IF(J170&gt;1,IF(int_method=2,$AG$229*J170,$AG$229*'Pricing - Advanced'!$E$4),0)</f>
        <v>0</v>
      </c>
      <c r="AR171" s="5">
        <f t="shared" si="338"/>
        <v>0</v>
      </c>
      <c r="AS171" s="204">
        <f t="shared" si="343"/>
        <v>45365</v>
      </c>
      <c r="AT171" s="1">
        <f>IF($AT$4=FALSE,B171*'Pricing - Advanced'!$K$5,AT170+E171-E170)</f>
        <v>5022</v>
      </c>
      <c r="AW171">
        <f t="shared" si="241"/>
        <v>0</v>
      </c>
      <c r="AX171">
        <f t="shared" si="306"/>
        <v>0</v>
      </c>
      <c r="AY171">
        <f t="shared" si="242"/>
        <v>0</v>
      </c>
      <c r="AZ171">
        <f t="shared" si="243"/>
        <v>0</v>
      </c>
      <c r="BA171" s="603">
        <f t="shared" si="293"/>
        <v>0</v>
      </c>
      <c r="BB171" s="603">
        <f t="shared" si="294"/>
        <v>0</v>
      </c>
      <c r="BC171" s="5">
        <f t="shared" si="244"/>
        <v>0</v>
      </c>
      <c r="BE171" s="157">
        <f t="shared" si="307"/>
        <v>165</v>
      </c>
      <c r="BF171" s="489">
        <f t="shared" si="339"/>
        <v>5022</v>
      </c>
      <c r="BG171" s="146">
        <f t="shared" si="308"/>
        <v>0</v>
      </c>
      <c r="BH171" s="147">
        <f t="shared" si="309"/>
        <v>0</v>
      </c>
      <c r="BI171" s="154" t="e">
        <f t="shared" si="310"/>
        <v>#NUM!</v>
      </c>
      <c r="BJ171" s="277" t="e">
        <f t="shared" si="245"/>
        <v>#NUM!</v>
      </c>
      <c r="BK171" s="147" t="e">
        <f t="shared" si="246"/>
        <v>#NUM!</v>
      </c>
      <c r="BL171" s="132" t="e">
        <f t="shared" si="247"/>
        <v>#NUM!</v>
      </c>
      <c r="BN171" s="497">
        <f t="shared" si="311"/>
        <v>165</v>
      </c>
      <c r="BO171" s="497">
        <f t="shared" si="312"/>
        <v>5022</v>
      </c>
      <c r="BP171">
        <f t="shared" si="313"/>
        <v>0</v>
      </c>
      <c r="BQ171">
        <f t="shared" si="314"/>
        <v>0</v>
      </c>
      <c r="BR171" s="499" t="e">
        <f t="shared" si="315"/>
        <v>#NUM!</v>
      </c>
      <c r="BS171" s="277" t="e">
        <f t="shared" si="248"/>
        <v>#NUM!</v>
      </c>
      <c r="BT171" s="5" t="e">
        <f t="shared" si="249"/>
        <v>#NUM!</v>
      </c>
      <c r="BU171" s="5" t="e">
        <f t="shared" si="250"/>
        <v>#NUM!</v>
      </c>
      <c r="BW171" s="5"/>
      <c r="BX171" s="5"/>
      <c r="BY171" s="5"/>
      <c r="BZ171" s="5"/>
      <c r="CA171" s="130" t="e">
        <f t="shared" si="316"/>
        <v>#NUM!</v>
      </c>
      <c r="CB171" s="5"/>
      <c r="CC171" s="5" t="e">
        <f t="shared" si="251"/>
        <v>#NUM!</v>
      </c>
      <c r="CD171" s="5" t="e">
        <f t="shared" si="252"/>
        <v>#NUM!</v>
      </c>
      <c r="CE171" s="5"/>
      <c r="CI171" s="130">
        <f t="shared" si="317"/>
        <v>7.3858591829977316</v>
      </c>
      <c r="CJ171" s="130">
        <f t="shared" si="318"/>
        <v>7.385307830714666</v>
      </c>
      <c r="CK171" s="296">
        <f t="shared" si="340"/>
        <v>8.4854607222625891</v>
      </c>
      <c r="CL171" s="130">
        <f t="shared" si="253"/>
        <v>8.4854607222625891</v>
      </c>
      <c r="CM171" s="5">
        <f t="shared" si="254"/>
        <v>0</v>
      </c>
      <c r="CN171" s="5">
        <f t="shared" si="319"/>
        <v>0</v>
      </c>
      <c r="DE171" s="130" t="e">
        <f t="shared" si="320"/>
        <v>#NUM!</v>
      </c>
      <c r="DF171" s="130" t="e">
        <f t="shared" si="321"/>
        <v>#NUM!</v>
      </c>
      <c r="DG171" s="130" t="e">
        <f t="shared" si="341"/>
        <v>#NUM!</v>
      </c>
      <c r="DH171" s="130" t="e">
        <f t="shared" si="322"/>
        <v>#NUM!</v>
      </c>
      <c r="DJ171" s="130" t="e">
        <f t="shared" si="323"/>
        <v>#NUM!</v>
      </c>
      <c r="DK171" s="130" t="e">
        <f t="shared" si="214"/>
        <v>#NUM!</v>
      </c>
      <c r="DL171" s="130" t="e">
        <f t="shared" si="255"/>
        <v>#NUM!</v>
      </c>
      <c r="DO171" s="130" t="e">
        <f t="shared" si="324"/>
        <v>#NUM!</v>
      </c>
      <c r="DP171" s="130" t="e">
        <f t="shared" si="216"/>
        <v>#NUM!</v>
      </c>
      <c r="DQ171" s="130" t="e">
        <f t="shared" si="256"/>
        <v>#NUM!</v>
      </c>
    </row>
    <row r="172" spans="2:121" hidden="1">
      <c r="B172" s="231">
        <v>166</v>
      </c>
      <c r="C172" s="280"/>
      <c r="D172" s="475"/>
      <c r="E172" s="318">
        <f t="shared" si="325"/>
        <v>45396</v>
      </c>
      <c r="F172" s="542">
        <f t="shared" si="302"/>
        <v>0</v>
      </c>
      <c r="G172" s="239"/>
      <c r="H172" s="685">
        <f t="shared" si="326"/>
        <v>0</v>
      </c>
      <c r="I172" s="234"/>
      <c r="J172" s="597">
        <f t="shared" si="327"/>
        <v>0</v>
      </c>
      <c r="K172" s="478">
        <f t="shared" si="328"/>
        <v>0</v>
      </c>
      <c r="L172" s="234"/>
      <c r="M172" s="235">
        <f t="shared" si="329"/>
        <v>0</v>
      </c>
      <c r="N172" s="479">
        <f t="shared" si="330"/>
        <v>0</v>
      </c>
      <c r="O172" s="234"/>
      <c r="P172" s="235">
        <f t="shared" si="331"/>
        <v>0</v>
      </c>
      <c r="Q172" s="651">
        <f t="shared" si="332"/>
        <v>0</v>
      </c>
      <c r="R172" s="479">
        <f>IF(J172&gt;0,IF(OR(ManualMode=FALSE,ISBLANK(S172)),'Pricing - Advanced'!$F$16*J172+'Pricing - Advanced'!$F$17,"N/A"),0)</f>
        <v>0</v>
      </c>
      <c r="S172" s="234"/>
      <c r="T172" s="235">
        <f t="shared" si="333"/>
        <v>0</v>
      </c>
      <c r="U172" s="599">
        <f>IF(OR(ManualMode=FALSE,ISBLANK(V172)),SUM(K172:L172)*'Pricing - Advanced'!$F$19+SUM(N172,O172)*'Pricing - Advanced'!$F$18,"N/A")</f>
        <v>0</v>
      </c>
      <c r="V172" s="234"/>
      <c r="W172" s="236">
        <f t="shared" si="334"/>
        <v>0</v>
      </c>
      <c r="X172" s="237">
        <f>'Pricing - Advanced'!$F$20*SUM(H172:I172)+IF(J172&gt;1,'Pricing - Advanced'!$F$21,0)</f>
        <v>0</v>
      </c>
      <c r="Y172" s="688">
        <f>IF(AND(FullTerm&gt;=B172,AB171&gt;0),AB171*'Pricing - Advanced'!$I$128,0)</f>
        <v>0</v>
      </c>
      <c r="Z172" s="233">
        <f t="shared" si="335"/>
        <v>0</v>
      </c>
      <c r="AA172" s="234"/>
      <c r="AB172" s="597">
        <f t="shared" si="336"/>
        <v>0</v>
      </c>
      <c r="AC172" s="236">
        <f t="shared" si="303"/>
        <v>0</v>
      </c>
      <c r="AF172" s="762" t="e">
        <f t="shared" si="337"/>
        <v>#N/A</v>
      </c>
      <c r="AG172" s="759" t="e">
        <f t="shared" si="304"/>
        <v>#N/A</v>
      </c>
      <c r="AH172" s="759">
        <f>IF(J172=0,0,J172-SUM($N$6:N172)-AB171)</f>
        <v>0</v>
      </c>
      <c r="AI172" s="759">
        <f t="shared" si="305"/>
        <v>0</v>
      </c>
      <c r="AJ172" s="760">
        <f t="shared" si="298"/>
        <v>3.0000000000000001E-3</v>
      </c>
      <c r="AK172" s="760">
        <f t="shared" si="299"/>
        <v>3.0000000000000001E-3</v>
      </c>
      <c r="AN172" s="1" t="b">
        <f t="shared" si="342"/>
        <v>1</v>
      </c>
      <c r="AQ172" s="15">
        <f>IF(J171&gt;1,IF(int_method=2,$AG$229*J171,$AG$229*'Pricing - Advanced'!$E$4),0)</f>
        <v>0</v>
      </c>
      <c r="AR172" s="5">
        <f t="shared" si="338"/>
        <v>0</v>
      </c>
      <c r="AS172" s="204">
        <f t="shared" si="343"/>
        <v>45396</v>
      </c>
      <c r="AT172" s="1">
        <f>IF($AT$4=FALSE,B172*'Pricing - Advanced'!$K$5,AT171+E172-E171)</f>
        <v>5053</v>
      </c>
      <c r="AW172">
        <f t="shared" si="241"/>
        <v>0</v>
      </c>
      <c r="AX172">
        <f t="shared" si="306"/>
        <v>0</v>
      </c>
      <c r="AY172">
        <f t="shared" si="242"/>
        <v>0</v>
      </c>
      <c r="AZ172">
        <f t="shared" si="243"/>
        <v>0</v>
      </c>
      <c r="BA172" s="603">
        <f t="shared" si="293"/>
        <v>0</v>
      </c>
      <c r="BB172" s="603">
        <f t="shared" si="294"/>
        <v>0</v>
      </c>
      <c r="BC172" s="5">
        <f t="shared" si="244"/>
        <v>0</v>
      </c>
      <c r="BE172" s="157">
        <f t="shared" si="307"/>
        <v>166</v>
      </c>
      <c r="BF172" s="489">
        <f t="shared" si="339"/>
        <v>5053</v>
      </c>
      <c r="BG172" s="146">
        <f t="shared" si="308"/>
        <v>0</v>
      </c>
      <c r="BH172" s="147">
        <f t="shared" si="309"/>
        <v>0</v>
      </c>
      <c r="BI172" s="154" t="e">
        <f t="shared" si="310"/>
        <v>#NUM!</v>
      </c>
      <c r="BJ172" s="277" t="e">
        <f t="shared" si="245"/>
        <v>#NUM!</v>
      </c>
      <c r="BK172" s="147" t="e">
        <f t="shared" si="246"/>
        <v>#NUM!</v>
      </c>
      <c r="BL172" s="132" t="e">
        <f t="shared" si="247"/>
        <v>#NUM!</v>
      </c>
      <c r="BN172" s="497">
        <f t="shared" si="311"/>
        <v>166</v>
      </c>
      <c r="BO172" s="497">
        <f t="shared" si="312"/>
        <v>5053</v>
      </c>
      <c r="BP172">
        <f t="shared" si="313"/>
        <v>0</v>
      </c>
      <c r="BQ172">
        <f t="shared" si="314"/>
        <v>0</v>
      </c>
      <c r="BR172" s="499" t="e">
        <f t="shared" si="315"/>
        <v>#NUM!</v>
      </c>
      <c r="BS172" s="277" t="e">
        <f t="shared" si="248"/>
        <v>#NUM!</v>
      </c>
      <c r="BT172" s="5" t="e">
        <f t="shared" si="249"/>
        <v>#NUM!</v>
      </c>
      <c r="BU172" s="5" t="e">
        <f t="shared" si="250"/>
        <v>#NUM!</v>
      </c>
      <c r="BW172" s="5"/>
      <c r="BX172" s="5"/>
      <c r="BY172" s="5"/>
      <c r="BZ172" s="5"/>
      <c r="CA172" s="130" t="e">
        <f t="shared" si="316"/>
        <v>#NUM!</v>
      </c>
      <c r="CB172" s="5"/>
      <c r="CC172" s="5" t="e">
        <f t="shared" si="251"/>
        <v>#NUM!</v>
      </c>
      <c r="CD172" s="5" t="e">
        <f t="shared" si="252"/>
        <v>#NUM!</v>
      </c>
      <c r="CE172" s="5"/>
      <c r="CI172" s="130">
        <f t="shared" si="317"/>
        <v>7.4759099196778331</v>
      </c>
      <c r="CJ172" s="130">
        <f t="shared" si="318"/>
        <v>7.4770261937603788</v>
      </c>
      <c r="CK172" s="296">
        <f t="shared" si="340"/>
        <v>8.5961456111948724</v>
      </c>
      <c r="CL172" s="130">
        <f t="shared" si="253"/>
        <v>8.5961456111948724</v>
      </c>
      <c r="CM172" s="5">
        <f t="shared" si="254"/>
        <v>0</v>
      </c>
      <c r="CN172" s="5">
        <f t="shared" si="319"/>
        <v>0</v>
      </c>
      <c r="DE172" s="130" t="e">
        <f t="shared" si="320"/>
        <v>#NUM!</v>
      </c>
      <c r="DF172" s="130" t="e">
        <f t="shared" si="321"/>
        <v>#NUM!</v>
      </c>
      <c r="DG172" s="130" t="e">
        <f t="shared" si="341"/>
        <v>#NUM!</v>
      </c>
      <c r="DH172" s="130" t="e">
        <f t="shared" si="322"/>
        <v>#NUM!</v>
      </c>
      <c r="DJ172" s="130" t="e">
        <f t="shared" si="323"/>
        <v>#NUM!</v>
      </c>
      <c r="DK172" s="130" t="e">
        <f t="shared" si="214"/>
        <v>#NUM!</v>
      </c>
      <c r="DL172" s="130" t="e">
        <f t="shared" si="255"/>
        <v>#NUM!</v>
      </c>
      <c r="DO172" s="130" t="e">
        <f t="shared" si="324"/>
        <v>#NUM!</v>
      </c>
      <c r="DP172" s="130" t="e">
        <f t="shared" si="216"/>
        <v>#NUM!</v>
      </c>
      <c r="DQ172" s="130" t="e">
        <f t="shared" si="256"/>
        <v>#NUM!</v>
      </c>
    </row>
    <row r="173" spans="2:121" hidden="1">
      <c r="B173" s="231">
        <v>167</v>
      </c>
      <c r="C173" s="280"/>
      <c r="D173" s="475"/>
      <c r="E173" s="318">
        <f t="shared" si="325"/>
        <v>45426</v>
      </c>
      <c r="F173" s="542">
        <f t="shared" si="302"/>
        <v>0</v>
      </c>
      <c r="G173" s="239"/>
      <c r="H173" s="685">
        <f t="shared" si="326"/>
        <v>0</v>
      </c>
      <c r="I173" s="234"/>
      <c r="J173" s="597">
        <f t="shared" si="327"/>
        <v>0</v>
      </c>
      <c r="K173" s="478">
        <f t="shared" si="328"/>
        <v>0</v>
      </c>
      <c r="L173" s="234"/>
      <c r="M173" s="235">
        <f t="shared" si="329"/>
        <v>0</v>
      </c>
      <c r="N173" s="479">
        <f t="shared" si="330"/>
        <v>0</v>
      </c>
      <c r="O173" s="234"/>
      <c r="P173" s="235">
        <f t="shared" si="331"/>
        <v>0</v>
      </c>
      <c r="Q173" s="651">
        <f t="shared" si="332"/>
        <v>0</v>
      </c>
      <c r="R173" s="479">
        <f>IF(J173&gt;0,IF(OR(ManualMode=FALSE,ISBLANK(S173)),'Pricing - Advanced'!$F$16*J173+'Pricing - Advanced'!$F$17,"N/A"),0)</f>
        <v>0</v>
      </c>
      <c r="S173" s="234"/>
      <c r="T173" s="235">
        <f t="shared" si="333"/>
        <v>0</v>
      </c>
      <c r="U173" s="599">
        <f>IF(OR(ManualMode=FALSE,ISBLANK(V173)),SUM(K173:L173)*'Pricing - Advanced'!$F$19+SUM(N173,O173)*'Pricing - Advanced'!$F$18,"N/A")</f>
        <v>0</v>
      </c>
      <c r="V173" s="234"/>
      <c r="W173" s="236">
        <f t="shared" si="334"/>
        <v>0</v>
      </c>
      <c r="X173" s="237">
        <f>'Pricing - Advanced'!$F$20*SUM(H173:I173)+IF(J173&gt;1,'Pricing - Advanced'!$F$21,0)</f>
        <v>0</v>
      </c>
      <c r="Y173" s="688">
        <f>IF(AND(FullTerm&gt;=B173,AB172&gt;0),AB172*'Pricing - Advanced'!$I$128,0)</f>
        <v>0</v>
      </c>
      <c r="Z173" s="233">
        <f t="shared" si="335"/>
        <v>0</v>
      </c>
      <c r="AA173" s="234"/>
      <c r="AB173" s="597">
        <f t="shared" si="336"/>
        <v>0</v>
      </c>
      <c r="AC173" s="236">
        <f t="shared" si="303"/>
        <v>0</v>
      </c>
      <c r="AF173" s="762" t="e">
        <f t="shared" si="337"/>
        <v>#N/A</v>
      </c>
      <c r="AG173" s="759" t="e">
        <f t="shared" si="304"/>
        <v>#N/A</v>
      </c>
      <c r="AH173" s="759">
        <f>IF(J173=0,0,J173-SUM($N$6:N173)-AB172)</f>
        <v>0</v>
      </c>
      <c r="AI173" s="759">
        <f t="shared" si="305"/>
        <v>0</v>
      </c>
      <c r="AJ173" s="760">
        <f t="shared" si="298"/>
        <v>3.0000000000000001E-3</v>
      </c>
      <c r="AK173" s="760">
        <f t="shared" si="299"/>
        <v>3.0000000000000001E-3</v>
      </c>
      <c r="AN173" s="1" t="b">
        <f t="shared" si="342"/>
        <v>1</v>
      </c>
      <c r="AQ173" s="15">
        <f>IF(J172&gt;1,IF(int_method=2,$AG$229*J172,$AG$229*'Pricing - Advanced'!$E$4),0)</f>
        <v>0</v>
      </c>
      <c r="AR173" s="5">
        <f t="shared" si="338"/>
        <v>0</v>
      </c>
      <c r="AS173" s="204">
        <f t="shared" si="343"/>
        <v>45426</v>
      </c>
      <c r="AT173" s="1">
        <f>IF($AT$4=FALSE,B173*'Pricing - Advanced'!$K$5,AT172+E173-E172)</f>
        <v>5083</v>
      </c>
      <c r="AW173">
        <f t="shared" si="241"/>
        <v>0</v>
      </c>
      <c r="AX173">
        <f t="shared" si="306"/>
        <v>0</v>
      </c>
      <c r="AY173">
        <f t="shared" si="242"/>
        <v>0</v>
      </c>
      <c r="AZ173">
        <f t="shared" si="243"/>
        <v>0</v>
      </c>
      <c r="BA173" s="603">
        <f t="shared" si="293"/>
        <v>0</v>
      </c>
      <c r="BB173" s="603">
        <f t="shared" si="294"/>
        <v>0</v>
      </c>
      <c r="BC173" s="5">
        <f t="shared" si="244"/>
        <v>0</v>
      </c>
      <c r="BE173" s="157">
        <f t="shared" si="307"/>
        <v>167</v>
      </c>
      <c r="BF173" s="489">
        <f t="shared" si="339"/>
        <v>5083</v>
      </c>
      <c r="BG173" s="146">
        <f t="shared" si="308"/>
        <v>0</v>
      </c>
      <c r="BH173" s="147">
        <f t="shared" si="309"/>
        <v>0</v>
      </c>
      <c r="BI173" s="154" t="e">
        <f t="shared" si="310"/>
        <v>#NUM!</v>
      </c>
      <c r="BJ173" s="277" t="e">
        <f t="shared" si="245"/>
        <v>#NUM!</v>
      </c>
      <c r="BK173" s="147" t="e">
        <f t="shared" si="246"/>
        <v>#NUM!</v>
      </c>
      <c r="BL173" s="132" t="e">
        <f t="shared" si="247"/>
        <v>#NUM!</v>
      </c>
      <c r="BN173" s="497">
        <f t="shared" si="311"/>
        <v>167</v>
      </c>
      <c r="BO173" s="497">
        <f t="shared" si="312"/>
        <v>5083</v>
      </c>
      <c r="BP173">
        <f t="shared" si="313"/>
        <v>0</v>
      </c>
      <c r="BQ173">
        <f t="shared" si="314"/>
        <v>0</v>
      </c>
      <c r="BR173" s="499" t="e">
        <f t="shared" si="315"/>
        <v>#NUM!</v>
      </c>
      <c r="BS173" s="277" t="e">
        <f t="shared" si="248"/>
        <v>#NUM!</v>
      </c>
      <c r="BT173" s="5" t="e">
        <f t="shared" si="249"/>
        <v>#NUM!</v>
      </c>
      <c r="BU173" s="5" t="e">
        <f t="shared" si="250"/>
        <v>#NUM!</v>
      </c>
      <c r="BW173" s="5"/>
      <c r="BX173" s="5"/>
      <c r="BY173" s="5"/>
      <c r="BZ173" s="5"/>
      <c r="CA173" s="130" t="e">
        <f t="shared" si="316"/>
        <v>#NUM!</v>
      </c>
      <c r="CB173" s="5"/>
      <c r="CC173" s="5" t="e">
        <f t="shared" si="251"/>
        <v>#NUM!</v>
      </c>
      <c r="CD173" s="5" t="e">
        <f t="shared" si="252"/>
        <v>#NUM!</v>
      </c>
      <c r="CE173" s="5"/>
      <c r="CI173" s="130">
        <f t="shared" si="317"/>
        <v>7.5670585834881052</v>
      </c>
      <c r="CJ173" s="130">
        <f t="shared" si="318"/>
        <v>7.5668702858803485</v>
      </c>
      <c r="CK173" s="296">
        <f t="shared" si="340"/>
        <v>8.7082742808526739</v>
      </c>
      <c r="CL173" s="130">
        <f t="shared" si="253"/>
        <v>8.7082742808526739</v>
      </c>
      <c r="CM173" s="5">
        <f t="shared" si="254"/>
        <v>0</v>
      </c>
      <c r="CN173" s="5">
        <f t="shared" si="319"/>
        <v>0</v>
      </c>
      <c r="DE173" s="130" t="e">
        <f t="shared" si="320"/>
        <v>#NUM!</v>
      </c>
      <c r="DF173" s="130" t="e">
        <f t="shared" si="321"/>
        <v>#NUM!</v>
      </c>
      <c r="DG173" s="130" t="e">
        <f t="shared" si="341"/>
        <v>#NUM!</v>
      </c>
      <c r="DH173" s="130" t="e">
        <f t="shared" si="322"/>
        <v>#NUM!</v>
      </c>
      <c r="DJ173" s="130" t="e">
        <f t="shared" si="323"/>
        <v>#NUM!</v>
      </c>
      <c r="DK173" s="130" t="e">
        <f t="shared" si="214"/>
        <v>#NUM!</v>
      </c>
      <c r="DL173" s="130" t="e">
        <f t="shared" si="255"/>
        <v>#NUM!</v>
      </c>
      <c r="DO173" s="130" t="e">
        <f t="shared" si="324"/>
        <v>#NUM!</v>
      </c>
      <c r="DP173" s="130" t="e">
        <f t="shared" si="216"/>
        <v>#NUM!</v>
      </c>
      <c r="DQ173" s="130" t="e">
        <f t="shared" si="256"/>
        <v>#NUM!</v>
      </c>
    </row>
    <row r="174" spans="2:121" hidden="1">
      <c r="B174" s="231">
        <v>168</v>
      </c>
      <c r="C174" s="280"/>
      <c r="D174" s="475"/>
      <c r="E174" s="318">
        <f t="shared" si="325"/>
        <v>45457</v>
      </c>
      <c r="F174" s="542">
        <f t="shared" si="302"/>
        <v>0</v>
      </c>
      <c r="G174" s="239"/>
      <c r="H174" s="685">
        <f t="shared" si="326"/>
        <v>0</v>
      </c>
      <c r="I174" s="234"/>
      <c r="J174" s="597">
        <f t="shared" si="327"/>
        <v>0</v>
      </c>
      <c r="K174" s="478">
        <f t="shared" si="328"/>
        <v>0</v>
      </c>
      <c r="L174" s="234"/>
      <c r="M174" s="235">
        <f t="shared" si="329"/>
        <v>0</v>
      </c>
      <c r="N174" s="479">
        <f t="shared" si="330"/>
        <v>0</v>
      </c>
      <c r="O174" s="234"/>
      <c r="P174" s="235">
        <f t="shared" si="331"/>
        <v>0</v>
      </c>
      <c r="Q174" s="651">
        <f t="shared" si="332"/>
        <v>0</v>
      </c>
      <c r="R174" s="479">
        <f>IF(J174&gt;0,IF(OR(ManualMode=FALSE,ISBLANK(S174)),'Pricing - Advanced'!$F$16*J174+'Pricing - Advanced'!$F$17,"N/A"),0)</f>
        <v>0</v>
      </c>
      <c r="S174" s="234"/>
      <c r="T174" s="235">
        <f t="shared" si="333"/>
        <v>0</v>
      </c>
      <c r="U174" s="599">
        <f>IF(OR(ManualMode=FALSE,ISBLANK(V174)),SUM(K174:L174)*'Pricing - Advanced'!$F$19+SUM(N174,O174)*'Pricing - Advanced'!$F$18,"N/A")</f>
        <v>0</v>
      </c>
      <c r="V174" s="234"/>
      <c r="W174" s="236">
        <f t="shared" si="334"/>
        <v>0</v>
      </c>
      <c r="X174" s="237">
        <f>'Pricing - Advanced'!$F$20*SUM(H174:I174)+IF(J174&gt;1,'Pricing - Advanced'!$F$21,0)</f>
        <v>0</v>
      </c>
      <c r="Y174" s="688">
        <f>IF(AND(FullTerm&gt;=B174,AB173&gt;0),AB173*'Pricing - Advanced'!$I$128,0)</f>
        <v>0</v>
      </c>
      <c r="Z174" s="233">
        <f t="shared" si="335"/>
        <v>0</v>
      </c>
      <c r="AA174" s="234"/>
      <c r="AB174" s="597">
        <f t="shared" si="336"/>
        <v>0</v>
      </c>
      <c r="AC174" s="236">
        <f t="shared" si="303"/>
        <v>0</v>
      </c>
      <c r="AF174" s="762" t="e">
        <f t="shared" si="337"/>
        <v>#N/A</v>
      </c>
      <c r="AG174" s="759" t="e">
        <f t="shared" si="304"/>
        <v>#N/A</v>
      </c>
      <c r="AH174" s="759">
        <f>IF(J174=0,0,J174-SUM($N$6:N174)-AB173)</f>
        <v>0</v>
      </c>
      <c r="AI174" s="759">
        <f t="shared" si="305"/>
        <v>0</v>
      </c>
      <c r="AJ174" s="760">
        <f t="shared" si="298"/>
        <v>3.0000000000000001E-3</v>
      </c>
      <c r="AK174" s="760">
        <f t="shared" si="299"/>
        <v>3.0000000000000001E-3</v>
      </c>
      <c r="AN174" s="1" t="b">
        <f t="shared" si="342"/>
        <v>1</v>
      </c>
      <c r="AQ174" s="15">
        <f>IF(J173&gt;1,IF(int_method=2,$AG$229*J173,$AG$229*'Pricing - Advanced'!$E$4),0)</f>
        <v>0</v>
      </c>
      <c r="AR174" s="5">
        <f t="shared" si="338"/>
        <v>0</v>
      </c>
      <c r="AS174" s="204">
        <f t="shared" si="343"/>
        <v>45457</v>
      </c>
      <c r="AT174" s="1">
        <f>IF($AT$4=FALSE,B174*'Pricing - Advanced'!$K$5,AT173+E174-E173)</f>
        <v>5114</v>
      </c>
      <c r="AW174">
        <f t="shared" si="241"/>
        <v>0</v>
      </c>
      <c r="AX174">
        <f t="shared" si="306"/>
        <v>0</v>
      </c>
      <c r="AY174">
        <f t="shared" si="242"/>
        <v>0</v>
      </c>
      <c r="AZ174">
        <f t="shared" si="243"/>
        <v>0</v>
      </c>
      <c r="BA174" s="603">
        <f t="shared" si="293"/>
        <v>0</v>
      </c>
      <c r="BB174" s="603">
        <f t="shared" si="294"/>
        <v>0</v>
      </c>
      <c r="BC174" s="5">
        <f t="shared" si="244"/>
        <v>0</v>
      </c>
      <c r="BE174" s="157">
        <f t="shared" si="307"/>
        <v>168</v>
      </c>
      <c r="BF174" s="489">
        <f t="shared" si="339"/>
        <v>5114</v>
      </c>
      <c r="BG174" s="146">
        <f t="shared" si="308"/>
        <v>0</v>
      </c>
      <c r="BH174" s="147">
        <f t="shared" si="309"/>
        <v>0</v>
      </c>
      <c r="BI174" s="154" t="e">
        <f t="shared" si="310"/>
        <v>#NUM!</v>
      </c>
      <c r="BJ174" s="277" t="e">
        <f t="shared" si="245"/>
        <v>#NUM!</v>
      </c>
      <c r="BK174" s="147" t="e">
        <f t="shared" si="246"/>
        <v>#NUM!</v>
      </c>
      <c r="BL174" s="132" t="e">
        <f t="shared" si="247"/>
        <v>#NUM!</v>
      </c>
      <c r="BN174" s="497">
        <f t="shared" si="311"/>
        <v>168</v>
      </c>
      <c r="BO174" s="497">
        <f t="shared" si="312"/>
        <v>5114</v>
      </c>
      <c r="BP174">
        <f t="shared" si="313"/>
        <v>0</v>
      </c>
      <c r="BQ174">
        <f t="shared" si="314"/>
        <v>0</v>
      </c>
      <c r="BR174" s="499" t="e">
        <f t="shared" si="315"/>
        <v>#NUM!</v>
      </c>
      <c r="BS174" s="277" t="e">
        <f t="shared" si="248"/>
        <v>#NUM!</v>
      </c>
      <c r="BT174" s="5" t="e">
        <f t="shared" si="249"/>
        <v>#NUM!</v>
      </c>
      <c r="BU174" s="5" t="e">
        <f t="shared" si="250"/>
        <v>#NUM!</v>
      </c>
      <c r="BW174" s="5"/>
      <c r="BX174" s="5"/>
      <c r="BY174" s="5"/>
      <c r="BZ174" s="5"/>
      <c r="CA174" s="130" t="e">
        <f t="shared" si="316"/>
        <v>#NUM!</v>
      </c>
      <c r="CB174" s="5"/>
      <c r="CC174" s="5" t="e">
        <f t="shared" si="251"/>
        <v>#NUM!</v>
      </c>
      <c r="CD174" s="5" t="e">
        <f t="shared" si="252"/>
        <v>#NUM!</v>
      </c>
      <c r="CE174" s="5"/>
      <c r="CI174" s="130">
        <f t="shared" si="317"/>
        <v>7.6593185607041878</v>
      </c>
      <c r="CJ174" s="130">
        <f t="shared" si="318"/>
        <v>7.6608434785905892</v>
      </c>
      <c r="CK174" s="296">
        <f t="shared" si="340"/>
        <v>8.8218655640035344</v>
      </c>
      <c r="CL174" s="130">
        <f t="shared" si="253"/>
        <v>8.8218655640035344</v>
      </c>
      <c r="CM174" s="5">
        <f t="shared" si="254"/>
        <v>0</v>
      </c>
      <c r="CN174" s="5">
        <f t="shared" si="319"/>
        <v>0</v>
      </c>
      <c r="DE174" s="130" t="e">
        <f t="shared" si="320"/>
        <v>#NUM!</v>
      </c>
      <c r="DF174" s="130" t="e">
        <f t="shared" si="321"/>
        <v>#NUM!</v>
      </c>
      <c r="DG174" s="130" t="e">
        <f t="shared" si="341"/>
        <v>#NUM!</v>
      </c>
      <c r="DH174" s="130" t="e">
        <f t="shared" si="322"/>
        <v>#NUM!</v>
      </c>
      <c r="DJ174" s="130" t="e">
        <f t="shared" si="323"/>
        <v>#NUM!</v>
      </c>
      <c r="DK174" s="130" t="e">
        <f t="shared" si="214"/>
        <v>#NUM!</v>
      </c>
      <c r="DL174" s="130" t="e">
        <f t="shared" si="255"/>
        <v>#NUM!</v>
      </c>
      <c r="DO174" s="130" t="e">
        <f t="shared" si="324"/>
        <v>#NUM!</v>
      </c>
      <c r="DP174" s="130" t="e">
        <f t="shared" si="216"/>
        <v>#NUM!</v>
      </c>
      <c r="DQ174" s="130" t="e">
        <f t="shared" si="256"/>
        <v>#NUM!</v>
      </c>
    </row>
    <row r="175" spans="2:121" hidden="1">
      <c r="B175" s="231">
        <v>169</v>
      </c>
      <c r="C175" s="280"/>
      <c r="D175" s="475"/>
      <c r="E175" s="318">
        <f t="shared" si="325"/>
        <v>45487</v>
      </c>
      <c r="F175" s="542">
        <f t="shared" si="302"/>
        <v>0</v>
      </c>
      <c r="G175" s="239"/>
      <c r="H175" s="685">
        <f t="shared" si="326"/>
        <v>0</v>
      </c>
      <c r="I175" s="234"/>
      <c r="J175" s="597">
        <f t="shared" si="327"/>
        <v>0</v>
      </c>
      <c r="K175" s="478">
        <f t="shared" si="328"/>
        <v>0</v>
      </c>
      <c r="L175" s="234"/>
      <c r="M175" s="235">
        <f t="shared" si="329"/>
        <v>0</v>
      </c>
      <c r="N175" s="479">
        <f t="shared" si="330"/>
        <v>0</v>
      </c>
      <c r="O175" s="234"/>
      <c r="P175" s="235">
        <f t="shared" si="331"/>
        <v>0</v>
      </c>
      <c r="Q175" s="651">
        <f t="shared" si="332"/>
        <v>0</v>
      </c>
      <c r="R175" s="479">
        <f>IF(J175&gt;0,IF(OR(ManualMode=FALSE,ISBLANK(S175)),'Pricing - Advanced'!$F$16*J175+'Pricing - Advanced'!$F$17,"N/A"),0)</f>
        <v>0</v>
      </c>
      <c r="S175" s="234"/>
      <c r="T175" s="235">
        <f t="shared" si="333"/>
        <v>0</v>
      </c>
      <c r="U175" s="599">
        <f>IF(OR(ManualMode=FALSE,ISBLANK(V175)),SUM(K175:L175)*'Pricing - Advanced'!$F$19+SUM(N175,O175)*'Pricing - Advanced'!$F$18,"N/A")</f>
        <v>0</v>
      </c>
      <c r="V175" s="234"/>
      <c r="W175" s="236">
        <f t="shared" si="334"/>
        <v>0</v>
      </c>
      <c r="X175" s="237">
        <f>'Pricing - Advanced'!$F$20*SUM(H175:I175)+IF(J175&gt;1,'Pricing - Advanced'!$F$21,0)</f>
        <v>0</v>
      </c>
      <c r="Y175" s="688">
        <f>IF(AND(FullTerm&gt;=B175,AB174&gt;0),AB174*'Pricing - Advanced'!$I$128,0)</f>
        <v>0</v>
      </c>
      <c r="Z175" s="233">
        <f t="shared" si="335"/>
        <v>0</v>
      </c>
      <c r="AA175" s="234"/>
      <c r="AB175" s="597">
        <f t="shared" si="336"/>
        <v>0</v>
      </c>
      <c r="AC175" s="236">
        <f t="shared" si="303"/>
        <v>0</v>
      </c>
      <c r="AF175" s="762" t="e">
        <f t="shared" si="337"/>
        <v>#N/A</v>
      </c>
      <c r="AG175" s="759" t="e">
        <f t="shared" si="304"/>
        <v>#N/A</v>
      </c>
      <c r="AH175" s="759">
        <f>IF(J175=0,0,J175-SUM($N$6:N175)-AB174)</f>
        <v>0</v>
      </c>
      <c r="AI175" s="759">
        <f t="shared" si="305"/>
        <v>0</v>
      </c>
      <c r="AJ175" s="760">
        <f t="shared" si="298"/>
        <v>3.0000000000000001E-3</v>
      </c>
      <c r="AK175" s="760">
        <f t="shared" si="299"/>
        <v>3.0000000000000001E-3</v>
      </c>
      <c r="AN175" s="1" t="b">
        <f t="shared" si="342"/>
        <v>1</v>
      </c>
      <c r="AQ175" s="15">
        <f>IF(J174&gt;1,IF(int_method=2,$AG$229*J174,$AG$229*'Pricing - Advanced'!$E$4),0)</f>
        <v>0</v>
      </c>
      <c r="AR175" s="5">
        <f t="shared" si="338"/>
        <v>0</v>
      </c>
      <c r="AS175" s="204">
        <f t="shared" si="343"/>
        <v>45487</v>
      </c>
      <c r="AT175" s="1">
        <f>IF($AT$4=FALSE,B175*'Pricing - Advanced'!$K$5,AT174+E175-E174)</f>
        <v>5144</v>
      </c>
      <c r="AW175">
        <f t="shared" si="241"/>
        <v>0</v>
      </c>
      <c r="AX175">
        <f t="shared" si="306"/>
        <v>0</v>
      </c>
      <c r="AY175">
        <f t="shared" si="242"/>
        <v>0</v>
      </c>
      <c r="AZ175">
        <f t="shared" si="243"/>
        <v>0</v>
      </c>
      <c r="BA175" s="603">
        <f t="shared" si="293"/>
        <v>0</v>
      </c>
      <c r="BB175" s="603">
        <f t="shared" si="294"/>
        <v>0</v>
      </c>
      <c r="BC175" s="5">
        <f t="shared" si="244"/>
        <v>0</v>
      </c>
      <c r="BE175" s="157">
        <f t="shared" si="307"/>
        <v>169</v>
      </c>
      <c r="BF175" s="489">
        <f t="shared" si="339"/>
        <v>5144</v>
      </c>
      <c r="BG175" s="146">
        <f t="shared" si="308"/>
        <v>0</v>
      </c>
      <c r="BH175" s="147">
        <f t="shared" si="309"/>
        <v>0</v>
      </c>
      <c r="BI175" s="154" t="e">
        <f t="shared" si="310"/>
        <v>#NUM!</v>
      </c>
      <c r="BJ175" s="277" t="e">
        <f t="shared" si="245"/>
        <v>#NUM!</v>
      </c>
      <c r="BK175" s="147" t="e">
        <f t="shared" si="246"/>
        <v>#NUM!</v>
      </c>
      <c r="BL175" s="132" t="e">
        <f t="shared" si="247"/>
        <v>#NUM!</v>
      </c>
      <c r="BN175" s="497">
        <f t="shared" si="311"/>
        <v>169</v>
      </c>
      <c r="BO175" s="497">
        <f t="shared" si="312"/>
        <v>5144</v>
      </c>
      <c r="BP175">
        <f t="shared" si="313"/>
        <v>0</v>
      </c>
      <c r="BQ175">
        <f t="shared" si="314"/>
        <v>0</v>
      </c>
      <c r="BR175" s="499" t="e">
        <f t="shared" si="315"/>
        <v>#NUM!</v>
      </c>
      <c r="BS175" s="277" t="e">
        <f t="shared" si="248"/>
        <v>#NUM!</v>
      </c>
      <c r="BT175" s="5" t="e">
        <f t="shared" si="249"/>
        <v>#NUM!</v>
      </c>
      <c r="BU175" s="5" t="e">
        <f t="shared" si="250"/>
        <v>#NUM!</v>
      </c>
      <c r="BW175" s="5"/>
      <c r="BX175" s="5"/>
      <c r="BY175" s="5"/>
      <c r="BZ175" s="5"/>
      <c r="CA175" s="130" t="e">
        <f t="shared" si="316"/>
        <v>#NUM!</v>
      </c>
      <c r="CB175" s="5"/>
      <c r="CC175" s="5" t="e">
        <f t="shared" si="251"/>
        <v>#NUM!</v>
      </c>
      <c r="CD175" s="5" t="e">
        <f t="shared" si="252"/>
        <v>#NUM!</v>
      </c>
      <c r="CE175" s="5"/>
      <c r="CI175" s="130">
        <f t="shared" si="317"/>
        <v>7.7527034008114528</v>
      </c>
      <c r="CJ175" s="130">
        <f t="shared" si="318"/>
        <v>7.7528963227790388</v>
      </c>
      <c r="CK175" s="296">
        <f t="shared" si="340"/>
        <v>8.9369385390708089</v>
      </c>
      <c r="CL175" s="130">
        <f t="shared" si="253"/>
        <v>8.9369385390708089</v>
      </c>
      <c r="CM175" s="5">
        <f t="shared" si="254"/>
        <v>0</v>
      </c>
      <c r="CN175" s="5">
        <f t="shared" si="319"/>
        <v>0</v>
      </c>
      <c r="DE175" s="130" t="e">
        <f t="shared" si="320"/>
        <v>#NUM!</v>
      </c>
      <c r="DF175" s="130" t="e">
        <f t="shared" si="321"/>
        <v>#NUM!</v>
      </c>
      <c r="DG175" s="130" t="e">
        <f t="shared" si="341"/>
        <v>#NUM!</v>
      </c>
      <c r="DH175" s="130" t="e">
        <f t="shared" si="322"/>
        <v>#NUM!</v>
      </c>
      <c r="DJ175" s="130" t="e">
        <f t="shared" si="323"/>
        <v>#NUM!</v>
      </c>
      <c r="DK175" s="130" t="e">
        <f t="shared" si="214"/>
        <v>#NUM!</v>
      </c>
      <c r="DL175" s="130" t="e">
        <f t="shared" si="255"/>
        <v>#NUM!</v>
      </c>
      <c r="DO175" s="130" t="e">
        <f t="shared" si="324"/>
        <v>#NUM!</v>
      </c>
      <c r="DP175" s="130" t="e">
        <f t="shared" si="216"/>
        <v>#NUM!</v>
      </c>
      <c r="DQ175" s="130" t="e">
        <f t="shared" si="256"/>
        <v>#NUM!</v>
      </c>
    </row>
    <row r="176" spans="2:121" hidden="1">
      <c r="B176" s="231">
        <v>170</v>
      </c>
      <c r="C176" s="280"/>
      <c r="D176" s="475"/>
      <c r="E176" s="318">
        <f t="shared" si="325"/>
        <v>45518</v>
      </c>
      <c r="F176" s="542">
        <f t="shared" si="302"/>
        <v>0</v>
      </c>
      <c r="G176" s="239"/>
      <c r="H176" s="685">
        <f t="shared" si="326"/>
        <v>0</v>
      </c>
      <c r="I176" s="234"/>
      <c r="J176" s="597">
        <f t="shared" si="327"/>
        <v>0</v>
      </c>
      <c r="K176" s="478">
        <f t="shared" si="328"/>
        <v>0</v>
      </c>
      <c r="L176" s="234"/>
      <c r="M176" s="235">
        <f t="shared" si="329"/>
        <v>0</v>
      </c>
      <c r="N176" s="479">
        <f t="shared" si="330"/>
        <v>0</v>
      </c>
      <c r="O176" s="234"/>
      <c r="P176" s="235">
        <f t="shared" si="331"/>
        <v>0</v>
      </c>
      <c r="Q176" s="651">
        <f t="shared" si="332"/>
        <v>0</v>
      </c>
      <c r="R176" s="479">
        <f>IF(J176&gt;0,IF(OR(ManualMode=FALSE,ISBLANK(S176)),'Pricing - Advanced'!$F$16*J176+'Pricing - Advanced'!$F$17,"N/A"),0)</f>
        <v>0</v>
      </c>
      <c r="S176" s="234"/>
      <c r="T176" s="235">
        <f t="shared" si="333"/>
        <v>0</v>
      </c>
      <c r="U176" s="599">
        <f>IF(OR(ManualMode=FALSE,ISBLANK(V176)),SUM(K176:L176)*'Pricing - Advanced'!$F$19+SUM(N176,O176)*'Pricing - Advanced'!$F$18,"N/A")</f>
        <v>0</v>
      </c>
      <c r="V176" s="234"/>
      <c r="W176" s="236">
        <f t="shared" si="334"/>
        <v>0</v>
      </c>
      <c r="X176" s="237">
        <f>'Pricing - Advanced'!$F$20*SUM(H176:I176)+IF(J176&gt;1,'Pricing - Advanced'!$F$21,0)</f>
        <v>0</v>
      </c>
      <c r="Y176" s="688">
        <f>IF(AND(FullTerm&gt;=B176,AB175&gt;0),AB175*'Pricing - Advanced'!$I$128,0)</f>
        <v>0</v>
      </c>
      <c r="Z176" s="233">
        <f t="shared" si="335"/>
        <v>0</v>
      </c>
      <c r="AA176" s="234"/>
      <c r="AB176" s="597">
        <f t="shared" si="336"/>
        <v>0</v>
      </c>
      <c r="AC176" s="236">
        <f t="shared" si="303"/>
        <v>0</v>
      </c>
      <c r="AF176" s="762" t="e">
        <f t="shared" si="337"/>
        <v>#N/A</v>
      </c>
      <c r="AG176" s="759" t="e">
        <f t="shared" si="304"/>
        <v>#N/A</v>
      </c>
      <c r="AH176" s="759">
        <f>IF(J176=0,0,J176-SUM($N$6:N176)-AB175)</f>
        <v>0</v>
      </c>
      <c r="AI176" s="759">
        <f t="shared" si="305"/>
        <v>0</v>
      </c>
      <c r="AJ176" s="760">
        <f t="shared" si="298"/>
        <v>3.0000000000000001E-3</v>
      </c>
      <c r="AK176" s="760">
        <f t="shared" si="299"/>
        <v>3.0000000000000001E-3</v>
      </c>
      <c r="AN176" s="1" t="b">
        <f t="shared" si="342"/>
        <v>1</v>
      </c>
      <c r="AQ176" s="15">
        <f>IF(J175&gt;1,IF(int_method=2,$AG$229*J175,$AG$229*'Pricing - Advanced'!$E$4),0)</f>
        <v>0</v>
      </c>
      <c r="AR176" s="5">
        <f t="shared" si="338"/>
        <v>0</v>
      </c>
      <c r="AS176" s="204">
        <f t="shared" si="343"/>
        <v>45518</v>
      </c>
      <c r="AT176" s="1">
        <f>IF($AT$4=FALSE,B176*'Pricing - Advanced'!$K$5,AT175+E176-E175)</f>
        <v>5175</v>
      </c>
      <c r="AW176">
        <f t="shared" si="241"/>
        <v>0</v>
      </c>
      <c r="AX176">
        <f t="shared" si="306"/>
        <v>0</v>
      </c>
      <c r="AY176">
        <f t="shared" si="242"/>
        <v>0</v>
      </c>
      <c r="AZ176">
        <f t="shared" si="243"/>
        <v>0</v>
      </c>
      <c r="BA176" s="603">
        <f t="shared" si="293"/>
        <v>0</v>
      </c>
      <c r="BB176" s="603">
        <f t="shared" si="294"/>
        <v>0</v>
      </c>
      <c r="BC176" s="5">
        <f t="shared" si="244"/>
        <v>0</v>
      </c>
      <c r="BE176" s="157">
        <f t="shared" si="307"/>
        <v>170</v>
      </c>
      <c r="BF176" s="489">
        <f t="shared" si="339"/>
        <v>5175</v>
      </c>
      <c r="BG176" s="146">
        <f t="shared" si="308"/>
        <v>0</v>
      </c>
      <c r="BH176" s="147">
        <f t="shared" si="309"/>
        <v>0</v>
      </c>
      <c r="BI176" s="154" t="e">
        <f t="shared" si="310"/>
        <v>#NUM!</v>
      </c>
      <c r="BJ176" s="277" t="e">
        <f t="shared" si="245"/>
        <v>#NUM!</v>
      </c>
      <c r="BK176" s="147" t="e">
        <f t="shared" si="246"/>
        <v>#NUM!</v>
      </c>
      <c r="BL176" s="132" t="e">
        <f t="shared" si="247"/>
        <v>#NUM!</v>
      </c>
      <c r="BN176" s="497">
        <f t="shared" si="311"/>
        <v>170</v>
      </c>
      <c r="BO176" s="497">
        <f t="shared" si="312"/>
        <v>5175</v>
      </c>
      <c r="BP176">
        <f t="shared" si="313"/>
        <v>0</v>
      </c>
      <c r="BQ176">
        <f t="shared" si="314"/>
        <v>0</v>
      </c>
      <c r="BR176" s="499" t="e">
        <f t="shared" si="315"/>
        <v>#NUM!</v>
      </c>
      <c r="BS176" s="277" t="e">
        <f t="shared" si="248"/>
        <v>#NUM!</v>
      </c>
      <c r="BT176" s="5" t="e">
        <f t="shared" si="249"/>
        <v>#NUM!</v>
      </c>
      <c r="BU176" s="5" t="e">
        <f t="shared" si="250"/>
        <v>#NUM!</v>
      </c>
      <c r="BW176" s="5"/>
      <c r="BX176" s="5"/>
      <c r="BY176" s="5"/>
      <c r="BZ176" s="5"/>
      <c r="CA176" s="130" t="e">
        <f t="shared" si="316"/>
        <v>#NUM!</v>
      </c>
      <c r="CB176" s="5"/>
      <c r="CC176" s="5" t="e">
        <f t="shared" si="251"/>
        <v>#NUM!</v>
      </c>
      <c r="CD176" s="5" t="e">
        <f t="shared" si="252"/>
        <v>#NUM!</v>
      </c>
      <c r="CE176" s="5"/>
      <c r="CI176" s="130">
        <f t="shared" si="317"/>
        <v>7.847226818494871</v>
      </c>
      <c r="CJ176" s="130">
        <f t="shared" si="318"/>
        <v>7.8491797785113908</v>
      </c>
      <c r="CK176" s="296">
        <f t="shared" si="340"/>
        <v>9.0535125333380204</v>
      </c>
      <c r="CL176" s="130">
        <f t="shared" si="253"/>
        <v>9.0535125333380204</v>
      </c>
      <c r="CM176" s="5">
        <f t="shared" si="254"/>
        <v>0</v>
      </c>
      <c r="CN176" s="5">
        <f t="shared" si="319"/>
        <v>0</v>
      </c>
      <c r="DE176" s="130" t="e">
        <f t="shared" si="320"/>
        <v>#NUM!</v>
      </c>
      <c r="DF176" s="130" t="e">
        <f t="shared" si="321"/>
        <v>#NUM!</v>
      </c>
      <c r="DG176" s="130" t="e">
        <f t="shared" si="341"/>
        <v>#NUM!</v>
      </c>
      <c r="DH176" s="130" t="e">
        <f t="shared" si="322"/>
        <v>#NUM!</v>
      </c>
      <c r="DJ176" s="130" t="e">
        <f t="shared" si="323"/>
        <v>#NUM!</v>
      </c>
      <c r="DK176" s="130" t="e">
        <f t="shared" si="214"/>
        <v>#NUM!</v>
      </c>
      <c r="DL176" s="130" t="e">
        <f t="shared" si="255"/>
        <v>#NUM!</v>
      </c>
      <c r="DO176" s="130" t="e">
        <f t="shared" si="324"/>
        <v>#NUM!</v>
      </c>
      <c r="DP176" s="130" t="e">
        <f t="shared" si="216"/>
        <v>#NUM!</v>
      </c>
      <c r="DQ176" s="130" t="e">
        <f t="shared" si="256"/>
        <v>#NUM!</v>
      </c>
    </row>
    <row r="177" spans="2:121" hidden="1">
      <c r="B177" s="231">
        <v>171</v>
      </c>
      <c r="C177" s="280"/>
      <c r="D177" s="475"/>
      <c r="E177" s="318">
        <f t="shared" si="325"/>
        <v>45549</v>
      </c>
      <c r="F177" s="542">
        <f t="shared" si="302"/>
        <v>0</v>
      </c>
      <c r="G177" s="239"/>
      <c r="H177" s="685">
        <f t="shared" si="326"/>
        <v>0</v>
      </c>
      <c r="I177" s="234"/>
      <c r="J177" s="597">
        <f t="shared" si="327"/>
        <v>0</v>
      </c>
      <c r="K177" s="478">
        <f t="shared" si="328"/>
        <v>0</v>
      </c>
      <c r="L177" s="234"/>
      <c r="M177" s="235">
        <f t="shared" si="329"/>
        <v>0</v>
      </c>
      <c r="N177" s="479">
        <f t="shared" si="330"/>
        <v>0</v>
      </c>
      <c r="O177" s="234"/>
      <c r="P177" s="235">
        <f t="shared" si="331"/>
        <v>0</v>
      </c>
      <c r="Q177" s="651">
        <f t="shared" si="332"/>
        <v>0</v>
      </c>
      <c r="R177" s="479">
        <f>IF(J177&gt;0,IF(OR(ManualMode=FALSE,ISBLANK(S177)),'Pricing - Advanced'!$F$16*J177+'Pricing - Advanced'!$F$17,"N/A"),0)</f>
        <v>0</v>
      </c>
      <c r="S177" s="234"/>
      <c r="T177" s="235">
        <f t="shared" si="333"/>
        <v>0</v>
      </c>
      <c r="U177" s="599">
        <f>IF(OR(ManualMode=FALSE,ISBLANK(V177)),SUM(K177:L177)*'Pricing - Advanced'!$F$19+SUM(N177,O177)*'Pricing - Advanced'!$F$18,"N/A")</f>
        <v>0</v>
      </c>
      <c r="V177" s="234"/>
      <c r="W177" s="236">
        <f t="shared" si="334"/>
        <v>0</v>
      </c>
      <c r="X177" s="237">
        <f>'Pricing - Advanced'!$F$20*SUM(H177:I177)+IF(J177&gt;1,'Pricing - Advanced'!$F$21,0)</f>
        <v>0</v>
      </c>
      <c r="Y177" s="688">
        <f>IF(AND(FullTerm&gt;=B177,AB176&gt;0),AB176*'Pricing - Advanced'!$I$128,0)</f>
        <v>0</v>
      </c>
      <c r="Z177" s="233">
        <f t="shared" si="335"/>
        <v>0</v>
      </c>
      <c r="AA177" s="234"/>
      <c r="AB177" s="597">
        <f t="shared" si="336"/>
        <v>0</v>
      </c>
      <c r="AC177" s="236">
        <f t="shared" si="303"/>
        <v>0</v>
      </c>
      <c r="AF177" s="762" t="e">
        <f t="shared" si="337"/>
        <v>#N/A</v>
      </c>
      <c r="AG177" s="759" t="e">
        <f t="shared" si="304"/>
        <v>#N/A</v>
      </c>
      <c r="AH177" s="759">
        <f>IF(J177=0,0,J177-SUM($N$6:N177)-AB176)</f>
        <v>0</v>
      </c>
      <c r="AI177" s="759">
        <f t="shared" si="305"/>
        <v>0</v>
      </c>
      <c r="AJ177" s="760">
        <f t="shared" si="298"/>
        <v>3.0000000000000001E-3</v>
      </c>
      <c r="AK177" s="760">
        <f t="shared" si="299"/>
        <v>3.0000000000000001E-3</v>
      </c>
      <c r="AN177" s="1" t="b">
        <f t="shared" si="342"/>
        <v>1</v>
      </c>
      <c r="AQ177" s="15">
        <f>IF(J176&gt;1,IF(int_method=2,$AG$229*J176,$AG$229*'Pricing - Advanced'!$E$4),0)</f>
        <v>0</v>
      </c>
      <c r="AR177" s="5">
        <f t="shared" si="338"/>
        <v>0</v>
      </c>
      <c r="AS177" s="204">
        <f t="shared" si="343"/>
        <v>45549</v>
      </c>
      <c r="AT177" s="1">
        <f>IF($AT$4=FALSE,B177*'Pricing - Advanced'!$K$5,AT176+E177-E176)</f>
        <v>5206</v>
      </c>
      <c r="AW177">
        <f t="shared" si="241"/>
        <v>0</v>
      </c>
      <c r="AX177">
        <f t="shared" si="306"/>
        <v>0</v>
      </c>
      <c r="AY177">
        <f t="shared" si="242"/>
        <v>0</v>
      </c>
      <c r="AZ177">
        <f t="shared" si="243"/>
        <v>0</v>
      </c>
      <c r="BA177" s="603">
        <f t="shared" si="293"/>
        <v>0</v>
      </c>
      <c r="BB177" s="603">
        <f t="shared" si="294"/>
        <v>0</v>
      </c>
      <c r="BC177" s="5">
        <f t="shared" si="244"/>
        <v>0</v>
      </c>
      <c r="BE177" s="157">
        <f t="shared" si="307"/>
        <v>171</v>
      </c>
      <c r="BF177" s="489">
        <f t="shared" si="339"/>
        <v>5206</v>
      </c>
      <c r="BG177" s="146">
        <f t="shared" si="308"/>
        <v>0</v>
      </c>
      <c r="BH177" s="147">
        <f t="shared" si="309"/>
        <v>0</v>
      </c>
      <c r="BI177" s="154" t="e">
        <f t="shared" si="310"/>
        <v>#NUM!</v>
      </c>
      <c r="BJ177" s="277" t="e">
        <f t="shared" si="245"/>
        <v>#NUM!</v>
      </c>
      <c r="BK177" s="147" t="e">
        <f t="shared" si="246"/>
        <v>#NUM!</v>
      </c>
      <c r="BL177" s="132" t="e">
        <f t="shared" si="247"/>
        <v>#NUM!</v>
      </c>
      <c r="BN177" s="497">
        <f t="shared" si="311"/>
        <v>171</v>
      </c>
      <c r="BO177" s="497">
        <f t="shared" si="312"/>
        <v>5206</v>
      </c>
      <c r="BP177">
        <f t="shared" si="313"/>
        <v>0</v>
      </c>
      <c r="BQ177">
        <f t="shared" si="314"/>
        <v>0</v>
      </c>
      <c r="BR177" s="499" t="e">
        <f t="shared" si="315"/>
        <v>#NUM!</v>
      </c>
      <c r="BS177" s="277" t="e">
        <f t="shared" si="248"/>
        <v>#NUM!</v>
      </c>
      <c r="BT177" s="5" t="e">
        <f t="shared" si="249"/>
        <v>#NUM!</v>
      </c>
      <c r="BU177" s="5" t="e">
        <f t="shared" si="250"/>
        <v>#NUM!</v>
      </c>
      <c r="BW177" s="5"/>
      <c r="BX177" s="5"/>
      <c r="BY177" s="5"/>
      <c r="BZ177" s="5"/>
      <c r="CA177" s="130" t="e">
        <f t="shared" si="316"/>
        <v>#NUM!</v>
      </c>
      <c r="CB177" s="5"/>
      <c r="CC177" s="5" t="e">
        <f t="shared" si="251"/>
        <v>#NUM!</v>
      </c>
      <c r="CD177" s="5" t="e">
        <f t="shared" si="252"/>
        <v>#NUM!</v>
      </c>
      <c r="CE177" s="5"/>
      <c r="CI177" s="130">
        <f t="shared" si="317"/>
        <v>7.9429026956532143</v>
      </c>
      <c r="CJ177" s="130">
        <f t="shared" si="318"/>
        <v>7.9466589814151005</v>
      </c>
      <c r="CK177" s="296">
        <f t="shared" si="340"/>
        <v>9.1716071261950063</v>
      </c>
      <c r="CL177" s="130">
        <f t="shared" si="253"/>
        <v>9.1716071261950063</v>
      </c>
      <c r="CM177" s="5">
        <f t="shared" si="254"/>
        <v>0</v>
      </c>
      <c r="CN177" s="5">
        <f t="shared" si="319"/>
        <v>0</v>
      </c>
      <c r="DE177" s="130" t="e">
        <f t="shared" si="320"/>
        <v>#NUM!</v>
      </c>
      <c r="DF177" s="130" t="e">
        <f t="shared" si="321"/>
        <v>#NUM!</v>
      </c>
      <c r="DG177" s="130" t="e">
        <f t="shared" si="341"/>
        <v>#NUM!</v>
      </c>
      <c r="DH177" s="130" t="e">
        <f t="shared" si="322"/>
        <v>#NUM!</v>
      </c>
      <c r="DJ177" s="130" t="e">
        <f t="shared" si="323"/>
        <v>#NUM!</v>
      </c>
      <c r="DK177" s="130" t="e">
        <f t="shared" si="214"/>
        <v>#NUM!</v>
      </c>
      <c r="DL177" s="130" t="e">
        <f t="shared" si="255"/>
        <v>#NUM!</v>
      </c>
      <c r="DO177" s="130" t="e">
        <f t="shared" si="324"/>
        <v>#NUM!</v>
      </c>
      <c r="DP177" s="130" t="e">
        <f t="shared" si="216"/>
        <v>#NUM!</v>
      </c>
      <c r="DQ177" s="130" t="e">
        <f t="shared" si="256"/>
        <v>#NUM!</v>
      </c>
    </row>
    <row r="178" spans="2:121" hidden="1">
      <c r="B178" s="231">
        <v>172</v>
      </c>
      <c r="C178" s="280"/>
      <c r="D178" s="475"/>
      <c r="E178" s="318">
        <f t="shared" si="325"/>
        <v>45579</v>
      </c>
      <c r="F178" s="542">
        <f t="shared" si="302"/>
        <v>0</v>
      </c>
      <c r="G178" s="239"/>
      <c r="H178" s="685">
        <f t="shared" si="326"/>
        <v>0</v>
      </c>
      <c r="I178" s="234"/>
      <c r="J178" s="597">
        <f t="shared" si="327"/>
        <v>0</v>
      </c>
      <c r="K178" s="478">
        <f t="shared" si="328"/>
        <v>0</v>
      </c>
      <c r="L178" s="234"/>
      <c r="M178" s="235">
        <f t="shared" si="329"/>
        <v>0</v>
      </c>
      <c r="N178" s="479">
        <f t="shared" si="330"/>
        <v>0</v>
      </c>
      <c r="O178" s="234"/>
      <c r="P178" s="235">
        <f t="shared" si="331"/>
        <v>0</v>
      </c>
      <c r="Q178" s="651">
        <f t="shared" si="332"/>
        <v>0</v>
      </c>
      <c r="R178" s="479">
        <f>IF(J178&gt;0,IF(OR(ManualMode=FALSE,ISBLANK(S178)),'Pricing - Advanced'!$F$16*J178+'Pricing - Advanced'!$F$17,"N/A"),0)</f>
        <v>0</v>
      </c>
      <c r="S178" s="234"/>
      <c r="T178" s="235">
        <f t="shared" si="333"/>
        <v>0</v>
      </c>
      <c r="U178" s="599">
        <f>IF(OR(ManualMode=FALSE,ISBLANK(V178)),SUM(K178:L178)*'Pricing - Advanced'!$F$19+SUM(N178,O178)*'Pricing - Advanced'!$F$18,"N/A")</f>
        <v>0</v>
      </c>
      <c r="V178" s="234"/>
      <c r="W178" s="236">
        <f t="shared" si="334"/>
        <v>0</v>
      </c>
      <c r="X178" s="237">
        <f>'Pricing - Advanced'!$F$20*SUM(H178:I178)+IF(J178&gt;1,'Pricing - Advanced'!$F$21,0)</f>
        <v>0</v>
      </c>
      <c r="Y178" s="688">
        <f>IF(AND(FullTerm&gt;=B178,AB177&gt;0),AB177*'Pricing - Advanced'!$I$128,0)</f>
        <v>0</v>
      </c>
      <c r="Z178" s="233">
        <f t="shared" si="335"/>
        <v>0</v>
      </c>
      <c r="AA178" s="234"/>
      <c r="AB178" s="597">
        <f t="shared" si="336"/>
        <v>0</v>
      </c>
      <c r="AC178" s="236">
        <f t="shared" si="303"/>
        <v>0</v>
      </c>
      <c r="AF178" s="762" t="e">
        <f t="shared" si="337"/>
        <v>#N/A</v>
      </c>
      <c r="AG178" s="759" t="e">
        <f t="shared" si="304"/>
        <v>#N/A</v>
      </c>
      <c r="AH178" s="759">
        <f>IF(J178=0,0,J178-SUM($N$6:N178)-AB177)</f>
        <v>0</v>
      </c>
      <c r="AI178" s="759">
        <f t="shared" si="305"/>
        <v>0</v>
      </c>
      <c r="AJ178" s="760">
        <f t="shared" si="298"/>
        <v>3.0000000000000001E-3</v>
      </c>
      <c r="AK178" s="760">
        <f t="shared" si="299"/>
        <v>3.0000000000000001E-3</v>
      </c>
      <c r="AN178" s="1" t="b">
        <f t="shared" si="342"/>
        <v>1</v>
      </c>
      <c r="AQ178" s="15">
        <f>IF(J177&gt;1,IF(int_method=2,$AG$229*J177,$AG$229*'Pricing - Advanced'!$E$4),0)</f>
        <v>0</v>
      </c>
      <c r="AR178" s="5">
        <f t="shared" si="338"/>
        <v>0</v>
      </c>
      <c r="AS178" s="204">
        <f t="shared" si="343"/>
        <v>45579</v>
      </c>
      <c r="AT178" s="1">
        <f>IF($AT$4=FALSE,B178*'Pricing - Advanced'!$K$5,AT177+E178-E177)</f>
        <v>5236</v>
      </c>
      <c r="AW178">
        <f t="shared" si="241"/>
        <v>0</v>
      </c>
      <c r="AX178">
        <f t="shared" si="306"/>
        <v>0</v>
      </c>
      <c r="AY178">
        <f t="shared" si="242"/>
        <v>0</v>
      </c>
      <c r="AZ178">
        <f t="shared" si="243"/>
        <v>0</v>
      </c>
      <c r="BA178" s="603">
        <f t="shared" si="293"/>
        <v>0</v>
      </c>
      <c r="BB178" s="603">
        <f t="shared" si="294"/>
        <v>0</v>
      </c>
      <c r="BC178" s="5">
        <f t="shared" si="244"/>
        <v>0</v>
      </c>
      <c r="BE178" s="157">
        <f t="shared" si="307"/>
        <v>172</v>
      </c>
      <c r="BF178" s="489">
        <f t="shared" si="339"/>
        <v>5236</v>
      </c>
      <c r="BG178" s="146">
        <f t="shared" si="308"/>
        <v>0</v>
      </c>
      <c r="BH178" s="147">
        <f t="shared" si="309"/>
        <v>0</v>
      </c>
      <c r="BI178" s="154" t="e">
        <f t="shared" si="310"/>
        <v>#NUM!</v>
      </c>
      <c r="BJ178" s="277" t="e">
        <f t="shared" si="245"/>
        <v>#NUM!</v>
      </c>
      <c r="BK178" s="147" t="e">
        <f t="shared" si="246"/>
        <v>#NUM!</v>
      </c>
      <c r="BL178" s="132" t="e">
        <f t="shared" si="247"/>
        <v>#NUM!</v>
      </c>
      <c r="BN178" s="497">
        <f t="shared" si="311"/>
        <v>172</v>
      </c>
      <c r="BO178" s="497">
        <f t="shared" si="312"/>
        <v>5236</v>
      </c>
      <c r="BP178">
        <f t="shared" si="313"/>
        <v>0</v>
      </c>
      <c r="BQ178">
        <f t="shared" si="314"/>
        <v>0</v>
      </c>
      <c r="BR178" s="499" t="e">
        <f t="shared" si="315"/>
        <v>#NUM!</v>
      </c>
      <c r="BS178" s="277" t="e">
        <f t="shared" si="248"/>
        <v>#NUM!</v>
      </c>
      <c r="BT178" s="5" t="e">
        <f t="shared" si="249"/>
        <v>#NUM!</v>
      </c>
      <c r="BU178" s="5" t="e">
        <f t="shared" si="250"/>
        <v>#NUM!</v>
      </c>
      <c r="BW178" s="5"/>
      <c r="BX178" s="5"/>
      <c r="BY178" s="5"/>
      <c r="BZ178" s="5"/>
      <c r="CA178" s="130" t="e">
        <f t="shared" si="316"/>
        <v>#NUM!</v>
      </c>
      <c r="CB178" s="5"/>
      <c r="CC178" s="5" t="e">
        <f t="shared" si="251"/>
        <v>#NUM!</v>
      </c>
      <c r="CD178" s="5" t="e">
        <f t="shared" si="252"/>
        <v>#NUM!</v>
      </c>
      <c r="CE178" s="5"/>
      <c r="CI178" s="130">
        <f t="shared" si="317"/>
        <v>8.0397450834377633</v>
      </c>
      <c r="CJ178" s="130">
        <f t="shared" si="318"/>
        <v>8.0421461902425939</v>
      </c>
      <c r="CK178" s="296">
        <f t="shared" si="340"/>
        <v>9.2912421524264097</v>
      </c>
      <c r="CL178" s="130">
        <f t="shared" si="253"/>
        <v>9.2912421524264097</v>
      </c>
      <c r="CM178" s="5">
        <f t="shared" si="254"/>
        <v>0</v>
      </c>
      <c r="CN178" s="5">
        <f t="shared" si="319"/>
        <v>0</v>
      </c>
      <c r="DE178" s="130" t="e">
        <f t="shared" si="320"/>
        <v>#NUM!</v>
      </c>
      <c r="DF178" s="130" t="e">
        <f t="shared" si="321"/>
        <v>#NUM!</v>
      </c>
      <c r="DG178" s="130" t="e">
        <f t="shared" si="341"/>
        <v>#NUM!</v>
      </c>
      <c r="DH178" s="130" t="e">
        <f t="shared" si="322"/>
        <v>#NUM!</v>
      </c>
      <c r="DJ178" s="130" t="e">
        <f t="shared" si="323"/>
        <v>#NUM!</v>
      </c>
      <c r="DK178" s="130" t="e">
        <f t="shared" si="214"/>
        <v>#NUM!</v>
      </c>
      <c r="DL178" s="130" t="e">
        <f t="shared" si="255"/>
        <v>#NUM!</v>
      </c>
      <c r="DO178" s="130" t="e">
        <f t="shared" si="324"/>
        <v>#NUM!</v>
      </c>
      <c r="DP178" s="130" t="e">
        <f t="shared" si="216"/>
        <v>#NUM!</v>
      </c>
      <c r="DQ178" s="130" t="e">
        <f t="shared" si="256"/>
        <v>#NUM!</v>
      </c>
    </row>
    <row r="179" spans="2:121" hidden="1">
      <c r="B179" s="231">
        <v>173</v>
      </c>
      <c r="C179" s="280"/>
      <c r="D179" s="475"/>
      <c r="E179" s="318">
        <f t="shared" si="325"/>
        <v>45610</v>
      </c>
      <c r="F179" s="542">
        <f t="shared" ref="F179:F188" si="344">IF(AN179="x",E179-E178,0)</f>
        <v>0</v>
      </c>
      <c r="G179" s="239"/>
      <c r="H179" s="685">
        <f t="shared" si="326"/>
        <v>0</v>
      </c>
      <c r="I179" s="234"/>
      <c r="J179" s="597">
        <f t="shared" si="327"/>
        <v>0</v>
      </c>
      <c r="K179" s="478">
        <f t="shared" si="328"/>
        <v>0</v>
      </c>
      <c r="L179" s="234"/>
      <c r="M179" s="235">
        <f t="shared" si="329"/>
        <v>0</v>
      </c>
      <c r="N179" s="479">
        <f t="shared" si="330"/>
        <v>0</v>
      </c>
      <c r="O179" s="234"/>
      <c r="P179" s="235">
        <f t="shared" si="331"/>
        <v>0</v>
      </c>
      <c r="Q179" s="651">
        <f t="shared" si="332"/>
        <v>0</v>
      </c>
      <c r="R179" s="479">
        <f>IF(J179&gt;0,IF(OR(ManualMode=FALSE,ISBLANK(S179)),'Pricing - Advanced'!$F$16*J179+'Pricing - Advanced'!$F$17,"N/A"),0)</f>
        <v>0</v>
      </c>
      <c r="S179" s="234"/>
      <c r="T179" s="235">
        <f t="shared" si="333"/>
        <v>0</v>
      </c>
      <c r="U179" s="599">
        <f>IF(OR(ManualMode=FALSE,ISBLANK(V179)),SUM(K179:L179)*'Pricing - Advanced'!$F$19+SUM(N179,O179)*'Pricing - Advanced'!$F$18,"N/A")</f>
        <v>0</v>
      </c>
      <c r="V179" s="234"/>
      <c r="W179" s="236">
        <f t="shared" si="334"/>
        <v>0</v>
      </c>
      <c r="X179" s="237">
        <f>'Pricing - Advanced'!$F$20*SUM(H179:I179)+IF(J179&gt;1,'Pricing - Advanced'!$F$21,0)</f>
        <v>0</v>
      </c>
      <c r="Y179" s="688">
        <f>IF(AND(FullTerm&gt;=B179,AB178&gt;0),AB178*'Pricing - Advanced'!$I$128,0)</f>
        <v>0</v>
      </c>
      <c r="Z179" s="233">
        <f t="shared" si="335"/>
        <v>0</v>
      </c>
      <c r="AA179" s="234"/>
      <c r="AB179" s="597">
        <f t="shared" si="336"/>
        <v>0</v>
      </c>
      <c r="AC179" s="236">
        <f t="shared" si="303"/>
        <v>0</v>
      </c>
      <c r="AF179" s="762" t="e">
        <f t="shared" si="337"/>
        <v>#N/A</v>
      </c>
      <c r="AG179" s="759" t="e">
        <f t="shared" si="304"/>
        <v>#N/A</v>
      </c>
      <c r="AH179" s="759">
        <f>IF(J179=0,0,J179-SUM($N$6:N179)-AB178)</f>
        <v>0</v>
      </c>
      <c r="AI179" s="759">
        <f t="shared" si="305"/>
        <v>0</v>
      </c>
      <c r="AJ179" s="760">
        <f t="shared" si="298"/>
        <v>3.0000000000000001E-3</v>
      </c>
      <c r="AK179" s="760">
        <f t="shared" si="299"/>
        <v>3.0000000000000001E-3</v>
      </c>
      <c r="AN179" s="1" t="b">
        <f t="shared" si="342"/>
        <v>1</v>
      </c>
      <c r="AQ179" s="15">
        <f>IF(J178&gt;1,IF(int_method=2,$AG$229*J178,$AG$229*'Pricing - Advanced'!$E$4),0)</f>
        <v>0</v>
      </c>
      <c r="AR179" s="5">
        <f t="shared" si="338"/>
        <v>0</v>
      </c>
      <c r="AS179" s="204">
        <f t="shared" si="343"/>
        <v>45610</v>
      </c>
      <c r="AT179" s="1">
        <f>IF($AT$4=FALSE,B179*'Pricing - Advanced'!$K$5,AT178+E179-E178)</f>
        <v>5267</v>
      </c>
      <c r="AW179">
        <f t="shared" si="241"/>
        <v>0</v>
      </c>
      <c r="AX179">
        <f t="shared" si="306"/>
        <v>0</v>
      </c>
      <c r="AY179">
        <f t="shared" si="242"/>
        <v>0</v>
      </c>
      <c r="AZ179">
        <f t="shared" si="243"/>
        <v>0</v>
      </c>
      <c r="BA179" s="603">
        <f t="shared" si="293"/>
        <v>0</v>
      </c>
      <c r="BB179" s="603">
        <f t="shared" si="294"/>
        <v>0</v>
      </c>
      <c r="BC179" s="5">
        <f t="shared" si="244"/>
        <v>0</v>
      </c>
      <c r="BE179" s="157">
        <f t="shared" si="307"/>
        <v>173</v>
      </c>
      <c r="BF179" s="489">
        <f t="shared" si="339"/>
        <v>5267</v>
      </c>
      <c r="BG179" s="146">
        <f t="shared" si="308"/>
        <v>0</v>
      </c>
      <c r="BH179" s="147">
        <f t="shared" si="309"/>
        <v>0</v>
      </c>
      <c r="BI179" s="154" t="e">
        <f t="shared" si="310"/>
        <v>#NUM!</v>
      </c>
      <c r="BJ179" s="277" t="e">
        <f t="shared" si="245"/>
        <v>#NUM!</v>
      </c>
      <c r="BK179" s="147" t="e">
        <f t="shared" si="246"/>
        <v>#NUM!</v>
      </c>
      <c r="BL179" s="132" t="e">
        <f t="shared" si="247"/>
        <v>#NUM!</v>
      </c>
      <c r="BN179" s="497">
        <f t="shared" si="311"/>
        <v>173</v>
      </c>
      <c r="BO179" s="497">
        <f t="shared" si="312"/>
        <v>5267</v>
      </c>
      <c r="BP179">
        <f t="shared" si="313"/>
        <v>0</v>
      </c>
      <c r="BQ179">
        <f t="shared" si="314"/>
        <v>0</v>
      </c>
      <c r="BR179" s="499" t="e">
        <f t="shared" si="315"/>
        <v>#NUM!</v>
      </c>
      <c r="BS179" s="277" t="e">
        <f t="shared" si="248"/>
        <v>#NUM!</v>
      </c>
      <c r="BT179" s="5" t="e">
        <f t="shared" si="249"/>
        <v>#NUM!</v>
      </c>
      <c r="BU179" s="5" t="e">
        <f t="shared" si="250"/>
        <v>#NUM!</v>
      </c>
      <c r="BW179" s="5"/>
      <c r="BX179" s="5"/>
      <c r="BY179" s="5"/>
      <c r="BZ179" s="5"/>
      <c r="CA179" s="130" t="e">
        <f t="shared" si="316"/>
        <v>#NUM!</v>
      </c>
      <c r="CB179" s="5"/>
      <c r="CC179" s="5" t="e">
        <f t="shared" si="251"/>
        <v>#NUM!</v>
      </c>
      <c r="CD179" s="5" t="e">
        <f t="shared" si="252"/>
        <v>#NUM!</v>
      </c>
      <c r="CE179" s="5"/>
      <c r="CI179" s="130">
        <f t="shared" si="317"/>
        <v>8.1377682043158881</v>
      </c>
      <c r="CJ179" s="130">
        <f t="shared" si="318"/>
        <v>8.1420218488949967</v>
      </c>
      <c r="CK179" s="296">
        <f t="shared" si="340"/>
        <v>9.4124377055430646</v>
      </c>
      <c r="CL179" s="130">
        <f t="shared" si="253"/>
        <v>9.4124377055430646</v>
      </c>
      <c r="CM179" s="5">
        <f t="shared" si="254"/>
        <v>0</v>
      </c>
      <c r="CN179" s="5">
        <f t="shared" si="319"/>
        <v>0</v>
      </c>
      <c r="DE179" s="130" t="e">
        <f t="shared" si="320"/>
        <v>#NUM!</v>
      </c>
      <c r="DF179" s="130" t="e">
        <f t="shared" si="321"/>
        <v>#NUM!</v>
      </c>
      <c r="DG179" s="130" t="e">
        <f t="shared" si="341"/>
        <v>#NUM!</v>
      </c>
      <c r="DH179" s="130" t="e">
        <f t="shared" si="322"/>
        <v>#NUM!</v>
      </c>
      <c r="DJ179" s="130" t="e">
        <f t="shared" si="323"/>
        <v>#NUM!</v>
      </c>
      <c r="DK179" s="130" t="e">
        <f t="shared" si="214"/>
        <v>#NUM!</v>
      </c>
      <c r="DL179" s="130" t="e">
        <f t="shared" si="255"/>
        <v>#NUM!</v>
      </c>
      <c r="DO179" s="130" t="e">
        <f t="shared" si="324"/>
        <v>#NUM!</v>
      </c>
      <c r="DP179" s="130" t="e">
        <f t="shared" si="216"/>
        <v>#NUM!</v>
      </c>
      <c r="DQ179" s="130" t="e">
        <f t="shared" si="256"/>
        <v>#NUM!</v>
      </c>
    </row>
    <row r="180" spans="2:121" hidden="1">
      <c r="B180" s="231">
        <v>174</v>
      </c>
      <c r="C180" s="280"/>
      <c r="D180" s="475"/>
      <c r="E180" s="318">
        <f t="shared" si="325"/>
        <v>45640</v>
      </c>
      <c r="F180" s="542">
        <f t="shared" si="344"/>
        <v>0</v>
      </c>
      <c r="G180" s="239"/>
      <c r="H180" s="685">
        <f t="shared" si="326"/>
        <v>0</v>
      </c>
      <c r="I180" s="234"/>
      <c r="J180" s="597">
        <f t="shared" si="327"/>
        <v>0</v>
      </c>
      <c r="K180" s="478">
        <f t="shared" si="328"/>
        <v>0</v>
      </c>
      <c r="L180" s="234"/>
      <c r="M180" s="235">
        <f t="shared" si="329"/>
        <v>0</v>
      </c>
      <c r="N180" s="479">
        <f t="shared" si="330"/>
        <v>0</v>
      </c>
      <c r="O180" s="234"/>
      <c r="P180" s="235">
        <f t="shared" si="331"/>
        <v>0</v>
      </c>
      <c r="Q180" s="651">
        <f t="shared" si="332"/>
        <v>0</v>
      </c>
      <c r="R180" s="479">
        <f>IF(J180&gt;0,IF(OR(ManualMode=FALSE,ISBLANK(S180)),'Pricing - Advanced'!$F$16*J180+'Pricing - Advanced'!$F$17,"N/A"),0)</f>
        <v>0</v>
      </c>
      <c r="S180" s="234"/>
      <c r="T180" s="235">
        <f t="shared" si="333"/>
        <v>0</v>
      </c>
      <c r="U180" s="599">
        <f>IF(OR(ManualMode=FALSE,ISBLANK(V180)),SUM(K180:L180)*'Pricing - Advanced'!$F$19+SUM(N180,O180)*'Pricing - Advanced'!$F$18,"N/A")</f>
        <v>0</v>
      </c>
      <c r="V180" s="234"/>
      <c r="W180" s="236">
        <f t="shared" si="334"/>
        <v>0</v>
      </c>
      <c r="X180" s="237">
        <f>'Pricing - Advanced'!$F$20*SUM(H180:I180)+IF(J180&gt;1,'Pricing - Advanced'!$F$21,0)</f>
        <v>0</v>
      </c>
      <c r="Y180" s="688">
        <f>IF(AND(FullTerm&gt;=B180,AB179&gt;0),AB179*'Pricing - Advanced'!$I$128,0)</f>
        <v>0</v>
      </c>
      <c r="Z180" s="233">
        <f t="shared" si="335"/>
        <v>0</v>
      </c>
      <c r="AA180" s="234"/>
      <c r="AB180" s="597">
        <f t="shared" si="336"/>
        <v>0</v>
      </c>
      <c r="AC180" s="236">
        <f t="shared" si="303"/>
        <v>0</v>
      </c>
      <c r="AF180" s="762" t="e">
        <f t="shared" si="337"/>
        <v>#N/A</v>
      </c>
      <c r="AG180" s="759" t="e">
        <f t="shared" si="304"/>
        <v>#N/A</v>
      </c>
      <c r="AH180" s="759">
        <f>IF(J180=0,0,J180-SUM($N$6:N180)-AB179)</f>
        <v>0</v>
      </c>
      <c r="AI180" s="759">
        <f t="shared" si="305"/>
        <v>0</v>
      </c>
      <c r="AJ180" s="760">
        <f t="shared" si="298"/>
        <v>3.0000000000000001E-3</v>
      </c>
      <c r="AK180" s="760">
        <f t="shared" si="299"/>
        <v>3.0000000000000001E-3</v>
      </c>
      <c r="AN180" s="1" t="b">
        <f t="shared" si="342"/>
        <v>1</v>
      </c>
      <c r="AQ180" s="15">
        <f>IF(J179&gt;1,IF(int_method=2,$AG$229*J179,$AG$229*'Pricing - Advanced'!$E$4),0)</f>
        <v>0</v>
      </c>
      <c r="AR180" s="5">
        <f t="shared" si="338"/>
        <v>0</v>
      </c>
      <c r="AS180" s="204">
        <f t="shared" si="343"/>
        <v>45640</v>
      </c>
      <c r="AT180" s="1">
        <f>IF($AT$4=FALSE,B180*'Pricing - Advanced'!$K$5,AT179+E180-E179)</f>
        <v>5297</v>
      </c>
      <c r="AW180">
        <f t="shared" si="241"/>
        <v>0</v>
      </c>
      <c r="AX180">
        <f t="shared" si="306"/>
        <v>0</v>
      </c>
      <c r="AY180">
        <f t="shared" si="242"/>
        <v>0</v>
      </c>
      <c r="AZ180">
        <f t="shared" si="243"/>
        <v>0</v>
      </c>
      <c r="BA180" s="603">
        <f t="shared" si="293"/>
        <v>0</v>
      </c>
      <c r="BB180" s="603">
        <f t="shared" si="294"/>
        <v>0</v>
      </c>
      <c r="BC180" s="5">
        <f t="shared" si="244"/>
        <v>0</v>
      </c>
      <c r="BE180" s="157">
        <f t="shared" si="307"/>
        <v>174</v>
      </c>
      <c r="BF180" s="489">
        <f t="shared" si="339"/>
        <v>5297</v>
      </c>
      <c r="BG180" s="146">
        <f t="shared" si="308"/>
        <v>0</v>
      </c>
      <c r="BH180" s="147">
        <f t="shared" si="309"/>
        <v>0</v>
      </c>
      <c r="BI180" s="154" t="e">
        <f t="shared" si="310"/>
        <v>#NUM!</v>
      </c>
      <c r="BJ180" s="277" t="e">
        <f t="shared" si="245"/>
        <v>#NUM!</v>
      </c>
      <c r="BK180" s="147" t="e">
        <f t="shared" si="246"/>
        <v>#NUM!</v>
      </c>
      <c r="BL180" s="132" t="e">
        <f t="shared" si="247"/>
        <v>#NUM!</v>
      </c>
      <c r="BN180" s="497">
        <f t="shared" si="311"/>
        <v>174</v>
      </c>
      <c r="BO180" s="497">
        <f t="shared" si="312"/>
        <v>5297</v>
      </c>
      <c r="BP180">
        <f t="shared" si="313"/>
        <v>0</v>
      </c>
      <c r="BQ180">
        <f t="shared" si="314"/>
        <v>0</v>
      </c>
      <c r="BR180" s="499" t="e">
        <f t="shared" si="315"/>
        <v>#NUM!</v>
      </c>
      <c r="BS180" s="277" t="e">
        <f t="shared" si="248"/>
        <v>#NUM!</v>
      </c>
      <c r="BT180" s="5" t="e">
        <f t="shared" si="249"/>
        <v>#NUM!</v>
      </c>
      <c r="BU180" s="5" t="e">
        <f t="shared" si="250"/>
        <v>#NUM!</v>
      </c>
      <c r="BW180" s="5"/>
      <c r="BX180" s="5"/>
      <c r="BY180" s="5"/>
      <c r="BZ180" s="5"/>
      <c r="CA180" s="130" t="e">
        <f t="shared" si="316"/>
        <v>#NUM!</v>
      </c>
      <c r="CB180" s="5"/>
      <c r="CC180" s="5" t="e">
        <f t="shared" si="251"/>
        <v>#NUM!</v>
      </c>
      <c r="CD180" s="5" t="e">
        <f t="shared" si="252"/>
        <v>#NUM!</v>
      </c>
      <c r="CE180" s="5"/>
      <c r="CI180" s="130">
        <f t="shared" si="317"/>
        <v>8.2369864541597924</v>
      </c>
      <c r="CJ180" s="130">
        <f t="shared" si="318"/>
        <v>8.2398565417365681</v>
      </c>
      <c r="CK180" s="296">
        <f t="shared" si="340"/>
        <v>9.5352141411568372</v>
      </c>
      <c r="CL180" s="130">
        <f t="shared" si="253"/>
        <v>9.5352141411568372</v>
      </c>
      <c r="CM180" s="5">
        <f t="shared" si="254"/>
        <v>0</v>
      </c>
      <c r="CN180" s="5">
        <f t="shared" si="319"/>
        <v>0</v>
      </c>
      <c r="DE180" s="130" t="e">
        <f t="shared" si="320"/>
        <v>#NUM!</v>
      </c>
      <c r="DF180" s="130" t="e">
        <f t="shared" si="321"/>
        <v>#NUM!</v>
      </c>
      <c r="DG180" s="130" t="e">
        <f t="shared" si="341"/>
        <v>#NUM!</v>
      </c>
      <c r="DH180" s="130" t="e">
        <f t="shared" si="322"/>
        <v>#NUM!</v>
      </c>
      <c r="DJ180" s="130" t="e">
        <f t="shared" si="323"/>
        <v>#NUM!</v>
      </c>
      <c r="DK180" s="130" t="e">
        <f t="shared" si="214"/>
        <v>#NUM!</v>
      </c>
      <c r="DL180" s="130" t="e">
        <f t="shared" si="255"/>
        <v>#NUM!</v>
      </c>
      <c r="DO180" s="130" t="e">
        <f t="shared" si="324"/>
        <v>#NUM!</v>
      </c>
      <c r="DP180" s="130" t="e">
        <f t="shared" si="216"/>
        <v>#NUM!</v>
      </c>
      <c r="DQ180" s="130" t="e">
        <f t="shared" si="256"/>
        <v>#NUM!</v>
      </c>
    </row>
    <row r="181" spans="2:121" hidden="1">
      <c r="B181" s="231">
        <v>175</v>
      </c>
      <c r="C181" s="280"/>
      <c r="D181" s="475"/>
      <c r="E181" s="318">
        <f t="shared" si="325"/>
        <v>45671</v>
      </c>
      <c r="F181" s="542">
        <f t="shared" si="344"/>
        <v>0</v>
      </c>
      <c r="G181" s="239"/>
      <c r="H181" s="685">
        <f t="shared" si="326"/>
        <v>0</v>
      </c>
      <c r="I181" s="234"/>
      <c r="J181" s="597">
        <f t="shared" si="327"/>
        <v>0</v>
      </c>
      <c r="K181" s="478">
        <f t="shared" si="328"/>
        <v>0</v>
      </c>
      <c r="L181" s="234"/>
      <c r="M181" s="235">
        <f t="shared" si="329"/>
        <v>0</v>
      </c>
      <c r="N181" s="479">
        <f t="shared" si="330"/>
        <v>0</v>
      </c>
      <c r="O181" s="234"/>
      <c r="P181" s="235">
        <f t="shared" si="331"/>
        <v>0</v>
      </c>
      <c r="Q181" s="651">
        <f t="shared" si="332"/>
        <v>0</v>
      </c>
      <c r="R181" s="479">
        <f>IF(J181&gt;0,IF(OR(ManualMode=FALSE,ISBLANK(S181)),'Pricing - Advanced'!$F$16*J181+'Pricing - Advanced'!$F$17,"N/A"),0)</f>
        <v>0</v>
      </c>
      <c r="S181" s="234"/>
      <c r="T181" s="235">
        <f t="shared" si="333"/>
        <v>0</v>
      </c>
      <c r="U181" s="599">
        <f>IF(OR(ManualMode=FALSE,ISBLANK(V181)),SUM(K181:L181)*'Pricing - Advanced'!$F$19+SUM(N181,O181)*'Pricing - Advanced'!$F$18,"N/A")</f>
        <v>0</v>
      </c>
      <c r="V181" s="234"/>
      <c r="W181" s="236">
        <f t="shared" si="334"/>
        <v>0</v>
      </c>
      <c r="X181" s="237">
        <f>'Pricing - Advanced'!$F$20*SUM(H181:I181)+IF(J181&gt;1,'Pricing - Advanced'!$F$21,0)</f>
        <v>0</v>
      </c>
      <c r="Y181" s="688">
        <f>IF(AND(FullTerm&gt;=B181,AB180&gt;0),AB180*'Pricing - Advanced'!$I$128,0)</f>
        <v>0</v>
      </c>
      <c r="Z181" s="233">
        <f t="shared" si="335"/>
        <v>0</v>
      </c>
      <c r="AA181" s="234"/>
      <c r="AB181" s="597">
        <f t="shared" si="336"/>
        <v>0</v>
      </c>
      <c r="AC181" s="236">
        <f t="shared" si="303"/>
        <v>0</v>
      </c>
      <c r="AF181" s="762" t="e">
        <f t="shared" si="337"/>
        <v>#N/A</v>
      </c>
      <c r="AG181" s="759" t="e">
        <f t="shared" si="304"/>
        <v>#N/A</v>
      </c>
      <c r="AH181" s="759">
        <f>IF(J181=0,0,J181-SUM($N$6:N181)-AB180)</f>
        <v>0</v>
      </c>
      <c r="AI181" s="759">
        <f t="shared" si="305"/>
        <v>0</v>
      </c>
      <c r="AJ181" s="760">
        <f t="shared" si="298"/>
        <v>3.0000000000000001E-3</v>
      </c>
      <c r="AK181" s="760">
        <f t="shared" si="299"/>
        <v>3.0000000000000001E-3</v>
      </c>
      <c r="AN181" s="1" t="b">
        <f t="shared" si="342"/>
        <v>1</v>
      </c>
      <c r="AQ181" s="15">
        <f>IF(J180&gt;1,IF(int_method=2,$AG$229*J180,$AG$229*'Pricing - Advanced'!$E$4),0)</f>
        <v>0</v>
      </c>
      <c r="AR181" s="5">
        <f t="shared" si="338"/>
        <v>0</v>
      </c>
      <c r="AS181" s="204">
        <f t="shared" si="343"/>
        <v>45671</v>
      </c>
      <c r="AT181" s="1">
        <f>IF($AT$4=FALSE,B181*'Pricing - Advanced'!$K$5,AT180+E181-E180)</f>
        <v>5328</v>
      </c>
      <c r="AW181">
        <f t="shared" si="241"/>
        <v>0</v>
      </c>
      <c r="AX181">
        <f t="shared" si="306"/>
        <v>0</v>
      </c>
      <c r="AY181">
        <f t="shared" si="242"/>
        <v>0</v>
      </c>
      <c r="AZ181">
        <f t="shared" si="243"/>
        <v>0</v>
      </c>
      <c r="BA181" s="603">
        <f t="shared" si="293"/>
        <v>0</v>
      </c>
      <c r="BB181" s="603">
        <f t="shared" si="294"/>
        <v>0</v>
      </c>
      <c r="BC181" s="5">
        <f t="shared" si="244"/>
        <v>0</v>
      </c>
      <c r="BE181" s="157">
        <f t="shared" si="307"/>
        <v>175</v>
      </c>
      <c r="BF181" s="489">
        <f t="shared" si="339"/>
        <v>5328</v>
      </c>
      <c r="BG181" s="146">
        <f t="shared" si="308"/>
        <v>0</v>
      </c>
      <c r="BH181" s="147">
        <f t="shared" si="309"/>
        <v>0</v>
      </c>
      <c r="BI181" s="154" t="e">
        <f t="shared" si="310"/>
        <v>#NUM!</v>
      </c>
      <c r="BJ181" s="277" t="e">
        <f t="shared" si="245"/>
        <v>#NUM!</v>
      </c>
      <c r="BK181" s="147" t="e">
        <f t="shared" si="246"/>
        <v>#NUM!</v>
      </c>
      <c r="BL181" s="132" t="e">
        <f t="shared" si="247"/>
        <v>#NUM!</v>
      </c>
      <c r="BN181" s="497">
        <f t="shared" si="311"/>
        <v>175</v>
      </c>
      <c r="BO181" s="497">
        <f t="shared" si="312"/>
        <v>5328</v>
      </c>
      <c r="BP181">
        <f t="shared" si="313"/>
        <v>0</v>
      </c>
      <c r="BQ181">
        <f t="shared" si="314"/>
        <v>0</v>
      </c>
      <c r="BR181" s="499" t="e">
        <f t="shared" si="315"/>
        <v>#NUM!</v>
      </c>
      <c r="BS181" s="277" t="e">
        <f t="shared" si="248"/>
        <v>#NUM!</v>
      </c>
      <c r="BT181" s="5" t="e">
        <f t="shared" si="249"/>
        <v>#NUM!</v>
      </c>
      <c r="BU181" s="5" t="e">
        <f t="shared" si="250"/>
        <v>#NUM!</v>
      </c>
      <c r="BW181" s="5"/>
      <c r="BX181" s="5"/>
      <c r="BY181" s="5"/>
      <c r="BZ181" s="5"/>
      <c r="CA181" s="130" t="e">
        <f t="shared" si="316"/>
        <v>#NUM!</v>
      </c>
      <c r="CB181" s="5"/>
      <c r="CC181" s="5" t="e">
        <f t="shared" si="251"/>
        <v>#NUM!</v>
      </c>
      <c r="CD181" s="5" t="e">
        <f t="shared" si="252"/>
        <v>#NUM!</v>
      </c>
      <c r="CE181" s="5"/>
      <c r="CI181" s="130">
        <f t="shared" si="317"/>
        <v>8.3374144043607128</v>
      </c>
      <c r="CJ181" s="130">
        <f t="shared" si="318"/>
        <v>8.3421875712701699</v>
      </c>
      <c r="CK181" s="296">
        <f t="shared" si="340"/>
        <v>9.6595920803994879</v>
      </c>
      <c r="CL181" s="130">
        <f t="shared" si="253"/>
        <v>9.6595920803994879</v>
      </c>
      <c r="CM181" s="5">
        <f t="shared" si="254"/>
        <v>0</v>
      </c>
      <c r="CN181" s="5">
        <f t="shared" si="319"/>
        <v>0</v>
      </c>
      <c r="DE181" s="130" t="e">
        <f t="shared" si="320"/>
        <v>#NUM!</v>
      </c>
      <c r="DF181" s="130" t="e">
        <f t="shared" si="321"/>
        <v>#NUM!</v>
      </c>
      <c r="DG181" s="130" t="e">
        <f t="shared" si="341"/>
        <v>#NUM!</v>
      </c>
      <c r="DH181" s="130" t="e">
        <f t="shared" si="322"/>
        <v>#NUM!</v>
      </c>
      <c r="DJ181" s="130" t="e">
        <f t="shared" si="323"/>
        <v>#NUM!</v>
      </c>
      <c r="DK181" s="130" t="e">
        <f t="shared" si="214"/>
        <v>#NUM!</v>
      </c>
      <c r="DL181" s="130" t="e">
        <f t="shared" si="255"/>
        <v>#NUM!</v>
      </c>
      <c r="DO181" s="130" t="e">
        <f t="shared" si="324"/>
        <v>#NUM!</v>
      </c>
      <c r="DP181" s="130" t="e">
        <f t="shared" si="216"/>
        <v>#NUM!</v>
      </c>
      <c r="DQ181" s="130" t="e">
        <f t="shared" si="256"/>
        <v>#NUM!</v>
      </c>
    </row>
    <row r="182" spans="2:121" hidden="1">
      <c r="B182" s="231">
        <v>176</v>
      </c>
      <c r="C182" s="280"/>
      <c r="D182" s="475"/>
      <c r="E182" s="318">
        <f t="shared" si="325"/>
        <v>45702</v>
      </c>
      <c r="F182" s="542">
        <f t="shared" si="344"/>
        <v>0</v>
      </c>
      <c r="G182" s="239"/>
      <c r="H182" s="685">
        <f t="shared" si="326"/>
        <v>0</v>
      </c>
      <c r="I182" s="234"/>
      <c r="J182" s="597">
        <f t="shared" si="327"/>
        <v>0</v>
      </c>
      <c r="K182" s="478">
        <f t="shared" si="328"/>
        <v>0</v>
      </c>
      <c r="L182" s="234"/>
      <c r="M182" s="235">
        <f t="shared" si="329"/>
        <v>0</v>
      </c>
      <c r="N182" s="479">
        <f t="shared" si="330"/>
        <v>0</v>
      </c>
      <c r="O182" s="234"/>
      <c r="P182" s="235">
        <f t="shared" si="331"/>
        <v>0</v>
      </c>
      <c r="Q182" s="651">
        <f t="shared" si="332"/>
        <v>0</v>
      </c>
      <c r="R182" s="479">
        <f>IF(J182&gt;0,IF(OR(ManualMode=FALSE,ISBLANK(S182)),'Pricing - Advanced'!$F$16*J182+'Pricing - Advanced'!$F$17,"N/A"),0)</f>
        <v>0</v>
      </c>
      <c r="S182" s="234"/>
      <c r="T182" s="235">
        <f t="shared" si="333"/>
        <v>0</v>
      </c>
      <c r="U182" s="599">
        <f>IF(OR(ManualMode=FALSE,ISBLANK(V182)),SUM(K182:L182)*'Pricing - Advanced'!$F$19+SUM(N182,O182)*'Pricing - Advanced'!$F$18,"N/A")</f>
        <v>0</v>
      </c>
      <c r="V182" s="234"/>
      <c r="W182" s="236">
        <f t="shared" si="334"/>
        <v>0</v>
      </c>
      <c r="X182" s="237">
        <f>'Pricing - Advanced'!$F$20*SUM(H182:I182)+IF(J182&gt;1,'Pricing - Advanced'!$F$21,0)</f>
        <v>0</v>
      </c>
      <c r="Y182" s="688">
        <f>IF(AND(FullTerm&gt;=B182,AB181&gt;0),AB181*'Pricing - Advanced'!$I$128,0)</f>
        <v>0</v>
      </c>
      <c r="Z182" s="233">
        <f t="shared" si="335"/>
        <v>0</v>
      </c>
      <c r="AA182" s="234"/>
      <c r="AB182" s="597">
        <f t="shared" si="336"/>
        <v>0</v>
      </c>
      <c r="AC182" s="236">
        <f t="shared" si="303"/>
        <v>0</v>
      </c>
      <c r="AF182" s="762" t="e">
        <f t="shared" si="337"/>
        <v>#N/A</v>
      </c>
      <c r="AG182" s="759" t="e">
        <f t="shared" si="304"/>
        <v>#N/A</v>
      </c>
      <c r="AH182" s="759">
        <f>IF(J182=0,0,J182-SUM($N$6:N182)-AB181)</f>
        <v>0</v>
      </c>
      <c r="AI182" s="759">
        <f t="shared" si="305"/>
        <v>0</v>
      </c>
      <c r="AJ182" s="760">
        <f t="shared" si="298"/>
        <v>3.0000000000000001E-3</v>
      </c>
      <c r="AK182" s="760">
        <f t="shared" si="299"/>
        <v>3.0000000000000001E-3</v>
      </c>
      <c r="AN182" s="1" t="b">
        <f t="shared" si="342"/>
        <v>1</v>
      </c>
      <c r="AQ182" s="15">
        <f>IF(J181&gt;1,IF(int_method=2,$AG$229*J181,$AG$229*'Pricing - Advanced'!$E$4),0)</f>
        <v>0</v>
      </c>
      <c r="AR182" s="5">
        <f t="shared" si="338"/>
        <v>0</v>
      </c>
      <c r="AS182" s="204">
        <f t="shared" si="343"/>
        <v>45702</v>
      </c>
      <c r="AT182" s="1">
        <f>IF($AT$4=FALSE,B182*'Pricing - Advanced'!$K$5,AT181+E182-E181)</f>
        <v>5359</v>
      </c>
      <c r="AW182">
        <f t="shared" si="241"/>
        <v>0</v>
      </c>
      <c r="AX182">
        <f t="shared" si="306"/>
        <v>0</v>
      </c>
      <c r="AY182">
        <f t="shared" si="242"/>
        <v>0</v>
      </c>
      <c r="AZ182">
        <f t="shared" si="243"/>
        <v>0</v>
      </c>
      <c r="BA182" s="603">
        <f t="shared" si="293"/>
        <v>0</v>
      </c>
      <c r="BB182" s="603">
        <f t="shared" si="294"/>
        <v>0</v>
      </c>
      <c r="BC182" s="5">
        <f t="shared" si="244"/>
        <v>0</v>
      </c>
      <c r="BE182" s="157">
        <f t="shared" si="307"/>
        <v>176</v>
      </c>
      <c r="BF182" s="489">
        <f t="shared" si="339"/>
        <v>5359</v>
      </c>
      <c r="BG182" s="146">
        <f t="shared" si="308"/>
        <v>0</v>
      </c>
      <c r="BH182" s="147">
        <f t="shared" si="309"/>
        <v>0</v>
      </c>
      <c r="BI182" s="154" t="e">
        <f t="shared" si="310"/>
        <v>#NUM!</v>
      </c>
      <c r="BJ182" s="277" t="e">
        <f t="shared" si="245"/>
        <v>#NUM!</v>
      </c>
      <c r="BK182" s="147" t="e">
        <f t="shared" si="246"/>
        <v>#NUM!</v>
      </c>
      <c r="BL182" s="132" t="e">
        <f t="shared" si="247"/>
        <v>#NUM!</v>
      </c>
      <c r="BN182" s="497">
        <f t="shared" si="311"/>
        <v>176</v>
      </c>
      <c r="BO182" s="497">
        <f t="shared" si="312"/>
        <v>5359</v>
      </c>
      <c r="BP182">
        <f t="shared" si="313"/>
        <v>0</v>
      </c>
      <c r="BQ182">
        <f t="shared" si="314"/>
        <v>0</v>
      </c>
      <c r="BR182" s="499" t="e">
        <f t="shared" si="315"/>
        <v>#NUM!</v>
      </c>
      <c r="BS182" s="277" t="e">
        <f t="shared" si="248"/>
        <v>#NUM!</v>
      </c>
      <c r="BT182" s="5" t="e">
        <f t="shared" si="249"/>
        <v>#NUM!</v>
      </c>
      <c r="BU182" s="5" t="e">
        <f t="shared" si="250"/>
        <v>#NUM!</v>
      </c>
      <c r="BW182" s="5"/>
      <c r="BX182" s="5"/>
      <c r="BY182" s="5"/>
      <c r="BZ182" s="5"/>
      <c r="CA182" s="130" t="e">
        <f t="shared" si="316"/>
        <v>#NUM!</v>
      </c>
      <c r="CB182" s="5"/>
      <c r="CC182" s="5" t="e">
        <f t="shared" si="251"/>
        <v>#NUM!</v>
      </c>
      <c r="CD182" s="5" t="e">
        <f t="shared" si="252"/>
        <v>#NUM!</v>
      </c>
      <c r="CE182" s="5"/>
      <c r="CI182" s="130">
        <f t="shared" si="317"/>
        <v>8.4390668039689132</v>
      </c>
      <c r="CJ182" s="130">
        <f t="shared" si="318"/>
        <v>8.4457894529784827</v>
      </c>
      <c r="CK182" s="296">
        <f t="shared" si="340"/>
        <v>9.7855924133861318</v>
      </c>
      <c r="CL182" s="130">
        <f t="shared" si="253"/>
        <v>9.7855924133861318</v>
      </c>
      <c r="CM182" s="5">
        <f t="shared" si="254"/>
        <v>0</v>
      </c>
      <c r="CN182" s="5">
        <f t="shared" si="319"/>
        <v>0</v>
      </c>
      <c r="DE182" s="130" t="e">
        <f t="shared" si="320"/>
        <v>#NUM!</v>
      </c>
      <c r="DF182" s="130" t="e">
        <f t="shared" si="321"/>
        <v>#NUM!</v>
      </c>
      <c r="DG182" s="130" t="e">
        <f t="shared" si="341"/>
        <v>#NUM!</v>
      </c>
      <c r="DH182" s="130" t="e">
        <f t="shared" si="322"/>
        <v>#NUM!</v>
      </c>
      <c r="DJ182" s="130" t="e">
        <f t="shared" si="323"/>
        <v>#NUM!</v>
      </c>
      <c r="DK182" s="130" t="e">
        <f t="shared" si="214"/>
        <v>#NUM!</v>
      </c>
      <c r="DL182" s="130" t="e">
        <f t="shared" si="255"/>
        <v>#NUM!</v>
      </c>
      <c r="DO182" s="130" t="e">
        <f t="shared" si="324"/>
        <v>#NUM!</v>
      </c>
      <c r="DP182" s="130" t="e">
        <f t="shared" si="216"/>
        <v>#NUM!</v>
      </c>
      <c r="DQ182" s="130" t="e">
        <f t="shared" si="256"/>
        <v>#NUM!</v>
      </c>
    </row>
    <row r="183" spans="2:121" hidden="1">
      <c r="B183" s="231">
        <v>177</v>
      </c>
      <c r="C183" s="280"/>
      <c r="D183" s="475"/>
      <c r="E183" s="318">
        <f t="shared" si="325"/>
        <v>45730</v>
      </c>
      <c r="F183" s="542">
        <f t="shared" si="344"/>
        <v>0</v>
      </c>
      <c r="G183" s="239"/>
      <c r="H183" s="685">
        <f t="shared" si="326"/>
        <v>0</v>
      </c>
      <c r="I183" s="234"/>
      <c r="J183" s="597">
        <f t="shared" si="327"/>
        <v>0</v>
      </c>
      <c r="K183" s="478">
        <f t="shared" si="328"/>
        <v>0</v>
      </c>
      <c r="L183" s="234"/>
      <c r="M183" s="235">
        <f t="shared" si="329"/>
        <v>0</v>
      </c>
      <c r="N183" s="479">
        <f t="shared" si="330"/>
        <v>0</v>
      </c>
      <c r="O183" s="234"/>
      <c r="P183" s="235">
        <f t="shared" si="331"/>
        <v>0</v>
      </c>
      <c r="Q183" s="651">
        <f t="shared" si="332"/>
        <v>0</v>
      </c>
      <c r="R183" s="479">
        <f>IF(J183&gt;0,IF(OR(ManualMode=FALSE,ISBLANK(S183)),'Pricing - Advanced'!$F$16*J183+'Pricing - Advanced'!$F$17,"N/A"),0)</f>
        <v>0</v>
      </c>
      <c r="S183" s="234"/>
      <c r="T183" s="235">
        <f t="shared" si="333"/>
        <v>0</v>
      </c>
      <c r="U183" s="599">
        <f>IF(OR(ManualMode=FALSE,ISBLANK(V183)),SUM(K183:L183)*'Pricing - Advanced'!$F$19+SUM(N183,O183)*'Pricing - Advanced'!$F$18,"N/A")</f>
        <v>0</v>
      </c>
      <c r="V183" s="234"/>
      <c r="W183" s="236">
        <f t="shared" si="334"/>
        <v>0</v>
      </c>
      <c r="X183" s="237">
        <f>'Pricing - Advanced'!$F$20*SUM(H183:I183)+IF(J183&gt;1,'Pricing - Advanced'!$F$21,0)</f>
        <v>0</v>
      </c>
      <c r="Y183" s="688">
        <f>IF(AND(FullTerm&gt;=B183,AB182&gt;0),AB182*'Pricing - Advanced'!$I$128,0)</f>
        <v>0</v>
      </c>
      <c r="Z183" s="233">
        <f t="shared" si="335"/>
        <v>0</v>
      </c>
      <c r="AA183" s="234"/>
      <c r="AB183" s="597">
        <f t="shared" si="336"/>
        <v>0</v>
      </c>
      <c r="AC183" s="236">
        <f t="shared" si="303"/>
        <v>0</v>
      </c>
      <c r="AF183" s="762" t="e">
        <f t="shared" si="337"/>
        <v>#N/A</v>
      </c>
      <c r="AG183" s="759" t="e">
        <f t="shared" si="304"/>
        <v>#N/A</v>
      </c>
      <c r="AH183" s="759">
        <f>IF(J183=0,0,J183-SUM($N$6:N183)-AB182)</f>
        <v>0</v>
      </c>
      <c r="AI183" s="759">
        <f t="shared" si="305"/>
        <v>0</v>
      </c>
      <c r="AJ183" s="760">
        <f t="shared" si="298"/>
        <v>3.0000000000000001E-3</v>
      </c>
      <c r="AK183" s="760">
        <f t="shared" si="299"/>
        <v>3.0000000000000001E-3</v>
      </c>
      <c r="AN183" s="1" t="b">
        <f t="shared" si="342"/>
        <v>1</v>
      </c>
      <c r="AQ183" s="15">
        <f>IF(J182&gt;1,IF(int_method=2,$AG$229*J182,$AG$229*'Pricing - Advanced'!$E$4),0)</f>
        <v>0</v>
      </c>
      <c r="AR183" s="5">
        <f t="shared" si="338"/>
        <v>0</v>
      </c>
      <c r="AS183" s="204">
        <f t="shared" si="343"/>
        <v>45730</v>
      </c>
      <c r="AT183" s="1">
        <f>IF($AT$4=FALSE,B183*'Pricing - Advanced'!$K$5,AT182+E183-E182)</f>
        <v>5387</v>
      </c>
      <c r="AW183">
        <f t="shared" si="241"/>
        <v>0</v>
      </c>
      <c r="AX183">
        <f t="shared" si="306"/>
        <v>0</v>
      </c>
      <c r="AY183">
        <f t="shared" si="242"/>
        <v>0</v>
      </c>
      <c r="AZ183">
        <f t="shared" si="243"/>
        <v>0</v>
      </c>
      <c r="BA183" s="603">
        <f t="shared" si="293"/>
        <v>0</v>
      </c>
      <c r="BB183" s="603">
        <f t="shared" si="294"/>
        <v>0</v>
      </c>
      <c r="BC183" s="5">
        <f t="shared" si="244"/>
        <v>0</v>
      </c>
      <c r="BE183" s="157">
        <f t="shared" si="307"/>
        <v>177</v>
      </c>
      <c r="BF183" s="489">
        <f t="shared" si="339"/>
        <v>5387</v>
      </c>
      <c r="BG183" s="146">
        <f t="shared" si="308"/>
        <v>0</v>
      </c>
      <c r="BH183" s="147">
        <f t="shared" si="309"/>
        <v>0</v>
      </c>
      <c r="BI183" s="154" t="e">
        <f t="shared" si="310"/>
        <v>#NUM!</v>
      </c>
      <c r="BJ183" s="277" t="e">
        <f t="shared" si="245"/>
        <v>#NUM!</v>
      </c>
      <c r="BK183" s="147" t="e">
        <f t="shared" si="246"/>
        <v>#NUM!</v>
      </c>
      <c r="BL183" s="132" t="e">
        <f t="shared" si="247"/>
        <v>#NUM!</v>
      </c>
      <c r="BN183" s="497">
        <f t="shared" si="311"/>
        <v>177</v>
      </c>
      <c r="BO183" s="497">
        <f t="shared" si="312"/>
        <v>5387</v>
      </c>
      <c r="BP183">
        <f t="shared" si="313"/>
        <v>0</v>
      </c>
      <c r="BQ183">
        <f t="shared" si="314"/>
        <v>0</v>
      </c>
      <c r="BR183" s="499" t="e">
        <f t="shared" si="315"/>
        <v>#NUM!</v>
      </c>
      <c r="BS183" s="277" t="e">
        <f t="shared" si="248"/>
        <v>#NUM!</v>
      </c>
      <c r="BT183" s="5" t="e">
        <f t="shared" si="249"/>
        <v>#NUM!</v>
      </c>
      <c r="BU183" s="5" t="e">
        <f t="shared" si="250"/>
        <v>#NUM!</v>
      </c>
      <c r="BW183" s="5"/>
      <c r="BX183" s="5"/>
      <c r="BY183" s="5"/>
      <c r="BZ183" s="5"/>
      <c r="CA183" s="130" t="e">
        <f t="shared" si="316"/>
        <v>#NUM!</v>
      </c>
      <c r="CB183" s="5"/>
      <c r="CC183" s="5" t="e">
        <f t="shared" si="251"/>
        <v>#NUM!</v>
      </c>
      <c r="CD183" s="5" t="e">
        <f t="shared" si="252"/>
        <v>#NUM!</v>
      </c>
      <c r="CE183" s="5"/>
      <c r="CI183" s="130">
        <f t="shared" si="317"/>
        <v>8.541958581859749</v>
      </c>
      <c r="CJ183" s="130">
        <f t="shared" si="318"/>
        <v>8.5404707947660921</v>
      </c>
      <c r="CK183" s="296">
        <f t="shared" si="340"/>
        <v>9.9132363027238721</v>
      </c>
      <c r="CL183" s="130">
        <f t="shared" si="253"/>
        <v>9.9132363027238721</v>
      </c>
      <c r="CM183" s="5">
        <f t="shared" si="254"/>
        <v>0</v>
      </c>
      <c r="CN183" s="5">
        <f t="shared" si="319"/>
        <v>0</v>
      </c>
      <c r="DE183" s="130" t="e">
        <f t="shared" si="320"/>
        <v>#NUM!</v>
      </c>
      <c r="DF183" s="130" t="e">
        <f t="shared" si="321"/>
        <v>#NUM!</v>
      </c>
      <c r="DG183" s="130" t="e">
        <f t="shared" si="341"/>
        <v>#NUM!</v>
      </c>
      <c r="DH183" s="130" t="e">
        <f t="shared" si="322"/>
        <v>#NUM!</v>
      </c>
      <c r="DJ183" s="130" t="e">
        <f t="shared" si="323"/>
        <v>#NUM!</v>
      </c>
      <c r="DK183" s="130" t="e">
        <f t="shared" si="214"/>
        <v>#NUM!</v>
      </c>
      <c r="DL183" s="130" t="e">
        <f t="shared" si="255"/>
        <v>#NUM!</v>
      </c>
      <c r="DO183" s="130" t="e">
        <f t="shared" si="324"/>
        <v>#NUM!</v>
      </c>
      <c r="DP183" s="130" t="e">
        <f t="shared" si="216"/>
        <v>#NUM!</v>
      </c>
      <c r="DQ183" s="130" t="e">
        <f t="shared" si="256"/>
        <v>#NUM!</v>
      </c>
    </row>
    <row r="184" spans="2:121" hidden="1">
      <c r="B184" s="231">
        <v>178</v>
      </c>
      <c r="C184" s="280"/>
      <c r="D184" s="475"/>
      <c r="E184" s="318">
        <f t="shared" si="325"/>
        <v>45761</v>
      </c>
      <c r="F184" s="542">
        <f t="shared" si="344"/>
        <v>0</v>
      </c>
      <c r="G184" s="239"/>
      <c r="H184" s="685">
        <f t="shared" si="326"/>
        <v>0</v>
      </c>
      <c r="I184" s="234"/>
      <c r="J184" s="597">
        <f t="shared" si="327"/>
        <v>0</v>
      </c>
      <c r="K184" s="478">
        <f t="shared" si="328"/>
        <v>0</v>
      </c>
      <c r="L184" s="234"/>
      <c r="M184" s="235">
        <f t="shared" si="329"/>
        <v>0</v>
      </c>
      <c r="N184" s="479">
        <f t="shared" si="330"/>
        <v>0</v>
      </c>
      <c r="O184" s="234"/>
      <c r="P184" s="235">
        <f t="shared" si="331"/>
        <v>0</v>
      </c>
      <c r="Q184" s="651">
        <f t="shared" si="332"/>
        <v>0</v>
      </c>
      <c r="R184" s="479">
        <f>IF(J184&gt;0,IF(OR(ManualMode=FALSE,ISBLANK(S184)),'Pricing - Advanced'!$F$16*J184+'Pricing - Advanced'!$F$17,"N/A"),0)</f>
        <v>0</v>
      </c>
      <c r="S184" s="234"/>
      <c r="T184" s="235">
        <f t="shared" si="333"/>
        <v>0</v>
      </c>
      <c r="U184" s="599">
        <f>IF(OR(ManualMode=FALSE,ISBLANK(V184)),SUM(K184:L184)*'Pricing - Advanced'!$F$19+SUM(N184,O184)*'Pricing - Advanced'!$F$18,"N/A")</f>
        <v>0</v>
      </c>
      <c r="V184" s="234"/>
      <c r="W184" s="236">
        <f t="shared" si="334"/>
        <v>0</v>
      </c>
      <c r="X184" s="237">
        <f>'Pricing - Advanced'!$F$20*SUM(H184:I184)+IF(J184&gt;1,'Pricing - Advanced'!$F$21,0)</f>
        <v>0</v>
      </c>
      <c r="Y184" s="688">
        <f>IF(AND(FullTerm&gt;=B184,AB183&gt;0),AB183*'Pricing - Advanced'!$I$128,0)</f>
        <v>0</v>
      </c>
      <c r="Z184" s="233">
        <f t="shared" si="335"/>
        <v>0</v>
      </c>
      <c r="AA184" s="234"/>
      <c r="AB184" s="597">
        <f t="shared" si="336"/>
        <v>0</v>
      </c>
      <c r="AC184" s="236">
        <f t="shared" si="303"/>
        <v>0</v>
      </c>
      <c r="AF184" s="762" t="e">
        <f t="shared" si="337"/>
        <v>#N/A</v>
      </c>
      <c r="AG184" s="759" t="e">
        <f t="shared" si="304"/>
        <v>#N/A</v>
      </c>
      <c r="AH184" s="759">
        <f>IF(J184=0,0,J184-SUM($N$6:N184)-AB183)</f>
        <v>0</v>
      </c>
      <c r="AI184" s="759">
        <f t="shared" si="305"/>
        <v>0</v>
      </c>
      <c r="AJ184" s="760">
        <f t="shared" si="298"/>
        <v>3.0000000000000001E-3</v>
      </c>
      <c r="AK184" s="760">
        <f t="shared" si="299"/>
        <v>3.0000000000000001E-3</v>
      </c>
      <c r="AN184" s="1" t="b">
        <f t="shared" si="342"/>
        <v>1</v>
      </c>
      <c r="AQ184" s="15">
        <f>IF(J183&gt;1,IF(int_method=2,$AG$229*J183,$AG$229*'Pricing - Advanced'!$E$4),0)</f>
        <v>0</v>
      </c>
      <c r="AR184" s="5">
        <f t="shared" si="338"/>
        <v>0</v>
      </c>
      <c r="AS184" s="204">
        <f t="shared" si="343"/>
        <v>45761</v>
      </c>
      <c r="AT184" s="1">
        <f>IF($AT$4=FALSE,B184*'Pricing - Advanced'!$K$5,AT183+E184-E183)</f>
        <v>5418</v>
      </c>
      <c r="AW184">
        <f t="shared" si="241"/>
        <v>0</v>
      </c>
      <c r="AX184">
        <f t="shared" si="306"/>
        <v>0</v>
      </c>
      <c r="AY184">
        <f t="shared" si="242"/>
        <v>0</v>
      </c>
      <c r="AZ184">
        <f t="shared" si="243"/>
        <v>0</v>
      </c>
      <c r="BA184" s="603">
        <f t="shared" si="293"/>
        <v>0</v>
      </c>
      <c r="BB184" s="603">
        <f t="shared" si="294"/>
        <v>0</v>
      </c>
      <c r="BC184" s="5">
        <f t="shared" si="244"/>
        <v>0</v>
      </c>
      <c r="BE184" s="157">
        <f t="shared" si="307"/>
        <v>178</v>
      </c>
      <c r="BF184" s="489">
        <f t="shared" si="339"/>
        <v>5418</v>
      </c>
      <c r="BG184" s="146">
        <f t="shared" si="308"/>
        <v>0</v>
      </c>
      <c r="BH184" s="147">
        <f t="shared" si="309"/>
        <v>0</v>
      </c>
      <c r="BI184" s="154" t="e">
        <f t="shared" si="310"/>
        <v>#NUM!</v>
      </c>
      <c r="BJ184" s="277" t="e">
        <f t="shared" si="245"/>
        <v>#NUM!</v>
      </c>
      <c r="BK184" s="147" t="e">
        <f t="shared" si="246"/>
        <v>#NUM!</v>
      </c>
      <c r="BL184" s="132" t="e">
        <f t="shared" si="247"/>
        <v>#NUM!</v>
      </c>
      <c r="BN184" s="497">
        <f t="shared" si="311"/>
        <v>178</v>
      </c>
      <c r="BO184" s="497">
        <f t="shared" si="312"/>
        <v>5418</v>
      </c>
      <c r="BP184">
        <f t="shared" si="313"/>
        <v>0</v>
      </c>
      <c r="BQ184">
        <f t="shared" si="314"/>
        <v>0</v>
      </c>
      <c r="BR184" s="499" t="e">
        <f t="shared" si="315"/>
        <v>#NUM!</v>
      </c>
      <c r="BS184" s="277" t="e">
        <f t="shared" si="248"/>
        <v>#NUM!</v>
      </c>
      <c r="BT184" s="5" t="e">
        <f t="shared" si="249"/>
        <v>#NUM!</v>
      </c>
      <c r="BU184" s="5" t="e">
        <f t="shared" si="250"/>
        <v>#NUM!</v>
      </c>
      <c r="BW184" s="5"/>
      <c r="BX184" s="5"/>
      <c r="BY184" s="5"/>
      <c r="BZ184" s="5"/>
      <c r="CA184" s="130" t="e">
        <f t="shared" si="316"/>
        <v>#NUM!</v>
      </c>
      <c r="CB184" s="5"/>
      <c r="CC184" s="5" t="e">
        <f t="shared" si="251"/>
        <v>#NUM!</v>
      </c>
      <c r="CD184" s="5" t="e">
        <f t="shared" si="252"/>
        <v>#NUM!</v>
      </c>
      <c r="CE184" s="5"/>
      <c r="CI184" s="130">
        <f t="shared" si="317"/>
        <v>8.6461048489261589</v>
      </c>
      <c r="CJ184" s="130">
        <f t="shared" si="318"/>
        <v>8.6465351618704602</v>
      </c>
      <c r="CK184" s="296">
        <f t="shared" si="340"/>
        <v>10.042545187066205</v>
      </c>
      <c r="CL184" s="130">
        <f t="shared" si="253"/>
        <v>10.042545187066205</v>
      </c>
      <c r="CM184" s="5">
        <f t="shared" si="254"/>
        <v>0</v>
      </c>
      <c r="CN184" s="5">
        <f t="shared" si="319"/>
        <v>0</v>
      </c>
      <c r="DE184" s="130" t="e">
        <f t="shared" si="320"/>
        <v>#NUM!</v>
      </c>
      <c r="DF184" s="130" t="e">
        <f t="shared" si="321"/>
        <v>#NUM!</v>
      </c>
      <c r="DG184" s="130" t="e">
        <f t="shared" si="341"/>
        <v>#NUM!</v>
      </c>
      <c r="DH184" s="130" t="e">
        <f t="shared" si="322"/>
        <v>#NUM!</v>
      </c>
      <c r="DJ184" s="130" t="e">
        <f t="shared" si="323"/>
        <v>#NUM!</v>
      </c>
      <c r="DK184" s="130" t="e">
        <f t="shared" si="214"/>
        <v>#NUM!</v>
      </c>
      <c r="DL184" s="130" t="e">
        <f t="shared" si="255"/>
        <v>#NUM!</v>
      </c>
      <c r="DO184" s="130" t="e">
        <f t="shared" si="324"/>
        <v>#NUM!</v>
      </c>
      <c r="DP184" s="130" t="e">
        <f t="shared" si="216"/>
        <v>#NUM!</v>
      </c>
      <c r="DQ184" s="130" t="e">
        <f t="shared" si="256"/>
        <v>#NUM!</v>
      </c>
    </row>
    <row r="185" spans="2:121" hidden="1">
      <c r="B185" s="231">
        <v>179</v>
      </c>
      <c r="C185" s="280"/>
      <c r="D185" s="475"/>
      <c r="E185" s="318">
        <f t="shared" si="325"/>
        <v>45791</v>
      </c>
      <c r="F185" s="542">
        <f t="shared" si="344"/>
        <v>0</v>
      </c>
      <c r="G185" s="239"/>
      <c r="H185" s="685">
        <f t="shared" si="326"/>
        <v>0</v>
      </c>
      <c r="I185" s="234"/>
      <c r="J185" s="597">
        <f t="shared" si="327"/>
        <v>0</v>
      </c>
      <c r="K185" s="478">
        <f t="shared" si="328"/>
        <v>0</v>
      </c>
      <c r="L185" s="234"/>
      <c r="M185" s="235">
        <f t="shared" si="329"/>
        <v>0</v>
      </c>
      <c r="N185" s="479">
        <f t="shared" si="330"/>
        <v>0</v>
      </c>
      <c r="O185" s="234"/>
      <c r="P185" s="235">
        <f t="shared" si="331"/>
        <v>0</v>
      </c>
      <c r="Q185" s="651">
        <f t="shared" si="332"/>
        <v>0</v>
      </c>
      <c r="R185" s="479">
        <f>IF(J185&gt;0,IF(OR(ManualMode=FALSE,ISBLANK(S185)),'Pricing - Advanced'!$F$16*J185+'Pricing - Advanced'!$F$17,"N/A"),0)</f>
        <v>0</v>
      </c>
      <c r="S185" s="234"/>
      <c r="T185" s="235">
        <f t="shared" si="333"/>
        <v>0</v>
      </c>
      <c r="U185" s="599">
        <f>IF(OR(ManualMode=FALSE,ISBLANK(V185)),SUM(K185:L185)*'Pricing - Advanced'!$F$19+SUM(N185,O185)*'Pricing - Advanced'!$F$18,"N/A")</f>
        <v>0</v>
      </c>
      <c r="V185" s="234"/>
      <c r="W185" s="236">
        <f t="shared" si="334"/>
        <v>0</v>
      </c>
      <c r="X185" s="237">
        <f>'Pricing - Advanced'!$F$20*SUM(H185:I185)+IF(J185&gt;1,'Pricing - Advanced'!$F$21,0)</f>
        <v>0</v>
      </c>
      <c r="Y185" s="688">
        <f>IF(AND(FullTerm&gt;=B185,AB184&gt;0),AB184*'Pricing - Advanced'!$I$128,0)</f>
        <v>0</v>
      </c>
      <c r="Z185" s="233">
        <f t="shared" si="335"/>
        <v>0</v>
      </c>
      <c r="AA185" s="234"/>
      <c r="AB185" s="597">
        <f t="shared" si="336"/>
        <v>0</v>
      </c>
      <c r="AC185" s="236">
        <f t="shared" si="303"/>
        <v>0</v>
      </c>
      <c r="AF185" s="762" t="e">
        <f t="shared" si="337"/>
        <v>#N/A</v>
      </c>
      <c r="AG185" s="759" t="e">
        <f t="shared" si="304"/>
        <v>#N/A</v>
      </c>
      <c r="AH185" s="759">
        <f>IF(J185=0,0,J185-SUM($N$6:N185)-AB184)</f>
        <v>0</v>
      </c>
      <c r="AI185" s="759">
        <f t="shared" si="305"/>
        <v>0</v>
      </c>
      <c r="AJ185" s="760">
        <f t="shared" si="298"/>
        <v>3.0000000000000001E-3</v>
      </c>
      <c r="AK185" s="760">
        <f t="shared" si="299"/>
        <v>3.0000000000000001E-3</v>
      </c>
      <c r="AN185" s="1" t="b">
        <f t="shared" si="342"/>
        <v>1</v>
      </c>
      <c r="AQ185" s="15">
        <f>IF(J184&gt;1,IF(int_method=2,$AG$229*J184,$AG$229*'Pricing - Advanced'!$E$4),0)</f>
        <v>0</v>
      </c>
      <c r="AR185" s="5">
        <f t="shared" si="338"/>
        <v>0</v>
      </c>
      <c r="AS185" s="204">
        <f t="shared" si="343"/>
        <v>45791</v>
      </c>
      <c r="AT185" s="1">
        <f>IF($AT$4=FALSE,B185*'Pricing - Advanced'!$K$5,AT184+E185-E184)</f>
        <v>5448</v>
      </c>
      <c r="AW185">
        <f t="shared" si="241"/>
        <v>0</v>
      </c>
      <c r="AX185">
        <f t="shared" si="306"/>
        <v>0</v>
      </c>
      <c r="AY185">
        <f t="shared" si="242"/>
        <v>0</v>
      </c>
      <c r="AZ185">
        <f t="shared" si="243"/>
        <v>0</v>
      </c>
      <c r="BA185" s="603">
        <f t="shared" si="293"/>
        <v>0</v>
      </c>
      <c r="BB185" s="603">
        <f t="shared" si="294"/>
        <v>0</v>
      </c>
      <c r="BC185" s="5">
        <f t="shared" si="244"/>
        <v>0</v>
      </c>
      <c r="BE185" s="157">
        <f t="shared" si="307"/>
        <v>179</v>
      </c>
      <c r="BF185" s="489">
        <f t="shared" si="339"/>
        <v>5448</v>
      </c>
      <c r="BG185" s="146">
        <f t="shared" si="308"/>
        <v>0</v>
      </c>
      <c r="BH185" s="147">
        <f t="shared" si="309"/>
        <v>0</v>
      </c>
      <c r="BI185" s="154" t="e">
        <f t="shared" si="310"/>
        <v>#NUM!</v>
      </c>
      <c r="BJ185" s="277" t="e">
        <f t="shared" si="245"/>
        <v>#NUM!</v>
      </c>
      <c r="BK185" s="147" t="e">
        <f t="shared" si="246"/>
        <v>#NUM!</v>
      </c>
      <c r="BL185" s="132" t="e">
        <f t="shared" si="247"/>
        <v>#NUM!</v>
      </c>
      <c r="BN185" s="497">
        <f t="shared" si="311"/>
        <v>179</v>
      </c>
      <c r="BO185" s="497">
        <f t="shared" si="312"/>
        <v>5448</v>
      </c>
      <c r="BP185">
        <f t="shared" si="313"/>
        <v>0</v>
      </c>
      <c r="BQ185">
        <f t="shared" si="314"/>
        <v>0</v>
      </c>
      <c r="BR185" s="499" t="e">
        <f t="shared" si="315"/>
        <v>#NUM!</v>
      </c>
      <c r="BS185" s="277" t="e">
        <f t="shared" si="248"/>
        <v>#NUM!</v>
      </c>
      <c r="BT185" s="5" t="e">
        <f t="shared" si="249"/>
        <v>#NUM!</v>
      </c>
      <c r="BU185" s="5" t="e">
        <f t="shared" si="250"/>
        <v>#NUM!</v>
      </c>
      <c r="BW185" s="5"/>
      <c r="BX185" s="5"/>
      <c r="BY185" s="5"/>
      <c r="BZ185" s="5"/>
      <c r="CA185" s="130" t="e">
        <f t="shared" si="316"/>
        <v>#NUM!</v>
      </c>
      <c r="CB185" s="5"/>
      <c r="CC185" s="5" t="e">
        <f t="shared" si="251"/>
        <v>#NUM!</v>
      </c>
      <c r="CD185" s="5" t="e">
        <f t="shared" si="252"/>
        <v>#NUM!</v>
      </c>
      <c r="CE185" s="5"/>
      <c r="CI185" s="130">
        <f t="shared" si="317"/>
        <v>8.7515209002978835</v>
      </c>
      <c r="CJ185" s="130">
        <f t="shared" si="318"/>
        <v>8.7504320964899946</v>
      </c>
      <c r="CK185" s="296">
        <f t="shared" si="340"/>
        <v>10.173540784713785</v>
      </c>
      <c r="CL185" s="130">
        <f t="shared" si="253"/>
        <v>10.173540784713785</v>
      </c>
      <c r="CM185" s="5">
        <f t="shared" si="254"/>
        <v>0</v>
      </c>
      <c r="CN185" s="5">
        <f t="shared" si="319"/>
        <v>0</v>
      </c>
      <c r="DE185" s="130" t="e">
        <f t="shared" si="320"/>
        <v>#NUM!</v>
      </c>
      <c r="DF185" s="130" t="e">
        <f t="shared" si="321"/>
        <v>#NUM!</v>
      </c>
      <c r="DG185" s="130" t="e">
        <f t="shared" si="341"/>
        <v>#NUM!</v>
      </c>
      <c r="DH185" s="130" t="e">
        <f t="shared" si="322"/>
        <v>#NUM!</v>
      </c>
      <c r="DJ185" s="130" t="e">
        <f t="shared" si="323"/>
        <v>#NUM!</v>
      </c>
      <c r="DK185" s="130" t="e">
        <f t="shared" si="214"/>
        <v>#NUM!</v>
      </c>
      <c r="DL185" s="130" t="e">
        <f t="shared" si="255"/>
        <v>#NUM!</v>
      </c>
      <c r="DO185" s="130" t="e">
        <f t="shared" si="324"/>
        <v>#NUM!</v>
      </c>
      <c r="DP185" s="130" t="e">
        <f t="shared" si="216"/>
        <v>#NUM!</v>
      </c>
      <c r="DQ185" s="130" t="e">
        <f t="shared" si="256"/>
        <v>#NUM!</v>
      </c>
    </row>
    <row r="186" spans="2:121" hidden="1">
      <c r="B186" s="231">
        <v>180</v>
      </c>
      <c r="C186" s="280"/>
      <c r="D186" s="475"/>
      <c r="E186" s="318">
        <f t="shared" si="325"/>
        <v>45822</v>
      </c>
      <c r="F186" s="542">
        <f t="shared" si="344"/>
        <v>0</v>
      </c>
      <c r="G186" s="239"/>
      <c r="H186" s="685">
        <f t="shared" si="326"/>
        <v>0</v>
      </c>
      <c r="I186" s="234"/>
      <c r="J186" s="597">
        <f t="shared" si="327"/>
        <v>0</v>
      </c>
      <c r="K186" s="478">
        <f t="shared" si="328"/>
        <v>0</v>
      </c>
      <c r="L186" s="234"/>
      <c r="M186" s="235">
        <f t="shared" si="329"/>
        <v>0</v>
      </c>
      <c r="N186" s="479">
        <f t="shared" si="330"/>
        <v>0</v>
      </c>
      <c r="O186" s="234"/>
      <c r="P186" s="235">
        <f t="shared" si="331"/>
        <v>0</v>
      </c>
      <c r="Q186" s="651">
        <f t="shared" si="332"/>
        <v>0</v>
      </c>
      <c r="R186" s="479">
        <f>IF(J186&gt;0,IF(OR(ManualMode=FALSE,ISBLANK(S186)),'Pricing - Advanced'!$F$16*J186+'Pricing - Advanced'!$F$17,"N/A"),0)</f>
        <v>0</v>
      </c>
      <c r="S186" s="234"/>
      <c r="T186" s="235">
        <f t="shared" si="333"/>
        <v>0</v>
      </c>
      <c r="U186" s="599">
        <f>IF(OR(ManualMode=FALSE,ISBLANK(V186)),SUM(K186:L186)*'Pricing - Advanced'!$F$19+SUM(N186,O186)*'Pricing - Advanced'!$F$18,"N/A")</f>
        <v>0</v>
      </c>
      <c r="V186" s="234"/>
      <c r="W186" s="236">
        <f t="shared" si="334"/>
        <v>0</v>
      </c>
      <c r="X186" s="237">
        <f>'Pricing - Advanced'!$F$20*SUM(H186:I186)+IF(J186&gt;1,'Pricing - Advanced'!$F$21,0)</f>
        <v>0</v>
      </c>
      <c r="Y186" s="688">
        <f>IF(AND(FullTerm&gt;=B186,AB185&gt;0),AB185*'Pricing - Advanced'!$I$128,0)</f>
        <v>0</v>
      </c>
      <c r="Z186" s="233">
        <f t="shared" si="335"/>
        <v>0</v>
      </c>
      <c r="AA186" s="234"/>
      <c r="AB186" s="597">
        <f t="shared" si="336"/>
        <v>0</v>
      </c>
      <c r="AC186" s="236">
        <f t="shared" si="303"/>
        <v>0</v>
      </c>
      <c r="AF186" s="762" t="e">
        <f t="shared" si="337"/>
        <v>#N/A</v>
      </c>
      <c r="AG186" s="759" t="e">
        <f t="shared" si="304"/>
        <v>#N/A</v>
      </c>
      <c r="AH186" s="759">
        <f>IF(J186=0,0,J186-SUM($N$6:N186)-AB185)</f>
        <v>0</v>
      </c>
      <c r="AI186" s="759">
        <f t="shared" si="305"/>
        <v>0</v>
      </c>
      <c r="AJ186" s="760">
        <f t="shared" si="298"/>
        <v>3.0000000000000001E-3</v>
      </c>
      <c r="AK186" s="760">
        <f t="shared" si="299"/>
        <v>3.0000000000000001E-3</v>
      </c>
      <c r="AN186" s="1" t="b">
        <f t="shared" si="342"/>
        <v>1</v>
      </c>
      <c r="AQ186" s="15">
        <f>IF(J185&gt;1,IF(int_method=2,$AG$229*J185,$AG$229*'Pricing - Advanced'!$E$4),0)</f>
        <v>0</v>
      </c>
      <c r="AR186" s="5">
        <f t="shared" si="338"/>
        <v>0</v>
      </c>
      <c r="AS186" s="204">
        <f t="shared" si="343"/>
        <v>45822</v>
      </c>
      <c r="AT186" s="1">
        <f>IF($AT$4=FALSE,B186*'Pricing - Advanced'!$K$5,AT185+E186-E185)</f>
        <v>5479</v>
      </c>
      <c r="AW186">
        <f t="shared" si="241"/>
        <v>0</v>
      </c>
      <c r="AX186">
        <f t="shared" si="306"/>
        <v>0</v>
      </c>
      <c r="AY186">
        <f t="shared" si="242"/>
        <v>0</v>
      </c>
      <c r="AZ186">
        <f t="shared" si="243"/>
        <v>0</v>
      </c>
      <c r="BA186" s="603">
        <f t="shared" si="293"/>
        <v>0</v>
      </c>
      <c r="BB186" s="603">
        <f t="shared" si="294"/>
        <v>0</v>
      </c>
      <c r="BC186" s="5">
        <f t="shared" si="244"/>
        <v>0</v>
      </c>
      <c r="BE186" s="157">
        <f t="shared" si="307"/>
        <v>180</v>
      </c>
      <c r="BF186" s="489">
        <f t="shared" si="339"/>
        <v>5479</v>
      </c>
      <c r="BG186" s="146">
        <f t="shared" si="308"/>
        <v>0</v>
      </c>
      <c r="BH186" s="147">
        <f t="shared" si="309"/>
        <v>0</v>
      </c>
      <c r="BI186" s="154" t="e">
        <f t="shared" si="310"/>
        <v>#NUM!</v>
      </c>
      <c r="BJ186" s="277" t="e">
        <f t="shared" si="245"/>
        <v>#NUM!</v>
      </c>
      <c r="BK186" s="147" t="e">
        <f t="shared" si="246"/>
        <v>#NUM!</v>
      </c>
      <c r="BL186" s="132" t="e">
        <f t="shared" si="247"/>
        <v>#NUM!</v>
      </c>
      <c r="BN186" s="497">
        <f t="shared" si="311"/>
        <v>180</v>
      </c>
      <c r="BO186" s="497">
        <f t="shared" si="312"/>
        <v>5479</v>
      </c>
      <c r="BP186">
        <f t="shared" si="313"/>
        <v>0</v>
      </c>
      <c r="BQ186">
        <f t="shared" si="314"/>
        <v>0</v>
      </c>
      <c r="BR186" s="499" t="e">
        <f t="shared" si="315"/>
        <v>#NUM!</v>
      </c>
      <c r="BS186" s="277" t="e">
        <f t="shared" si="248"/>
        <v>#NUM!</v>
      </c>
      <c r="BT186" s="5" t="e">
        <f t="shared" si="249"/>
        <v>#NUM!</v>
      </c>
      <c r="BU186" s="5" t="e">
        <f t="shared" si="250"/>
        <v>#NUM!</v>
      </c>
      <c r="BW186" s="5"/>
      <c r="BX186" s="5"/>
      <c r="BY186" s="5"/>
      <c r="BZ186" s="5"/>
      <c r="CA186" s="130" t="e">
        <f t="shared" si="316"/>
        <v>#NUM!</v>
      </c>
      <c r="CB186" s="5"/>
      <c r="CC186" s="5" t="e">
        <f t="shared" si="251"/>
        <v>#NUM!</v>
      </c>
      <c r="CD186" s="5" t="e">
        <f t="shared" si="252"/>
        <v>#NUM!</v>
      </c>
      <c r="CE186" s="5"/>
      <c r="CI186" s="130">
        <f t="shared" si="317"/>
        <v>8.8582222175877199</v>
      </c>
      <c r="CJ186" s="130">
        <f t="shared" si="318"/>
        <v>8.8591039793998565</v>
      </c>
      <c r="CK186" s="296">
        <f t="shared" si="340"/>
        <v>10.30624509726216</v>
      </c>
      <c r="CL186" s="130">
        <f t="shared" si="253"/>
        <v>10.30624509726216</v>
      </c>
      <c r="CM186" s="5">
        <f t="shared" si="254"/>
        <v>0</v>
      </c>
      <c r="CN186" s="5">
        <f t="shared" si="319"/>
        <v>0</v>
      </c>
      <c r="DE186" s="130" t="e">
        <f t="shared" si="320"/>
        <v>#NUM!</v>
      </c>
      <c r="DF186" s="130" t="e">
        <f t="shared" si="321"/>
        <v>#NUM!</v>
      </c>
      <c r="DG186" s="130" t="e">
        <f t="shared" si="341"/>
        <v>#NUM!</v>
      </c>
      <c r="DH186" s="130" t="e">
        <f t="shared" si="322"/>
        <v>#NUM!</v>
      </c>
      <c r="DJ186" s="130" t="e">
        <f t="shared" si="323"/>
        <v>#NUM!</v>
      </c>
      <c r="DK186" s="130" t="e">
        <f t="shared" si="214"/>
        <v>#NUM!</v>
      </c>
      <c r="DL186" s="130" t="e">
        <f t="shared" si="255"/>
        <v>#NUM!</v>
      </c>
      <c r="DO186" s="130" t="e">
        <f t="shared" si="324"/>
        <v>#NUM!</v>
      </c>
      <c r="DP186" s="130" t="e">
        <f t="shared" si="216"/>
        <v>#NUM!</v>
      </c>
      <c r="DQ186" s="130" t="e">
        <f t="shared" si="256"/>
        <v>#NUM!</v>
      </c>
    </row>
    <row r="187" spans="2:121" hidden="1">
      <c r="B187" s="231">
        <v>181</v>
      </c>
      <c r="C187" s="280"/>
      <c r="D187" s="475"/>
      <c r="E187" s="318">
        <f t="shared" si="325"/>
        <v>45852</v>
      </c>
      <c r="F187" s="542">
        <f t="shared" si="344"/>
        <v>0</v>
      </c>
      <c r="G187" s="239"/>
      <c r="H187" s="685">
        <f t="shared" si="326"/>
        <v>0</v>
      </c>
      <c r="I187" s="234"/>
      <c r="J187" s="597">
        <f t="shared" si="327"/>
        <v>0</v>
      </c>
      <c r="K187" s="478">
        <f t="shared" si="328"/>
        <v>0</v>
      </c>
      <c r="L187" s="234"/>
      <c r="M187" s="235">
        <f t="shared" si="329"/>
        <v>0</v>
      </c>
      <c r="N187" s="479">
        <f t="shared" si="330"/>
        <v>0</v>
      </c>
      <c r="O187" s="234"/>
      <c r="P187" s="235">
        <f t="shared" si="331"/>
        <v>0</v>
      </c>
      <c r="Q187" s="651">
        <f t="shared" si="332"/>
        <v>0</v>
      </c>
      <c r="R187" s="479">
        <f>IF(J187&gt;0,IF(OR(ManualMode=FALSE,ISBLANK(S187)),'Pricing - Advanced'!$F$16*J187+'Pricing - Advanced'!$F$17,"N/A"),0)</f>
        <v>0</v>
      </c>
      <c r="S187" s="234"/>
      <c r="T187" s="235">
        <f t="shared" si="333"/>
        <v>0</v>
      </c>
      <c r="U187" s="599">
        <f>IF(OR(ManualMode=FALSE,ISBLANK(V187)),SUM(K187:L187)*'Pricing - Advanced'!$F$19+SUM(N187,O187)*'Pricing - Advanced'!$F$18,"N/A")</f>
        <v>0</v>
      </c>
      <c r="V187" s="234"/>
      <c r="W187" s="236">
        <f t="shared" si="334"/>
        <v>0</v>
      </c>
      <c r="X187" s="237">
        <f>'Pricing - Advanced'!$F$20*SUM(H187:I187)+IF(J187&gt;1,'Pricing - Advanced'!$F$21,0)</f>
        <v>0</v>
      </c>
      <c r="Y187" s="688">
        <f>IF(AND(FullTerm&gt;=B187,AB186&gt;0),AB186*'Pricing - Advanced'!$I$128,0)</f>
        <v>0</v>
      </c>
      <c r="Z187" s="233">
        <f t="shared" si="335"/>
        <v>0</v>
      </c>
      <c r="AA187" s="234"/>
      <c r="AB187" s="597">
        <f t="shared" si="336"/>
        <v>0</v>
      </c>
      <c r="AC187" s="236">
        <f t="shared" si="303"/>
        <v>0</v>
      </c>
      <c r="AF187" s="762" t="e">
        <f t="shared" si="337"/>
        <v>#N/A</v>
      </c>
      <c r="AG187" s="759" t="e">
        <f t="shared" si="304"/>
        <v>#N/A</v>
      </c>
      <c r="AH187" s="759">
        <f>IF(J187=0,0,J187-SUM($N$6:N187)-AB186)</f>
        <v>0</v>
      </c>
      <c r="AI187" s="759">
        <f t="shared" si="305"/>
        <v>0</v>
      </c>
      <c r="AJ187" s="760">
        <f t="shared" si="298"/>
        <v>3.0000000000000001E-3</v>
      </c>
      <c r="AK187" s="760">
        <f t="shared" si="299"/>
        <v>3.0000000000000001E-3</v>
      </c>
      <c r="AN187" s="1" t="b">
        <f t="shared" si="342"/>
        <v>1</v>
      </c>
      <c r="AQ187" s="15">
        <f>IF(J186&gt;1,IF(int_method=2,$AG$229*J186,$AG$229*'Pricing - Advanced'!$E$4),0)</f>
        <v>0</v>
      </c>
      <c r="AR187" s="5">
        <f t="shared" si="338"/>
        <v>0</v>
      </c>
      <c r="AS187" s="204">
        <f t="shared" si="343"/>
        <v>45852</v>
      </c>
      <c r="AT187" s="1">
        <f>IF($AT$4=FALSE,B187*'Pricing - Advanced'!$K$5,AT186+E187-E186)</f>
        <v>5509</v>
      </c>
      <c r="AW187">
        <f t="shared" si="241"/>
        <v>0</v>
      </c>
      <c r="AX187">
        <f t="shared" si="306"/>
        <v>0</v>
      </c>
      <c r="AY187">
        <f t="shared" si="242"/>
        <v>0</v>
      </c>
      <c r="AZ187">
        <f t="shared" si="243"/>
        <v>0</v>
      </c>
      <c r="BA187" s="603">
        <f t="shared" si="293"/>
        <v>0</v>
      </c>
      <c r="BB187" s="603">
        <f t="shared" si="294"/>
        <v>0</v>
      </c>
      <c r="BC187" s="5">
        <f t="shared" si="244"/>
        <v>0</v>
      </c>
      <c r="BE187" s="157">
        <f t="shared" si="307"/>
        <v>181</v>
      </c>
      <c r="BF187" s="489">
        <f t="shared" si="339"/>
        <v>5509</v>
      </c>
      <c r="BG187" s="146">
        <f t="shared" si="308"/>
        <v>0</v>
      </c>
      <c r="BH187" s="147">
        <f t="shared" si="309"/>
        <v>0</v>
      </c>
      <c r="BI187" s="154" t="e">
        <f t="shared" si="310"/>
        <v>#NUM!</v>
      </c>
      <c r="BJ187" s="277" t="e">
        <f t="shared" si="245"/>
        <v>#NUM!</v>
      </c>
      <c r="BK187" s="147" t="e">
        <f t="shared" si="246"/>
        <v>#NUM!</v>
      </c>
      <c r="BL187" s="132" t="e">
        <f t="shared" si="247"/>
        <v>#NUM!</v>
      </c>
      <c r="BN187" s="497">
        <f t="shared" si="311"/>
        <v>181</v>
      </c>
      <c r="BO187" s="497">
        <f t="shared" si="312"/>
        <v>5509</v>
      </c>
      <c r="BP187">
        <f t="shared" si="313"/>
        <v>0</v>
      </c>
      <c r="BQ187">
        <f t="shared" si="314"/>
        <v>0</v>
      </c>
      <c r="BR187" s="499" t="e">
        <f t="shared" si="315"/>
        <v>#NUM!</v>
      </c>
      <c r="BS187" s="277" t="e">
        <f t="shared" si="248"/>
        <v>#NUM!</v>
      </c>
      <c r="BT187" s="5" t="e">
        <f t="shared" si="249"/>
        <v>#NUM!</v>
      </c>
      <c r="BU187" s="5" t="e">
        <f t="shared" si="250"/>
        <v>#NUM!</v>
      </c>
      <c r="BW187" s="5"/>
      <c r="BX187" s="5"/>
      <c r="BY187" s="5"/>
      <c r="BZ187" s="5"/>
      <c r="CA187" s="130" t="e">
        <f t="shared" si="316"/>
        <v>#NUM!</v>
      </c>
      <c r="CB187" s="5"/>
      <c r="CC187" s="5" t="e">
        <f t="shared" si="251"/>
        <v>#NUM!</v>
      </c>
      <c r="CD187" s="5" t="e">
        <f t="shared" si="252"/>
        <v>#NUM!</v>
      </c>
      <c r="CE187" s="5"/>
      <c r="CI187" s="130">
        <f t="shared" si="317"/>
        <v>8.9662244711652228</v>
      </c>
      <c r="CJ187" s="130">
        <f t="shared" si="318"/>
        <v>8.965555145063794</v>
      </c>
      <c r="CK187" s="296">
        <f t="shared" si="340"/>
        <v>10.440680413297088</v>
      </c>
      <c r="CL187" s="130">
        <f t="shared" si="253"/>
        <v>10.440680413297088</v>
      </c>
      <c r="CM187" s="5">
        <f t="shared" si="254"/>
        <v>0</v>
      </c>
      <c r="CN187" s="5">
        <f t="shared" si="319"/>
        <v>0</v>
      </c>
      <c r="DE187" s="130" t="e">
        <f t="shared" si="320"/>
        <v>#NUM!</v>
      </c>
      <c r="DF187" s="130" t="e">
        <f t="shared" si="321"/>
        <v>#NUM!</v>
      </c>
      <c r="DG187" s="130" t="e">
        <f t="shared" si="341"/>
        <v>#NUM!</v>
      </c>
      <c r="DH187" s="130" t="e">
        <f t="shared" si="322"/>
        <v>#NUM!</v>
      </c>
      <c r="DJ187" s="130" t="e">
        <f t="shared" si="323"/>
        <v>#NUM!</v>
      </c>
      <c r="DK187" s="130" t="e">
        <f t="shared" si="214"/>
        <v>#NUM!</v>
      </c>
      <c r="DL187" s="130" t="e">
        <f t="shared" si="255"/>
        <v>#NUM!</v>
      </c>
      <c r="DO187" s="130" t="e">
        <f t="shared" si="324"/>
        <v>#NUM!</v>
      </c>
      <c r="DP187" s="130" t="e">
        <f t="shared" si="216"/>
        <v>#NUM!</v>
      </c>
      <c r="DQ187" s="130" t="e">
        <f t="shared" si="256"/>
        <v>#NUM!</v>
      </c>
    </row>
    <row r="188" spans="2:121" ht="13" hidden="1" thickBot="1">
      <c r="B188" s="231">
        <v>182</v>
      </c>
      <c r="C188" s="280"/>
      <c r="D188" s="475"/>
      <c r="E188" s="318">
        <f t="shared" si="325"/>
        <v>45883</v>
      </c>
      <c r="F188" s="542">
        <f t="shared" si="344"/>
        <v>0</v>
      </c>
      <c r="G188" s="239"/>
      <c r="H188" s="685">
        <f t="shared" si="326"/>
        <v>0</v>
      </c>
      <c r="I188" s="234"/>
      <c r="J188" s="597">
        <f t="shared" si="327"/>
        <v>0</v>
      </c>
      <c r="K188" s="478">
        <f t="shared" si="328"/>
        <v>0</v>
      </c>
      <c r="L188" s="234"/>
      <c r="M188" s="235">
        <f t="shared" si="329"/>
        <v>0</v>
      </c>
      <c r="N188" s="479">
        <f t="shared" si="330"/>
        <v>0</v>
      </c>
      <c r="O188" s="234"/>
      <c r="P188" s="235">
        <f t="shared" si="331"/>
        <v>0</v>
      </c>
      <c r="Q188" s="651">
        <f t="shared" si="332"/>
        <v>0</v>
      </c>
      <c r="R188" s="479">
        <f>IF(J188&gt;0,IF(OR(ManualMode=FALSE,ISBLANK(S188)),'Pricing - Advanced'!$F$16*J188+'Pricing - Advanced'!$F$17,"N/A"),0)</f>
        <v>0</v>
      </c>
      <c r="S188" s="234"/>
      <c r="T188" s="235">
        <f t="shared" si="333"/>
        <v>0</v>
      </c>
      <c r="U188" s="599">
        <f>IF(OR(ManualMode=FALSE,ISBLANK(V188)),SUM(K188:L188)*'Pricing - Advanced'!$F$19+SUM(N188,O188)*'Pricing - Advanced'!$F$18,"N/A")</f>
        <v>0</v>
      </c>
      <c r="V188" s="234"/>
      <c r="W188" s="236">
        <f t="shared" si="334"/>
        <v>0</v>
      </c>
      <c r="X188" s="237">
        <f>'Pricing - Advanced'!$F$20*SUM(H188:I188)+IF(J188&gt;1,'Pricing - Advanced'!$F$21,0)</f>
        <v>0</v>
      </c>
      <c r="Y188" s="688">
        <f>IF(AND(FullTerm&gt;=B188,AB187&gt;0),AB187*'Pricing - Advanced'!$I$128,0)</f>
        <v>0</v>
      </c>
      <c r="Z188" s="233">
        <f t="shared" si="335"/>
        <v>0</v>
      </c>
      <c r="AA188" s="234"/>
      <c r="AB188" s="598">
        <f t="shared" si="336"/>
        <v>0</v>
      </c>
      <c r="AC188" s="236">
        <f t="shared" si="303"/>
        <v>0</v>
      </c>
      <c r="AF188" s="762" t="e">
        <f t="shared" si="337"/>
        <v>#N/A</v>
      </c>
      <c r="AG188" s="759" t="e">
        <f t="shared" si="304"/>
        <v>#N/A</v>
      </c>
      <c r="AH188" s="759">
        <f>IF(J188=0,0,J188-SUM($N$6:N188)-AB187)</f>
        <v>0</v>
      </c>
      <c r="AI188" s="759">
        <f t="shared" si="305"/>
        <v>0</v>
      </c>
      <c r="AJ188" s="760">
        <f t="shared" si="298"/>
        <v>3.0000000000000001E-3</v>
      </c>
      <c r="AK188" s="760">
        <f t="shared" si="299"/>
        <v>3.0000000000000001E-3</v>
      </c>
      <c r="AN188" s="1" t="b">
        <f t="shared" si="342"/>
        <v>1</v>
      </c>
      <c r="AQ188" s="15">
        <f>IF(J187&gt;1,IF(int_method=2,$AG$229*J187,$AG$229*'Pricing - Advanced'!$E$4),0)</f>
        <v>0</v>
      </c>
      <c r="AR188" s="5">
        <f t="shared" si="338"/>
        <v>0</v>
      </c>
      <c r="AS188" s="204">
        <f t="shared" si="343"/>
        <v>45883</v>
      </c>
      <c r="AT188" s="1">
        <f>IF($AT$4=FALSE,B188*'Pricing - Advanced'!$K$5,AT187+E188-E187)</f>
        <v>5540</v>
      </c>
      <c r="AW188">
        <f t="shared" si="241"/>
        <v>0</v>
      </c>
      <c r="AX188">
        <f t="shared" si="306"/>
        <v>0</v>
      </c>
      <c r="AY188">
        <f t="shared" si="242"/>
        <v>0</v>
      </c>
      <c r="AZ188">
        <f t="shared" si="243"/>
        <v>0</v>
      </c>
      <c r="BA188" s="603">
        <f t="shared" si="293"/>
        <v>0</v>
      </c>
      <c r="BB188" s="603">
        <f t="shared" si="294"/>
        <v>0</v>
      </c>
      <c r="BC188" s="5">
        <f t="shared" si="244"/>
        <v>0</v>
      </c>
      <c r="BE188" s="157">
        <f t="shared" si="307"/>
        <v>182</v>
      </c>
      <c r="BF188" s="489">
        <f t="shared" si="339"/>
        <v>5540</v>
      </c>
      <c r="BG188" s="146">
        <f t="shared" si="308"/>
        <v>0</v>
      </c>
      <c r="BH188" s="147">
        <f t="shared" si="309"/>
        <v>0</v>
      </c>
      <c r="BI188" s="154" t="e">
        <f t="shared" si="310"/>
        <v>#NUM!</v>
      </c>
      <c r="BJ188" s="277" t="e">
        <f t="shared" si="245"/>
        <v>#NUM!</v>
      </c>
      <c r="BK188" s="147" t="e">
        <f t="shared" si="246"/>
        <v>#NUM!</v>
      </c>
      <c r="BL188" s="132" t="e">
        <f t="shared" si="247"/>
        <v>#NUM!</v>
      </c>
      <c r="BN188" s="497">
        <f t="shared" si="311"/>
        <v>182</v>
      </c>
      <c r="BO188" s="497">
        <f t="shared" si="312"/>
        <v>5540</v>
      </c>
      <c r="BP188">
        <f t="shared" si="313"/>
        <v>0</v>
      </c>
      <c r="BQ188">
        <f t="shared" si="314"/>
        <v>0</v>
      </c>
      <c r="BR188" s="499" t="e">
        <f t="shared" si="315"/>
        <v>#NUM!</v>
      </c>
      <c r="BS188" s="277" t="e">
        <f t="shared" si="248"/>
        <v>#NUM!</v>
      </c>
      <c r="BT188" s="5" t="e">
        <f t="shared" si="249"/>
        <v>#NUM!</v>
      </c>
      <c r="BU188" s="5" t="e">
        <f t="shared" si="250"/>
        <v>#NUM!</v>
      </c>
      <c r="BW188" s="5"/>
      <c r="BX188" s="5"/>
      <c r="BY188" s="5"/>
      <c r="BZ188" s="5"/>
      <c r="CA188" s="130" t="e">
        <f t="shared" si="316"/>
        <v>#NUM!</v>
      </c>
      <c r="CB188" s="5"/>
      <c r="CC188" s="5" t="e">
        <f t="shared" si="251"/>
        <v>#NUM!</v>
      </c>
      <c r="CD188" s="5" t="e">
        <f t="shared" si="252"/>
        <v>#NUM!</v>
      </c>
      <c r="CE188" s="5"/>
      <c r="CI188" s="130">
        <f t="shared" si="317"/>
        <v>9.0755435224580321</v>
      </c>
      <c r="CJ188" s="130">
        <f t="shared" si="318"/>
        <v>9.0768986476706122</v>
      </c>
      <c r="CK188" s="296">
        <f t="shared" si="340"/>
        <v>10.576869312138058</v>
      </c>
      <c r="CL188" s="130">
        <f t="shared" si="253"/>
        <v>10.576869312138058</v>
      </c>
      <c r="CM188" s="5">
        <f t="shared" si="254"/>
        <v>0</v>
      </c>
      <c r="CN188" s="5">
        <f t="shared" si="319"/>
        <v>0</v>
      </c>
      <c r="DE188" s="130" t="e">
        <f t="shared" si="320"/>
        <v>#NUM!</v>
      </c>
      <c r="DF188" s="130" t="e">
        <f t="shared" si="321"/>
        <v>#NUM!</v>
      </c>
      <c r="DG188" s="130" t="e">
        <f t="shared" si="341"/>
        <v>#NUM!</v>
      </c>
      <c r="DH188" s="130" t="e">
        <f t="shared" si="322"/>
        <v>#NUM!</v>
      </c>
      <c r="DJ188" s="130" t="e">
        <f t="shared" si="323"/>
        <v>#NUM!</v>
      </c>
      <c r="DK188" s="130" t="e">
        <f t="shared" si="214"/>
        <v>#NUM!</v>
      </c>
      <c r="DL188" s="130" t="e">
        <f t="shared" si="255"/>
        <v>#NUM!</v>
      </c>
      <c r="DO188" s="130" t="e">
        <f t="shared" si="324"/>
        <v>#NUM!</v>
      </c>
      <c r="DP188" s="130" t="e">
        <f t="shared" si="216"/>
        <v>#NUM!</v>
      </c>
      <c r="DQ188" s="130" t="e">
        <f t="shared" si="256"/>
        <v>#NUM!</v>
      </c>
    </row>
    <row r="189" spans="2:121" s="85" customFormat="1" ht="14" thickTop="1" thickBot="1">
      <c r="B189" s="241"/>
      <c r="C189" s="827">
        <f>SUM(C8:C188)</f>
        <v>0</v>
      </c>
      <c r="D189" s="827">
        <f>SUM(D8:D188)</f>
        <v>0</v>
      </c>
      <c r="E189" s="137"/>
      <c r="F189" s="137">
        <f>SUM(F6:F188)</f>
        <v>30</v>
      </c>
      <c r="G189" s="242">
        <f>SUM(G6:G188)</f>
        <v>1E-4</v>
      </c>
      <c r="H189" s="686">
        <f>SUM(H6:H188)</f>
        <v>0</v>
      </c>
      <c r="I189" s="242">
        <f>SUM(I6:I188)</f>
        <v>0</v>
      </c>
      <c r="J189" s="137"/>
      <c r="K189" s="242">
        <f>SUM(K6:K188)</f>
        <v>0</v>
      </c>
      <c r="L189" s="242">
        <f>SUM(L6:L188)</f>
        <v>0</v>
      </c>
      <c r="M189" s="243">
        <f t="shared" ref="M189:Z189" si="345">SUM(M6:M188)</f>
        <v>1E-4</v>
      </c>
      <c r="N189" s="242">
        <f t="shared" si="345"/>
        <v>0</v>
      </c>
      <c r="O189" s="242">
        <f>SUM(O6:O188)</f>
        <v>0</v>
      </c>
      <c r="P189" s="243">
        <f t="shared" si="345"/>
        <v>1E-4</v>
      </c>
      <c r="Q189" s="571"/>
      <c r="R189" s="242">
        <f t="shared" si="345"/>
        <v>0</v>
      </c>
      <c r="S189" s="242">
        <f>SUM(S6:S188)</f>
        <v>0</v>
      </c>
      <c r="T189" s="243">
        <f t="shared" si="345"/>
        <v>1E-4</v>
      </c>
      <c r="U189" s="600">
        <f t="shared" si="345"/>
        <v>0</v>
      </c>
      <c r="V189" s="242">
        <f>SUM(V6:V188)</f>
        <v>0</v>
      </c>
      <c r="W189" s="243">
        <f t="shared" si="345"/>
        <v>1E-4</v>
      </c>
      <c r="X189" s="242">
        <f t="shared" si="345"/>
        <v>0</v>
      </c>
      <c r="Y189" s="689">
        <f t="shared" si="345"/>
        <v>0</v>
      </c>
      <c r="Z189" s="242">
        <f t="shared" si="345"/>
        <v>0</v>
      </c>
      <c r="AA189" s="242">
        <f>SUM(AA6:AA188)</f>
        <v>0</v>
      </c>
      <c r="AB189" s="137"/>
      <c r="AC189" s="243">
        <f>SUM(AC6:AC188)</f>
        <v>1E-4</v>
      </c>
      <c r="AF189" s="241"/>
      <c r="AG189" s="763"/>
      <c r="AH189" s="763"/>
      <c r="AI189" s="763">
        <f>SUM(AI6:AI188)</f>
        <v>0</v>
      </c>
      <c r="AJ189" s="764">
        <f>AJ188</f>
        <v>3.0000000000000001E-3</v>
      </c>
      <c r="AK189" s="764">
        <f>AK188</f>
        <v>3.0000000000000001E-3</v>
      </c>
      <c r="AN189" s="85" t="s">
        <v>17</v>
      </c>
      <c r="BE189" s="158"/>
      <c r="BF189" s="490"/>
    </row>
    <row r="190" spans="2:121" ht="15" thickTop="1">
      <c r="E190" s="539" t="s">
        <v>1121</v>
      </c>
      <c r="F190"/>
      <c r="M190" s="795" t="e">
        <f>M211</f>
        <v>#NUM!</v>
      </c>
      <c r="P190" s="795" t="e">
        <f>P211</f>
        <v>#NUM!</v>
      </c>
      <c r="T190" s="795" t="e">
        <f>T211</f>
        <v>#NUM!</v>
      </c>
      <c r="W190" s="795" t="e">
        <f>W211</f>
        <v>#NUM!</v>
      </c>
      <c r="AC190" s="795" t="e">
        <f>AC211</f>
        <v>#NUM!</v>
      </c>
    </row>
    <row r="191" spans="2:121" ht="14">
      <c r="E191" s="539" t="s">
        <v>554</v>
      </c>
      <c r="F191"/>
      <c r="M191" s="795" t="e">
        <f>M212</f>
        <v>#NUM!</v>
      </c>
      <c r="P191" s="795" t="e">
        <f>P212</f>
        <v>#NUM!</v>
      </c>
      <c r="T191" s="795" t="e">
        <f>T212</f>
        <v>#NUM!</v>
      </c>
      <c r="W191" s="795" t="e">
        <f>W212</f>
        <v>#NUM!</v>
      </c>
      <c r="AC191" s="795" t="e">
        <f>AC212</f>
        <v>#NUM!</v>
      </c>
    </row>
    <row r="192" spans="2:121" ht="15" thickBot="1">
      <c r="E192" s="539" t="s">
        <v>1122</v>
      </c>
      <c r="F192"/>
      <c r="M192" s="796" t="e">
        <f>M213</f>
        <v>#NUM!</v>
      </c>
      <c r="P192" s="796" t="e">
        <f>P213</f>
        <v>#NUM!</v>
      </c>
      <c r="T192" s="796" t="e">
        <f>T213</f>
        <v>#NUM!</v>
      </c>
      <c r="W192" s="796" t="e">
        <f>W213</f>
        <v>#NUM!</v>
      </c>
      <c r="AC192" s="796" t="e">
        <f>AC213</f>
        <v>#NUM!</v>
      </c>
    </row>
    <row r="193" spans="2:111" ht="14" thickTop="1" thickBot="1">
      <c r="E193"/>
      <c r="F193"/>
    </row>
    <row r="194" spans="2:111" ht="15" thickBot="1">
      <c r="B194" s="811" t="s">
        <v>738</v>
      </c>
      <c r="C194" s="812"/>
      <c r="D194" s="812"/>
      <c r="E194" s="812"/>
      <c r="F194" s="812"/>
      <c r="G194" s="812"/>
      <c r="H194" s="828" t="str">
        <f>IF(IrregularSched,Translations!A240,LblOk)</f>
        <v xml:space="preserve"> </v>
      </c>
      <c r="I194" s="812"/>
      <c r="J194" s="812"/>
      <c r="K194" s="812"/>
      <c r="L194" s="812"/>
      <c r="M194" s="812"/>
      <c r="N194" s="812"/>
      <c r="O194" s="812"/>
      <c r="P194" s="812"/>
      <c r="Q194" s="812"/>
      <c r="R194" s="812"/>
      <c r="S194" s="812"/>
      <c r="T194" s="812"/>
      <c r="U194" s="812"/>
      <c r="V194" s="812"/>
      <c r="W194" s="812"/>
      <c r="X194" s="812"/>
      <c r="Y194" s="812"/>
      <c r="Z194" s="812"/>
      <c r="AA194" s="812"/>
      <c r="AB194" s="812"/>
      <c r="AC194" s="812"/>
    </row>
    <row r="195" spans="2:111" ht="15" thickTop="1">
      <c r="B195" s="989" t="str">
        <f>Translations!A79</f>
        <v>"i" (period int rate)</v>
      </c>
      <c r="C195" s="989"/>
      <c r="D195" s="989"/>
      <c r="E195" s="989"/>
      <c r="F195" s="573" t="s">
        <v>73</v>
      </c>
      <c r="G195" s="1000" t="str">
        <f>Translations!A210</f>
        <v>This uses IRR with even periods</v>
      </c>
      <c r="H195" s="1000"/>
      <c r="I195" s="1000"/>
      <c r="J195" s="1000"/>
      <c r="K195" s="1000"/>
      <c r="L195" s="16"/>
      <c r="M195" s="483" t="e">
        <f>IF(IrregularSched,NA(),IRR(M6:M188,SeedIRR))</f>
        <v>#NUM!</v>
      </c>
      <c r="N195" s="246"/>
      <c r="O195" s="246"/>
      <c r="P195" s="483" t="e">
        <f>IF(IrregularSched,NA(),IRR(P6:P188,SeedIRR))</f>
        <v>#NUM!</v>
      </c>
      <c r="Q195" s="585"/>
      <c r="R195" s="585"/>
      <c r="S195" s="585"/>
      <c r="T195" s="483" t="e">
        <f>IF(IrregularSched,NA(),IRR(T6:T188,SeedIRR))</f>
        <v>#NUM!</v>
      </c>
      <c r="U195" s="246"/>
      <c r="V195" s="246"/>
      <c r="W195" s="483" t="e">
        <f>IF(IrregularSched,NA(),IRR(W6:W188,SeedIRR))</f>
        <v>#NUM!</v>
      </c>
      <c r="X195" s="245"/>
      <c r="Y195" s="245"/>
      <c r="Z195" s="246"/>
      <c r="AA195" s="246"/>
      <c r="AB195" s="245"/>
      <c r="AC195" s="483" t="e">
        <f>IF(IrregularSched,NA(),IRR(AC6:AC188,SeedIRR))</f>
        <v>#NUM!</v>
      </c>
      <c r="AF195" s="1"/>
      <c r="AG195" s="1"/>
      <c r="AJ195" s="182">
        <f>AJ189/N3</f>
        <v>1E-4</v>
      </c>
      <c r="AK195" s="182">
        <f>AK189/N3</f>
        <v>1E-4</v>
      </c>
      <c r="AN195" t="s">
        <v>17</v>
      </c>
    </row>
    <row r="196" spans="2:111" ht="14">
      <c r="B196" s="990" t="str">
        <f>Translations!A80</f>
        <v>"n" (periods per yr)</v>
      </c>
      <c r="C196" s="990"/>
      <c r="D196" s="990"/>
      <c r="E196" s="990"/>
      <c r="F196" s="574" t="s">
        <v>78</v>
      </c>
      <c r="G196" s="1003" t="str">
        <f>Translations!A211</f>
        <v>This is number of periods identified on Pricing-ADV sheet</v>
      </c>
      <c r="H196" s="1003"/>
      <c r="I196" s="1003"/>
      <c r="J196" s="1003"/>
      <c r="K196" s="1003"/>
      <c r="L196" s="577" t="s">
        <v>17</v>
      </c>
      <c r="M196" s="298">
        <f>'Pricing - Advanced'!K7</f>
        <v>12</v>
      </c>
      <c r="N196" s="244"/>
      <c r="O196" s="244"/>
      <c r="P196" s="300">
        <f>$M$196</f>
        <v>12</v>
      </c>
      <c r="Q196" s="586"/>
      <c r="R196" s="586"/>
      <c r="S196" s="586"/>
      <c r="T196" s="300">
        <f>$M$196</f>
        <v>12</v>
      </c>
      <c r="U196" s="301"/>
      <c r="V196" s="301"/>
      <c r="W196" s="300">
        <f>$M$196</f>
        <v>12</v>
      </c>
      <c r="X196" s="301"/>
      <c r="Y196" s="301"/>
      <c r="Z196" s="301"/>
      <c r="AA196" s="301"/>
      <c r="AB196" s="301"/>
      <c r="AC196" s="300">
        <f>$M$196</f>
        <v>12</v>
      </c>
      <c r="AJ196" t="s">
        <v>810</v>
      </c>
      <c r="AK196" t="s">
        <v>811</v>
      </c>
      <c r="AN196" t="s">
        <v>17</v>
      </c>
      <c r="BK196" s="16"/>
      <c r="DG196" s="142"/>
    </row>
    <row r="197" spans="2:111" ht="14">
      <c r="B197" s="988" t="s">
        <v>454</v>
      </c>
      <c r="C197" s="988"/>
      <c r="D197" s="988"/>
      <c r="E197" s="988"/>
      <c r="F197" s="590"/>
      <c r="G197" s="1004" t="str">
        <f>Translations!A212</f>
        <v>Simple multiplication to annualize without compounding</v>
      </c>
      <c r="H197" s="1004"/>
      <c r="I197" s="1004"/>
      <c r="J197" s="1004"/>
      <c r="K197" s="1004"/>
      <c r="L197" s="577" t="s">
        <v>579</v>
      </c>
      <c r="M197" s="582" t="e">
        <f>M195*M196</f>
        <v>#NUM!</v>
      </c>
      <c r="N197" s="492"/>
      <c r="O197" s="492"/>
      <c r="P197" s="582" t="e">
        <f>P195*P196</f>
        <v>#NUM!</v>
      </c>
      <c r="Q197" s="587"/>
      <c r="R197" s="587"/>
      <c r="S197" s="587"/>
      <c r="T197" s="582" t="e">
        <f>T195*T196</f>
        <v>#NUM!</v>
      </c>
      <c r="U197" s="493"/>
      <c r="V197" s="493"/>
      <c r="W197" s="582" t="e">
        <f>W195*W196</f>
        <v>#NUM!</v>
      </c>
      <c r="X197" s="493"/>
      <c r="Y197" s="493"/>
      <c r="Z197" s="493"/>
      <c r="AA197" s="493"/>
      <c r="AB197" s="493"/>
      <c r="AC197" s="582" t="e">
        <f>AC195*AC196</f>
        <v>#NUM!</v>
      </c>
      <c r="AN197" t="s">
        <v>17</v>
      </c>
      <c r="DG197" s="142"/>
    </row>
    <row r="198" spans="2:111" ht="14">
      <c r="B198" s="1011" t="s">
        <v>455</v>
      </c>
      <c r="C198" s="1011"/>
      <c r="D198" s="1011"/>
      <c r="E198" s="1011"/>
      <c r="F198" s="591"/>
      <c r="G198" s="1003" t="str">
        <f>Translations!A213</f>
        <v>Annualize by compounding the period int rate by # of periods</v>
      </c>
      <c r="H198" s="1003"/>
      <c r="I198" s="1003"/>
      <c r="J198" s="1003"/>
      <c r="K198" s="1003"/>
      <c r="L198" s="495"/>
      <c r="M198" s="583" t="e">
        <f>(1+M195)^M196-1</f>
        <v>#NUM!</v>
      </c>
      <c r="N198" s="494"/>
      <c r="O198" s="494"/>
      <c r="P198" s="583" t="e">
        <f>(1+P195)^P196-1</f>
        <v>#NUM!</v>
      </c>
      <c r="Q198" s="588"/>
      <c r="R198" s="588"/>
      <c r="S198" s="588"/>
      <c r="T198" s="583" t="e">
        <f>(1+T195)^T196-1</f>
        <v>#NUM!</v>
      </c>
      <c r="U198" s="496"/>
      <c r="V198" s="496"/>
      <c r="W198" s="583" t="e">
        <f>(1+W195)^W196-1</f>
        <v>#NUM!</v>
      </c>
      <c r="X198" s="496"/>
      <c r="Y198" s="496"/>
      <c r="Z198" s="496"/>
      <c r="AA198" s="496"/>
      <c r="AB198" s="496"/>
      <c r="AC198" s="583" t="e">
        <f>(1+AC195)^AC196-1</f>
        <v>#NUM!</v>
      </c>
      <c r="AN198" t="s">
        <v>17</v>
      </c>
    </row>
    <row r="199" spans="2:111" ht="14">
      <c r="B199" s="990" t="str">
        <f>Translations!A224</f>
        <v>"m" (periods/month)</v>
      </c>
      <c r="C199" s="990"/>
      <c r="D199" s="990"/>
      <c r="E199" s="990"/>
      <c r="F199" s="574" t="s">
        <v>77</v>
      </c>
      <c r="G199" s="1003" t="str">
        <f>G196</f>
        <v>This is number of periods identified on Pricing-ADV sheet</v>
      </c>
      <c r="H199" s="1003"/>
      <c r="I199" s="1003"/>
      <c r="J199" s="1003"/>
      <c r="K199" s="1003"/>
      <c r="L199" s="577" t="s">
        <v>17</v>
      </c>
      <c r="M199" s="802">
        <f>'Pricing - Advanced'!$K$6</f>
        <v>1</v>
      </c>
      <c r="N199" s="244"/>
      <c r="O199" s="244"/>
      <c r="P199" s="802">
        <f>'Pricing - Advanced'!$K$6</f>
        <v>1</v>
      </c>
      <c r="Q199" s="586"/>
      <c r="R199" s="586"/>
      <c r="S199" s="586"/>
      <c r="T199" s="802">
        <f>'Pricing - Advanced'!$K$6</f>
        <v>1</v>
      </c>
      <c r="U199" s="301"/>
      <c r="V199" s="301"/>
      <c r="W199" s="802">
        <f>'Pricing - Advanced'!$K$6</f>
        <v>1</v>
      </c>
      <c r="X199" s="301"/>
      <c r="Y199" s="301"/>
      <c r="Z199" s="301"/>
      <c r="AA199" s="301"/>
      <c r="AB199" s="301"/>
      <c r="AC199" s="802">
        <f>'Pricing - Advanced'!$K$6</f>
        <v>1</v>
      </c>
    </row>
    <row r="200" spans="2:111" ht="14">
      <c r="B200" s="988" t="s">
        <v>1124</v>
      </c>
      <c r="C200" s="988"/>
      <c r="D200" s="988"/>
      <c r="E200" s="988"/>
      <c r="F200" s="590"/>
      <c r="G200" s="1004"/>
      <c r="H200" s="1004"/>
      <c r="I200" s="1004"/>
      <c r="J200" s="1004"/>
      <c r="K200" s="1004"/>
      <c r="L200" s="577" t="s">
        <v>579</v>
      </c>
      <c r="M200" s="582" t="e">
        <f>M195*M199</f>
        <v>#NUM!</v>
      </c>
      <c r="N200" s="492"/>
      <c r="O200" s="492"/>
      <c r="P200" s="582" t="e">
        <f>P195*P199</f>
        <v>#NUM!</v>
      </c>
      <c r="Q200" s="587"/>
      <c r="R200" s="587"/>
      <c r="S200" s="587"/>
      <c r="T200" s="582" t="e">
        <f>T195*T199</f>
        <v>#NUM!</v>
      </c>
      <c r="U200" s="493"/>
      <c r="V200" s="493"/>
      <c r="W200" s="582" t="e">
        <f>W195*W199</f>
        <v>#NUM!</v>
      </c>
      <c r="X200" s="493"/>
      <c r="Y200" s="493"/>
      <c r="Z200" s="493"/>
      <c r="AA200" s="493"/>
      <c r="AB200" s="493"/>
      <c r="AC200" s="582" t="e">
        <f>AC195*AC199</f>
        <v>#NUM!</v>
      </c>
    </row>
    <row r="201" spans="2:111" ht="15" thickBot="1">
      <c r="B201" s="647" t="s">
        <v>739</v>
      </c>
      <c r="E201"/>
      <c r="F201"/>
      <c r="G201" s="138"/>
      <c r="H201" s="138"/>
      <c r="I201" s="138"/>
      <c r="J201" s="138"/>
      <c r="K201" s="138"/>
      <c r="Q201" s="181"/>
      <c r="R201" s="181"/>
      <c r="S201" s="181"/>
    </row>
    <row r="202" spans="2:111" ht="15" thickBot="1">
      <c r="B202" s="1010" t="str">
        <f>Translations!A171</f>
        <v>EIR (exact)</v>
      </c>
      <c r="C202" s="1010"/>
      <c r="D202" s="1010"/>
      <c r="E202" s="1010"/>
      <c r="F202" s="1010"/>
      <c r="G202" s="1000" t="str">
        <f>Translations!A219</f>
        <v>Uses the XIRR function available in Excel 2007/2010</v>
      </c>
      <c r="H202" s="1000"/>
      <c r="I202" s="1000"/>
      <c r="J202" s="1000"/>
      <c r="K202" s="1000"/>
      <c r="L202" s="16"/>
      <c r="M202" s="679" t="e">
        <f>IF(UseXIRR=TRUE,XIRR(M6:M188,$E$6:$E$188,SeedIRR),"N/A")</f>
        <v>#NUM!</v>
      </c>
      <c r="N202" s="485"/>
      <c r="P202" s="679" t="e">
        <f>IF(UseXIRR=TRUE,XIRR(P6:P188,$E$6:$E$188,SeedIRR),"N/A")</f>
        <v>#NUM!</v>
      </c>
      <c r="Q202" s="485"/>
      <c r="R202" s="485"/>
      <c r="S202" s="485"/>
      <c r="T202" s="679" t="e">
        <f>IF(UseXIRR=TRUE,XIRR(T6:T188,$E$6:$E$188,SeedIRR),"N/A")</f>
        <v>#NUM!</v>
      </c>
      <c r="V202" s="1"/>
      <c r="W202" s="679" t="e">
        <f>IF(UseXIRR=TRUE,XIRR(W6:W188,$E$6:$E$188,SeedIRR),"N/A")</f>
        <v>#NUM!</v>
      </c>
      <c r="X202" s="485"/>
      <c r="Y202" s="302"/>
      <c r="Z202" s="302"/>
      <c r="AA202" s="302"/>
      <c r="AB202" s="302"/>
      <c r="AC202" s="679" t="e">
        <f>IF(UseXIRR=TRUE,XIRR(AC6:AC188,$E$6:$E$188,SeedIRR),"N/A")</f>
        <v>#NUM!</v>
      </c>
      <c r="AD202" s="485" t="e">
        <f>(AC202-AC198)/AC198</f>
        <v>#NUM!</v>
      </c>
      <c r="AE202" s="485"/>
      <c r="AN202" t="s">
        <v>17</v>
      </c>
    </row>
    <row r="203" spans="2:111" ht="14">
      <c r="B203" s="1012" t="str">
        <f>Translations!A214</f>
        <v>convert to daily rate</v>
      </c>
      <c r="C203" s="1012"/>
      <c r="D203" s="1012"/>
      <c r="E203" s="1012"/>
      <c r="F203" s="1012"/>
      <c r="G203" s="244"/>
      <c r="H203" s="138"/>
      <c r="I203" s="138"/>
      <c r="J203" s="138"/>
      <c r="K203" s="580" t="str">
        <f>IF($L$258="x","",L203)</f>
        <v>to the</v>
      </c>
      <c r="L203" s="576" t="s">
        <v>741</v>
      </c>
      <c r="M203" s="578" t="str">
        <f>"1/"&amp;$M$218&amp;"th power"</f>
        <v>1/365th power</v>
      </c>
      <c r="N203" s="580" t="str">
        <f>IF($L$258="x","",O203)</f>
        <v>to the</v>
      </c>
      <c r="O203" s="576" t="s">
        <v>741</v>
      </c>
      <c r="P203" s="491" t="s">
        <v>740</v>
      </c>
      <c r="Q203" s="485"/>
      <c r="R203" s="485"/>
      <c r="S203" s="576" t="s">
        <v>741</v>
      </c>
      <c r="T203" s="491" t="s">
        <v>740</v>
      </c>
      <c r="U203" s="580" t="str">
        <f>IF($L$258="x","",V203)</f>
        <v>to the</v>
      </c>
      <c r="V203" s="576" t="s">
        <v>741</v>
      </c>
      <c r="W203" s="491" t="s">
        <v>740</v>
      </c>
      <c r="X203" s="485"/>
      <c r="Y203" s="302"/>
      <c r="Z203" s="302"/>
      <c r="AA203" s="580" t="str">
        <f>IF($L$258="x","",AB203)</f>
        <v>to the</v>
      </c>
      <c r="AB203" s="576" t="str">
        <f>K203</f>
        <v>to the</v>
      </c>
      <c r="AC203" s="491" t="s">
        <v>740</v>
      </c>
      <c r="AD203" s="485"/>
      <c r="AE203" s="485"/>
    </row>
    <row r="204" spans="2:111" ht="14">
      <c r="B204" s="1010" t="str">
        <f>Translations!A215</f>
        <v>'I' for a single day</v>
      </c>
      <c r="C204" s="1010"/>
      <c r="D204" s="1010"/>
      <c r="E204" s="1010"/>
      <c r="F204" s="1010"/>
      <c r="G204" s="244"/>
      <c r="H204" s="138"/>
      <c r="I204" s="138"/>
      <c r="J204" s="138"/>
      <c r="K204" s="580" t="str">
        <f>IF($L$258="x","",L204)</f>
        <v>=</v>
      </c>
      <c r="L204" s="577" t="s">
        <v>579</v>
      </c>
      <c r="M204" s="579" t="e">
        <f>IF(UseXIRR=TRUE,((1+M202)^(1/$M$218)-1),"N/A")</f>
        <v>#NUM!</v>
      </c>
      <c r="N204" s="580" t="str">
        <f>IF($L$258="x","",O204)</f>
        <v>=</v>
      </c>
      <c r="O204" s="577" t="s">
        <v>579</v>
      </c>
      <c r="P204" s="579" t="e">
        <f>IF(UseXIRR=TRUE,((1+P202)^(1/$M$218)-1),"N/A")</f>
        <v>#NUM!</v>
      </c>
      <c r="Q204" s="485"/>
      <c r="R204" s="485"/>
      <c r="S204" s="577" t="s">
        <v>579</v>
      </c>
      <c r="T204" s="579" t="e">
        <f>IF(UseXIRR=TRUE,((1+T202)^(1/$M$218)-1),"N/A")</f>
        <v>#NUM!</v>
      </c>
      <c r="U204" s="580" t="str">
        <f>IF($L$258="x","",V204)</f>
        <v>=</v>
      </c>
      <c r="V204" s="577" t="s">
        <v>579</v>
      </c>
      <c r="W204" s="579" t="e">
        <f>IF(UseXIRR=TRUE,((1+W202)^(1/$M$218)-1),"N/A")</f>
        <v>#NUM!</v>
      </c>
      <c r="X204" s="485"/>
      <c r="Y204" s="302"/>
      <c r="Z204" s="302"/>
      <c r="AA204" s="580" t="str">
        <f>IF($L$258="x","",AB204)</f>
        <v>=</v>
      </c>
      <c r="AB204" s="577" t="s">
        <v>579</v>
      </c>
      <c r="AC204" s="579" t="e">
        <f>IF(UseXIRR=TRUE,((1+AC202)^(1/$M$218)-1),"N/A")</f>
        <v>#NUM!</v>
      </c>
      <c r="AD204" s="485"/>
      <c r="AE204" s="485"/>
    </row>
    <row r="205" spans="2:111" ht="14">
      <c r="B205" s="1012" t="str">
        <f>Translations!A216</f>
        <v>annualize w/o compounding</v>
      </c>
      <c r="C205" s="1012"/>
      <c r="D205" s="1012"/>
      <c r="E205" s="1012"/>
      <c r="F205" s="1012"/>
      <c r="G205" s="244"/>
      <c r="H205" s="138"/>
      <c r="I205" s="138"/>
      <c r="J205" s="138"/>
      <c r="K205" s="580" t="str">
        <f>IF($L$258="x","",L205)</f>
        <v>x</v>
      </c>
      <c r="L205" s="577" t="s">
        <v>17</v>
      </c>
      <c r="M205" s="575">
        <f>$M$218</f>
        <v>365</v>
      </c>
      <c r="N205" s="580" t="str">
        <f>IF($L$258="x","",O205)</f>
        <v>x</v>
      </c>
      <c r="O205" s="577" t="s">
        <v>17</v>
      </c>
      <c r="P205" s="575">
        <f>$M$218</f>
        <v>365</v>
      </c>
      <c r="Q205" s="485"/>
      <c r="R205" s="485"/>
      <c r="S205" s="577" t="s">
        <v>17</v>
      </c>
      <c r="T205" s="575">
        <f>$M$218</f>
        <v>365</v>
      </c>
      <c r="U205" s="580" t="str">
        <f>IF($L$258="x","",V205)</f>
        <v>x</v>
      </c>
      <c r="V205" s="577" t="s">
        <v>17</v>
      </c>
      <c r="W205" s="575">
        <f>$M$218</f>
        <v>365</v>
      </c>
      <c r="X205" s="485"/>
      <c r="Y205" s="302"/>
      <c r="Z205" s="302"/>
      <c r="AA205" s="580" t="str">
        <f>IF($L$258="x","",AB205)</f>
        <v>x</v>
      </c>
      <c r="AB205" s="577" t="s">
        <v>17</v>
      </c>
      <c r="AC205" s="575">
        <f>$M$218</f>
        <v>365</v>
      </c>
      <c r="AD205" s="485"/>
      <c r="AE205" s="485"/>
    </row>
    <row r="206" spans="2:111" ht="14">
      <c r="B206" s="1010" t="str">
        <f>Translations!A217</f>
        <v>APR (365-day year)</v>
      </c>
      <c r="C206" s="1010"/>
      <c r="D206" s="1010"/>
      <c r="E206" s="1010"/>
      <c r="F206" s="1010"/>
      <c r="G206" s="1000" t="str">
        <f>Translations!A226</f>
        <v>This figure is precise, but confusing</v>
      </c>
      <c r="H206" s="1000"/>
      <c r="I206" s="1000"/>
      <c r="J206" s="1000"/>
      <c r="K206" s="580" t="str">
        <f>IF($L$258="x","",L206)</f>
        <v>=</v>
      </c>
      <c r="L206" s="577" t="s">
        <v>579</v>
      </c>
      <c r="M206" s="581" t="e">
        <f>IF(UseXIRR=TRUE,M204*M205,"N/A")</f>
        <v>#NUM!</v>
      </c>
      <c r="N206" s="580" t="str">
        <f>IF($L$258="x","",O206)</f>
        <v>=</v>
      </c>
      <c r="O206" s="577" t="s">
        <v>579</v>
      </c>
      <c r="P206" s="581" t="e">
        <f>IF(UseXIRR=TRUE,P204*P205,"N/A")</f>
        <v>#NUM!</v>
      </c>
      <c r="Q206" s="485"/>
      <c r="R206" s="485"/>
      <c r="S206" s="577" t="s">
        <v>579</v>
      </c>
      <c r="T206" s="581" t="e">
        <f>IF(UseXIRR=TRUE,T204*T205,"N/A")</f>
        <v>#NUM!</v>
      </c>
      <c r="U206" s="580" t="str">
        <f>IF($L$258="x","",V206)</f>
        <v>=</v>
      </c>
      <c r="V206" s="577" t="s">
        <v>579</v>
      </c>
      <c r="W206" s="581" t="e">
        <f>IF(UseXIRR=TRUE,W204*W205,"N/A")</f>
        <v>#NUM!</v>
      </c>
      <c r="X206" s="485"/>
      <c r="Y206" s="302"/>
      <c r="Z206" s="302"/>
      <c r="AA206" s="580" t="str">
        <f>IF($L$258="x","",AB206)</f>
        <v>=</v>
      </c>
      <c r="AB206" s="577" t="s">
        <v>579</v>
      </c>
      <c r="AC206" s="581" t="e">
        <f>IF(UseXIRR=TRUE,AC204*AC205,"N/A")</f>
        <v>#NUM!</v>
      </c>
      <c r="AD206" s="485"/>
      <c r="AE206" s="485"/>
    </row>
    <row r="207" spans="2:111" ht="6" customHeight="1">
      <c r="E207"/>
      <c r="F207"/>
      <c r="G207" s="138"/>
      <c r="H207" s="138"/>
      <c r="I207" s="138"/>
      <c r="J207" s="138"/>
      <c r="K207" s="138"/>
    </row>
    <row r="208" spans="2:111" ht="14">
      <c r="B208" s="1010" t="str">
        <f>Translations!A227</f>
        <v>MPR (exact)</v>
      </c>
      <c r="C208" s="1010"/>
      <c r="D208" s="1010"/>
      <c r="E208" s="1010"/>
      <c r="F208" s="1010"/>
      <c r="G208" s="1005" t="str">
        <f>Translations!A228</f>
        <v>This converts from XIRR with assumed periods (m)</v>
      </c>
      <c r="H208" s="1005"/>
      <c r="I208" s="1005"/>
      <c r="J208" s="1005"/>
      <c r="K208" s="1005"/>
      <c r="L208" s="16"/>
      <c r="M208" s="491" t="e">
        <f>M209/12</f>
        <v>#NUM!</v>
      </c>
      <c r="N208" s="485"/>
      <c r="O208" s="16"/>
      <c r="P208" s="491" t="e">
        <f>P209/12</f>
        <v>#NUM!</v>
      </c>
      <c r="Q208" s="485"/>
      <c r="R208" s="485"/>
      <c r="S208" s="485"/>
      <c r="T208" s="491" t="e">
        <f>T209/12</f>
        <v>#NUM!</v>
      </c>
      <c r="V208" s="301"/>
      <c r="W208" s="491" t="e">
        <f>W209/12</f>
        <v>#NUM!</v>
      </c>
      <c r="X208" s="485"/>
      <c r="Y208" s="301"/>
      <c r="Z208" s="301"/>
      <c r="AA208" s="301"/>
      <c r="AB208" s="301"/>
      <c r="AC208" s="491" t="e">
        <f>AC209/12</f>
        <v>#NUM!</v>
      </c>
      <c r="AD208" s="485" t="e">
        <f>(AC208-AC196)/AC196</f>
        <v>#NUM!</v>
      </c>
      <c r="AE208" s="485"/>
      <c r="AN208" t="s">
        <v>17</v>
      </c>
    </row>
    <row r="209" spans="2:40" ht="14">
      <c r="B209" s="1010" t="str">
        <f>Translations!A170</f>
        <v>APR (exact)</v>
      </c>
      <c r="C209" s="1010"/>
      <c r="D209" s="1010"/>
      <c r="E209" s="1010"/>
      <c r="F209" s="1010"/>
      <c r="G209" s="1005" t="str">
        <f>Translations!A220</f>
        <v>This converts from XIRR with assumed periods (n)</v>
      </c>
      <c r="H209" s="1005"/>
      <c r="I209" s="1005"/>
      <c r="J209" s="1005"/>
      <c r="K209" s="1005"/>
      <c r="L209" s="16"/>
      <c r="M209" s="491" t="e">
        <f>IF(UseXIRR=TRUE,M196*((1+M202)^(1/M196)-1),"N/A")</f>
        <v>#NUM!</v>
      </c>
      <c r="N209" s="485"/>
      <c r="O209" s="16"/>
      <c r="P209" s="491" t="e">
        <f>IF(UseXIRR=TRUE,P196*((1+P202)^(1/P196)-1),"N/A")</f>
        <v>#NUM!</v>
      </c>
      <c r="Q209" s="485"/>
      <c r="R209" s="485"/>
      <c r="S209" s="485"/>
      <c r="T209" s="491" t="e">
        <f>IF(UseXIRR=TRUE,T196*((1+T202)^(1/T196)-1),"N/A")</f>
        <v>#NUM!</v>
      </c>
      <c r="V209" s="301"/>
      <c r="W209" s="491" t="e">
        <f>IF(UseXIRR=TRUE,W196*((1+W202)^(1/W196)-1),"N/A")</f>
        <v>#NUM!</v>
      </c>
      <c r="X209" s="485"/>
      <c r="Y209" s="301"/>
      <c r="Z209" s="301"/>
      <c r="AA209" s="301"/>
      <c r="AB209" s="301"/>
      <c r="AC209" s="491" t="e">
        <f>IF(UseXIRR=TRUE,AC196*((1+AC202)^(1/AC196)-1),"N/A")</f>
        <v>#NUM!</v>
      </c>
      <c r="AD209" s="485" t="e">
        <f>(AC209-AC197)/AC197</f>
        <v>#NUM!</v>
      </c>
      <c r="AE209" s="485"/>
      <c r="AN209" t="s">
        <v>17</v>
      </c>
    </row>
    <row r="210" spans="2:40" ht="13" thickBot="1">
      <c r="E210"/>
      <c r="F210"/>
    </row>
    <row r="211" spans="2:40" ht="15" thickTop="1">
      <c r="B211" s="1010" t="str">
        <f>Translations!A229</f>
        <v>Figure used for MPR</v>
      </c>
      <c r="C211" s="1010"/>
      <c r="D211" s="1010"/>
      <c r="E211" s="1010"/>
      <c r="F211" s="1010"/>
      <c r="G211" s="1009" t="str">
        <f>Translations!A230</f>
        <v>If MANUAL mode, uses conversion from XIRR</v>
      </c>
      <c r="H211" s="1009"/>
      <c r="I211" s="1009"/>
      <c r="J211" s="1009"/>
      <c r="K211" s="1009"/>
      <c r="M211" s="805" t="e">
        <f>IF(ManualMode=TRUE,M208,M200)</f>
        <v>#NUM!</v>
      </c>
      <c r="P211" s="805" t="e">
        <f>IF(ManualMode=TRUE,P208,P200)</f>
        <v>#NUM!</v>
      </c>
      <c r="Q211" s="181"/>
      <c r="R211" s="181"/>
      <c r="S211" s="181"/>
      <c r="T211" s="805" t="e">
        <f>IF(ManualMode=TRUE,T208,T200)</f>
        <v>#NUM!</v>
      </c>
      <c r="W211" s="805" t="e">
        <f>IF(ManualMode=TRUE,W208,W200)</f>
        <v>#NUM!</v>
      </c>
      <c r="AC211" s="805" t="e">
        <f>IF(ManualMode=TRUE,AC208,AC200)</f>
        <v>#NUM!</v>
      </c>
      <c r="AN211" t="s">
        <v>17</v>
      </c>
    </row>
    <row r="212" spans="2:40" ht="14">
      <c r="B212" s="1010" t="str">
        <f>Translations!A225</f>
        <v>Figure used for APR</v>
      </c>
      <c r="C212" s="1010"/>
      <c r="D212" s="1010"/>
      <c r="E212" s="1010"/>
      <c r="F212" s="1010"/>
      <c r="G212" s="1009" t="str">
        <f>Translations!A230</f>
        <v>If MANUAL mode, uses conversion from XIRR</v>
      </c>
      <c r="H212" s="1009"/>
      <c r="I212" s="1009"/>
      <c r="J212" s="1009"/>
      <c r="K212" s="1009"/>
      <c r="M212" s="795" t="e">
        <f>IF(ManualMode=TRUE,M209,M197)</f>
        <v>#NUM!</v>
      </c>
      <c r="P212" s="795" t="e">
        <f>IF(ManualMode=TRUE,P209,P197)</f>
        <v>#NUM!</v>
      </c>
      <c r="Q212" s="181"/>
      <c r="R212" s="181"/>
      <c r="S212" s="181"/>
      <c r="T212" s="795" t="e">
        <f>IF(ManualMode=TRUE,T209,T197)</f>
        <v>#NUM!</v>
      </c>
      <c r="W212" s="795" t="e">
        <f>IF(ManualMode=TRUE,W209,W197)</f>
        <v>#NUM!</v>
      </c>
      <c r="AC212" s="795" t="e">
        <f>IF(ManualMode=TRUE,AC209,AC197)</f>
        <v>#NUM!</v>
      </c>
      <c r="AN212" t="s">
        <v>17</v>
      </c>
    </row>
    <row r="213" spans="2:40" ht="15" thickBot="1">
      <c r="B213" s="1010" t="str">
        <f>Translations!A218</f>
        <v>Figure used for EIR</v>
      </c>
      <c r="C213" s="1010"/>
      <c r="D213" s="1010"/>
      <c r="E213" s="1010"/>
      <c r="F213" s="1010"/>
      <c r="G213" s="1005" t="str">
        <f>Translations!A221</f>
        <v>If Excel 2007 or 2010, the XIRR figure is used for EIR</v>
      </c>
      <c r="H213" s="1005"/>
      <c r="I213" s="1005"/>
      <c r="J213" s="1005"/>
      <c r="K213" s="1005"/>
      <c r="M213" s="796" t="e">
        <f>IF(UseXIRR=TRUE,M202,M198)</f>
        <v>#NUM!</v>
      </c>
      <c r="N213" s="484"/>
      <c r="P213" s="796" t="e">
        <f>IF(UseXIRR=TRUE,P202,P198)</f>
        <v>#NUM!</v>
      </c>
      <c r="Q213" s="589"/>
      <c r="R213" s="589"/>
      <c r="S213" s="589"/>
      <c r="T213" s="796" t="e">
        <f>IF(UseXIRR=TRUE,T202,T198)</f>
        <v>#NUM!</v>
      </c>
      <c r="U213" s="1"/>
      <c r="V213" s="1"/>
      <c r="W213" s="796" t="e">
        <f>IF(UseXIRR=TRUE,W202,W198)</f>
        <v>#NUM!</v>
      </c>
      <c r="X213" s="302"/>
      <c r="Y213" s="302"/>
      <c r="Z213" s="302"/>
      <c r="AA213" s="302"/>
      <c r="AB213" s="302"/>
      <c r="AC213" s="796" t="e">
        <f>IF(UseXIRR=TRUE,AC202,AC198)</f>
        <v>#NUM!</v>
      </c>
      <c r="AN213" t="s">
        <v>17</v>
      </c>
    </row>
    <row r="214" spans="2:40" ht="15" hidden="1" thickTop="1">
      <c r="B214" s="801" t="s">
        <v>683</v>
      </c>
      <c r="M214" s="472"/>
      <c r="Q214" s="181"/>
      <c r="R214" s="181"/>
      <c r="S214" s="181"/>
      <c r="T214" s="181"/>
      <c r="AN214" t="b">
        <f>TRUE</f>
        <v>1</v>
      </c>
    </row>
    <row r="215" spans="2:40" ht="13" thickTop="1">
      <c r="M215" s="472"/>
      <c r="Q215" s="181"/>
      <c r="R215" s="181"/>
      <c r="S215" s="181"/>
      <c r="T215" s="181"/>
    </row>
    <row r="216" spans="2:40">
      <c r="M216" s="16"/>
      <c r="Q216" s="181"/>
      <c r="R216" s="181"/>
      <c r="S216" s="181"/>
      <c r="T216" s="181"/>
    </row>
    <row r="217" spans="2:40">
      <c r="Q217" s="181"/>
      <c r="R217" s="181"/>
      <c r="S217" s="181"/>
      <c r="T217" s="181"/>
    </row>
    <row r="218" spans="2:40">
      <c r="M218" s="5">
        <v>365</v>
      </c>
      <c r="Q218" s="181"/>
      <c r="R218" s="181"/>
      <c r="S218" s="181"/>
      <c r="T218" s="181"/>
    </row>
    <row r="219" spans="2:40">
      <c r="Q219" s="181"/>
      <c r="R219" s="181"/>
      <c r="S219" s="181"/>
      <c r="T219" s="181"/>
    </row>
    <row r="225" spans="2:35" ht="15">
      <c r="AG225" t="s">
        <v>15</v>
      </c>
      <c r="AH225" t="s">
        <v>16</v>
      </c>
      <c r="AI225" s="20"/>
    </row>
    <row r="226" spans="2:35" ht="15">
      <c r="AF226" t="s">
        <v>7</v>
      </c>
      <c r="AG226">
        <f>IF('Pricing - Advanced'!E107=3,1,'Pricing - Advanced'!E5-AG233)</f>
        <v>0</v>
      </c>
      <c r="AI226" s="20"/>
    </row>
    <row r="227" spans="2:35" ht="15">
      <c r="B227" t="s">
        <v>1163</v>
      </c>
      <c r="G227" t="b">
        <f>IF(AND(ManualMode=TRUE,(C189+D189)&gt;0),TRUE,FALSE)</f>
        <v>0</v>
      </c>
      <c r="AF227" t="s">
        <v>4</v>
      </c>
      <c r="AG227">
        <f>IF('Pricing - Advanced'!E107=3,'Pricing - Advanced'!E5,1+AG233)</f>
        <v>1</v>
      </c>
      <c r="AH227">
        <f>IF('Pricing - Advanced'!E104=2,'Pricing - Advanced'!E5,IF(1+AH233&lt;='Pricing - Advanced'!E5,1+AH233,'Pricing - Advanced'!E5))</f>
        <v>0</v>
      </c>
      <c r="AI227" s="20"/>
    </row>
    <row r="228" spans="2:35">
      <c r="AF228" t="s">
        <v>748</v>
      </c>
      <c r="AG228">
        <f>AG230-'Pricing - Advanced'!H7</f>
        <v>0</v>
      </c>
    </row>
    <row r="229" spans="2:35">
      <c r="AF229" t="s">
        <v>10</v>
      </c>
      <c r="AG229" s="9">
        <f>'Pricing - Advanced'!E11/'Pricing - Advanced'!J121</f>
        <v>0</v>
      </c>
    </row>
    <row r="230" spans="2:35">
      <c r="AF230" t="s">
        <v>53</v>
      </c>
      <c r="AG230">
        <f>term</f>
        <v>0</v>
      </c>
    </row>
    <row r="232" spans="2:35" ht="16" thickBot="1">
      <c r="AF232" s="20"/>
      <c r="AG232" s="126" t="s">
        <v>146</v>
      </c>
      <c r="AH232" s="127" t="s">
        <v>147</v>
      </c>
      <c r="AI232" s="127" t="s">
        <v>148</v>
      </c>
    </row>
    <row r="233" spans="2:35" ht="17" thickBot="1">
      <c r="AF233" s="125" t="s">
        <v>145</v>
      </c>
      <c r="AG233" s="174">
        <f>'Pricing - Advanced'!E7</f>
        <v>0</v>
      </c>
      <c r="AH233" s="174">
        <f>'Pricing - Advanced'!F7</f>
        <v>0</v>
      </c>
      <c r="AI233" s="174">
        <f>IF('Pricing - Advanced'!G7&lt;'Pricing - Advanced'!E5,'Pricing - Advanced'!G7,'Pricing - Advanced'!E5)</f>
        <v>0</v>
      </c>
    </row>
    <row r="250" spans="5:29">
      <c r="E250" s="138" t="s">
        <v>261</v>
      </c>
      <c r="G250">
        <f>IF(cost_1=0,0.0001,cost_1)</f>
        <v>1E-4</v>
      </c>
    </row>
    <row r="256" spans="5:29">
      <c r="G256" s="4">
        <f>-MAX(J6:J189,ABS(MIN(J6:J189)))</f>
        <v>-1E-4</v>
      </c>
      <c r="H256" s="4"/>
      <c r="I256" s="4"/>
      <c r="J256" s="4">
        <f>-MAX(H6:H189,ABS(MIN(H6:H189)))</f>
        <v>0</v>
      </c>
      <c r="K256" s="4">
        <f>-MAX(K6:K189,ABS(MIN(K6:K189)))</f>
        <v>0</v>
      </c>
      <c r="L256" s="4"/>
      <c r="M256" s="4"/>
      <c r="N256" s="4">
        <f>-MAX(N6:N189,ABS(MIN(N6:N189)))</f>
        <v>0</v>
      </c>
      <c r="O256" s="4"/>
      <c r="P256" s="4"/>
      <c r="Q256" s="4"/>
      <c r="R256" s="4"/>
      <c r="S256" s="4"/>
      <c r="T256" s="4"/>
      <c r="U256" s="4"/>
      <c r="V256" s="4"/>
      <c r="W256" s="4"/>
      <c r="X256" s="4">
        <f>-MAX(X6:X189,ABS(MIN(X6:X189)))</f>
        <v>0</v>
      </c>
      <c r="Y256" s="4">
        <f>-MAX(Y6:Y189,ABS(MIN(Y6:Y189)))</f>
        <v>0</v>
      </c>
      <c r="Z256" s="4">
        <f>-MAX(Z6:Z189,ABS(MIN(Z6:Z189)))</f>
        <v>0</v>
      </c>
      <c r="AA256" s="4"/>
      <c r="AB256" s="4">
        <f>-MAX(AB6:AB189,ABS(MIN(AB6:AB189)))</f>
        <v>0</v>
      </c>
      <c r="AC256" s="4">
        <f>-MAX(AC6:AC189,ABS(MIN(AC6:AC189)))</f>
        <v>-1E-4</v>
      </c>
    </row>
    <row r="258" spans="2:30">
      <c r="B258" t="s">
        <v>427</v>
      </c>
      <c r="C258" s="85" t="b">
        <f>IF(ManualMode=TRUE,"x",TRUE)</f>
        <v>1</v>
      </c>
      <c r="D258" s="85" t="b">
        <f>C258</f>
        <v>1</v>
      </c>
      <c r="E258" t="s">
        <v>17</v>
      </c>
      <c r="F258"/>
      <c r="G258" t="s">
        <v>17</v>
      </c>
      <c r="H258" t="s">
        <v>17</v>
      </c>
      <c r="I258" s="85" t="b">
        <f>IF(ManualMode=TRUE,"x",TRUE)</f>
        <v>1</v>
      </c>
      <c r="J258" t="s">
        <v>17</v>
      </c>
      <c r="K258" t="s">
        <v>17</v>
      </c>
      <c r="L258" s="85" t="b">
        <f>IF(ManualMode=TRUE,"x",TRUE)</f>
        <v>1</v>
      </c>
      <c r="M258" t="s">
        <v>17</v>
      </c>
      <c r="N258" t="s">
        <v>17</v>
      </c>
      <c r="O258" s="635" t="b">
        <f>$L$258</f>
        <v>1</v>
      </c>
      <c r="P258" t="s">
        <v>17</v>
      </c>
      <c r="Q258" t="s">
        <v>17</v>
      </c>
      <c r="R258" t="s">
        <v>17</v>
      </c>
      <c r="S258" s="85" t="b">
        <f>$L$258</f>
        <v>1</v>
      </c>
      <c r="T258" t="s">
        <v>17</v>
      </c>
      <c r="U258" t="s">
        <v>17</v>
      </c>
      <c r="V258" s="85" t="b">
        <f>$L$258</f>
        <v>1</v>
      </c>
      <c r="W258" t="s">
        <v>17</v>
      </c>
      <c r="X258" t="s">
        <v>17</v>
      </c>
      <c r="Y258" t="s">
        <v>17</v>
      </c>
      <c r="Z258" t="s">
        <v>17</v>
      </c>
      <c r="AA258" s="85" t="b">
        <f>$L$258</f>
        <v>1</v>
      </c>
      <c r="AB258" t="s">
        <v>17</v>
      </c>
      <c r="AC258" t="s">
        <v>17</v>
      </c>
      <c r="AD258" t="b">
        <f>TRUE</f>
        <v>1</v>
      </c>
    </row>
  </sheetData>
  <sheetProtection algorithmName="SHA-512" hashValue="sFB4S+Baw37YBN+SZTyMVsnzsx/aWHZAWwENvvTeUjaGWcVSG3zEVcmliCZzv2NBuV20p302ru5UqUxj3dDAUw==" saltValue="YV2xz9z7MGYTV8UrrpcJAA==" spinCount="100000" sheet="1" objects="1" scenarios="1" formatColumns="0"/>
  <mergeCells count="63">
    <mergeCell ref="B213:F213"/>
    <mergeCell ref="B198:E198"/>
    <mergeCell ref="B199:E199"/>
    <mergeCell ref="B200:E200"/>
    <mergeCell ref="G212:K212"/>
    <mergeCell ref="B212:F212"/>
    <mergeCell ref="B202:F202"/>
    <mergeCell ref="B203:F203"/>
    <mergeCell ref="B204:F204"/>
    <mergeCell ref="B205:F205"/>
    <mergeCell ref="B206:F206"/>
    <mergeCell ref="B209:F209"/>
    <mergeCell ref="G206:J206"/>
    <mergeCell ref="B208:F208"/>
    <mergeCell ref="G208:K208"/>
    <mergeCell ref="B211:F211"/>
    <mergeCell ref="G199:K199"/>
    <mergeCell ref="G200:K200"/>
    <mergeCell ref="G196:K196"/>
    <mergeCell ref="G213:K213"/>
    <mergeCell ref="X4:AC4"/>
    <mergeCell ref="G4:J4"/>
    <mergeCell ref="R4:T4"/>
    <mergeCell ref="G209:K209"/>
    <mergeCell ref="G211:K211"/>
    <mergeCell ref="G202:K202"/>
    <mergeCell ref="K4:M4"/>
    <mergeCell ref="G197:K197"/>
    <mergeCell ref="G198:K198"/>
    <mergeCell ref="DO1:DQ1"/>
    <mergeCell ref="BE1:BL1"/>
    <mergeCell ref="DE1:DH1"/>
    <mergeCell ref="DJ1:DM1"/>
    <mergeCell ref="CC4:CD4"/>
    <mergeCell ref="BP4:BQ4"/>
    <mergeCell ref="BT4:BU4"/>
    <mergeCell ref="BG4:BH4"/>
    <mergeCell ref="BY4:BZ4"/>
    <mergeCell ref="BK4:BL4"/>
    <mergeCell ref="AF1:AI1"/>
    <mergeCell ref="AF4:AF5"/>
    <mergeCell ref="AH4:AH5"/>
    <mergeCell ref="B197:E197"/>
    <mergeCell ref="B195:E195"/>
    <mergeCell ref="B196:E196"/>
    <mergeCell ref="U4:W4"/>
    <mergeCell ref="B4:E4"/>
    <mergeCell ref="AI4:AI5"/>
    <mergeCell ref="N4:P4"/>
    <mergeCell ref="AG4:AG5"/>
    <mergeCell ref="B1:G1"/>
    <mergeCell ref="F3:H3"/>
    <mergeCell ref="G195:K195"/>
    <mergeCell ref="AQ3:AT3"/>
    <mergeCell ref="AJ4:AJ5"/>
    <mergeCell ref="AW4:AX4"/>
    <mergeCell ref="BW1:CD1"/>
    <mergeCell ref="CI1:CN1"/>
    <mergeCell ref="BP1:BU1"/>
    <mergeCell ref="AQ4:AR4"/>
    <mergeCell ref="AY4:BC4"/>
    <mergeCell ref="AN4:AN5"/>
    <mergeCell ref="AK4:AK5"/>
  </mergeCells>
  <phoneticPr fontId="6" type="noConversion"/>
  <dataValidations xWindow="1047" yWindow="671" count="13">
    <dataValidation allowBlank="1" showInputMessage="1" showErrorMessage="1" promptTitle="Accrued Interest" prompt="These figures are used for the interest paid.  If a grace on paying interest, the amount accrues here." sqref="AR6:AR188 AS6 AT6:AT188" xr:uid="{00000000-0002-0000-0400-000000000000}"/>
    <dataValidation type="decimal" operator="notEqual" allowBlank="1" showInputMessage="1" showErrorMessage="1" errorTitle="Invalid Entry" error="You must enter a numerical value in this cell" sqref="O6:O188 S6:S188" xr:uid="{00000000-0002-0000-0400-000001000000}">
      <formula1>12323212323</formula1>
    </dataValidation>
    <dataValidation type="decimal" operator="notEqual" allowBlank="1" showInputMessage="1" showErrorMessage="1" errorTitle="Invalid Entry" error="You must enter a numerical value in this cell." sqref="V6:V188" xr:uid="{00000000-0002-0000-0400-000002000000}">
      <formula1>123212321232</formula1>
    </dataValidation>
    <dataValidation type="decimal" operator="notEqual" allowBlank="1" showInputMessage="1" showErrorMessage="1" errorTitle="Invalid Entry" error="You must enter a numerical value in this cell." sqref="AA6:AA188" xr:uid="{00000000-0002-0000-0400-000003000000}">
      <formula1>123232122</formula1>
    </dataValidation>
    <dataValidation type="decimal" operator="notEqual" allowBlank="1" showInputMessage="1" showErrorMessage="1" errorTitle="Invalid Entry" error="You must enter a numerical value in this column" sqref="I6:I188 L6:L188" xr:uid="{00000000-0002-0000-0400-000004000000}">
      <formula1>1232332332</formula1>
    </dataValidation>
    <dataValidation type="date" operator="greaterThan" allowBlank="1" showInputMessage="1" showErrorMessage="1" errorTitle="Invalid Date" error="Enter a date in the proper format." promptTitle="Date" prompt="Enter the specific date of this payment" sqref="D7:D188" xr:uid="{00000000-0002-0000-0400-000005000000}">
      <formula1>18264</formula1>
    </dataValidation>
    <dataValidation type="date" operator="greaterThan" allowBlank="1" showInputMessage="1" showErrorMessage="1" errorTitle="Invalid Date" error="Enter a correct date format." promptTitle="Disbursement Date" prompt="Enter the date of the initial loan disbursment." sqref="E3" xr:uid="{00000000-0002-0000-0400-000006000000}">
      <formula1>18264</formula1>
    </dataValidation>
    <dataValidation allowBlank="1" showInputMessage="1" showErrorMessage="1" promptTitle="Period APR" prompt="This column takes the (interest+fees) for the period, compares them with the previous period's loan balance, and converts the percentage to an annual rate." sqref="Q6:Q188" xr:uid="{00000000-0002-0000-0400-000007000000}"/>
    <dataValidation allowBlank="1" showInputMessage="1" showErrorMessage="1" prompt="Used to calculate average balance IF all periods are equal length.  If MANUAL MODE, this calculation is not accurate.  (Need to calculate average DAILY balance)" sqref="AJ194:AK195" xr:uid="{00000000-0002-0000-0400-000008000000}"/>
    <dataValidation allowBlank="1" showInputMessage="1" showErrorMessage="1" prompt="1 = EU Divisor (periods)_x000d_2 = US Divisor (periods)_x000d_3 = EU Divisor (exact days)" sqref="CR1" xr:uid="{00000000-0002-0000-0400-000009000000}"/>
    <dataValidation allowBlank="1" showInputMessage="1" showErrorMessage="1" prompt="FALSE will use the XIRR to fill in the discount columns._x000d_TRUE will use the guesstimates in the grey cells to populate the discount columns.  Then use the CALC APR button to run the VBA macro" sqref="CT1" xr:uid="{00000000-0002-0000-0400-00000A000000}"/>
    <dataValidation allowBlank="1" showInputMessage="1" showErrorMessage="1" promptTitle="Grace period, capital" prompt="Enter any grace period for repayments of principal, or leave as 0" sqref="AG233:AI233" xr:uid="{00000000-0002-0000-0400-00000B000000}"/>
    <dataValidation allowBlank="1" showInputMessage="1" showErrorMessage="1" promptTitle="Average Daily Balance (NOT net)" prompt="Used to calculate average balance.  It uses manually modified dates if irregular payments are scheduled." sqref="AJ4:AK189" xr:uid="{00000000-0002-0000-0400-00000C000000}"/>
  </dataValidations>
  <pageMargins left="0.75" right="0.75" top="1" bottom="1" header="0.5" footer="0.5"/>
  <pageSetup scale="72" orientation="landscape" useFirstPageNumber="1" horizontalDpi="4294967292" verticalDpi="4294967292"/>
  <headerFooter>
    <oddHeader>&amp;C&amp;"Arial,Bold"PRISMA ---  Cooperative San Luis Financial Projections&amp;"Arial,Regular"_x000D_Client Cost Repayment Schedule&amp;LPrinted: &amp;D at &amp;T_x000D_Projections developed with Microfin&amp;RPage &amp;P_x000D_File name: &amp;F</oddHeader>
  </headerFooter>
  <drawing r:id="rId1"/>
  <legacyDrawing r:id="rId2"/>
  <mc:AlternateContent xmlns:mc="http://schemas.openxmlformats.org/markup-compatibility/2006">
    <mc:Choice Requires="x14">
      <controls>
        <mc:AlternateContent xmlns:mc="http://schemas.openxmlformats.org/markup-compatibility/2006">
          <mc:Choice Requires="x14">
            <control shapeId="3109294" r:id="rId3" name="Button 1454">
              <controlPr defaultSize="0" print="0" autoFill="0" autoPict="0" macro="[0]!CalcEUAPR">
                <anchor moveWithCells="1" sizeWithCells="1">
                  <from>
                    <xdr:col>101</xdr:col>
                    <xdr:colOff>50800</xdr:colOff>
                    <xdr:row>1</xdr:row>
                    <xdr:rowOff>0</xdr:rowOff>
                  </from>
                  <to>
                    <xdr:col>103</xdr:col>
                    <xdr:colOff>431800</xdr:colOff>
                    <xdr:row>1</xdr:row>
                    <xdr:rowOff>139700</xdr:rowOff>
                  </to>
                </anchor>
              </controlPr>
            </control>
          </mc:Choice>
        </mc:AlternateContent>
        <mc:AlternateContent xmlns:mc="http://schemas.openxmlformats.org/markup-compatibility/2006">
          <mc:Choice Requires="x14">
            <control shapeId="4208703" r:id="rId4" name="Check Box 3135">
              <controlPr defaultSize="0" autoFill="0" autoLine="0" autoPict="0" macro="[0]!ManualCalcCheckbox">
                <anchor moveWithCells="1">
                  <from>
                    <xdr:col>5</xdr:col>
                    <xdr:colOff>76200</xdr:colOff>
                    <xdr:row>0</xdr:row>
                    <xdr:rowOff>203200</xdr:rowOff>
                  </from>
                  <to>
                    <xdr:col>7</xdr:col>
                    <xdr:colOff>558800</xdr:colOff>
                    <xdr:row>1</xdr:row>
                    <xdr:rowOff>190500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IRRFlow">
    <tabColor rgb="FF0070C0"/>
  </sheetPr>
  <dimension ref="B1:AK125"/>
  <sheetViews>
    <sheetView showGridLines="0" zoomScale="110" zoomScaleNormal="110" zoomScalePageLayoutView="110" workbookViewId="0">
      <selection activeCell="D11" sqref="D11"/>
    </sheetView>
  </sheetViews>
  <sheetFormatPr baseColWidth="10" defaultColWidth="8.796875" defaultRowHeight="12"/>
  <cols>
    <col min="1" max="1" width="0.796875" customWidth="1"/>
    <col min="2" max="2" width="11" customWidth="1"/>
    <col min="5" max="5" width="2.796875" customWidth="1"/>
    <col min="7" max="7" width="2.796875" customWidth="1"/>
    <col min="9" max="9" width="2.796875" customWidth="1"/>
    <col min="11" max="11" width="2.796875" customWidth="1"/>
    <col min="13" max="13" width="2.796875" customWidth="1"/>
    <col min="15" max="15" width="2.796875" customWidth="1"/>
    <col min="17" max="17" width="2.796875" customWidth="1"/>
    <col min="19" max="19" width="2.796875" customWidth="1"/>
    <col min="21" max="21" width="2.796875" customWidth="1"/>
    <col min="23" max="23" width="2.796875" customWidth="1"/>
    <col min="25" max="25" width="2.796875" customWidth="1"/>
    <col min="27" max="27" width="2.796875" customWidth="1"/>
    <col min="29" max="29" width="2.796875" customWidth="1"/>
  </cols>
  <sheetData>
    <row r="1" spans="2:37" ht="18">
      <c r="B1" s="295" t="s">
        <v>435</v>
      </c>
      <c r="D1" s="23"/>
      <c r="E1" s="23"/>
      <c r="F1" s="23"/>
      <c r="G1" s="23"/>
      <c r="H1" s="23"/>
      <c r="I1" s="23"/>
      <c r="M1" s="782" t="str">
        <f>IF(N1&lt;&gt;0,IF(C11+C12&gt;1,"Too high",IF(C12+C11&lt;-1,"Too low","-")),"-")</f>
        <v>-</v>
      </c>
      <c r="N1" s="767"/>
      <c r="O1" s="783" t="s">
        <v>1104</v>
      </c>
      <c r="R1" s="23"/>
      <c r="S1" s="23"/>
      <c r="T1" s="23"/>
      <c r="U1" s="23"/>
      <c r="V1" s="23"/>
      <c r="W1" s="23"/>
      <c r="X1" s="23"/>
      <c r="AB1" s="23"/>
      <c r="AC1" s="23"/>
      <c r="AD1" s="23"/>
      <c r="AE1" s="23"/>
      <c r="AF1" s="23"/>
      <c r="AG1" s="23"/>
    </row>
    <row r="2" spans="2:37" ht="14">
      <c r="B2" s="1015" t="str">
        <f>IF(term&gt;12,"NOTE! This works only if the loan product on the Pricing-ADV sheet has 12 pmts or less.",IF(N1&lt;&gt;0,"NOTE: Currently using MANUAL estimate of discount rate in row above.","."))</f>
        <v>.</v>
      </c>
      <c r="C2" s="1015"/>
      <c r="D2" s="1015"/>
      <c r="E2" s="1015"/>
      <c r="F2" s="1015"/>
      <c r="G2" s="1015"/>
      <c r="H2" s="1015"/>
      <c r="I2" s="1015"/>
      <c r="J2" s="1015"/>
      <c r="K2" s="1015"/>
      <c r="L2" s="1015"/>
      <c r="M2" s="1016"/>
      <c r="N2" s="768" t="e">
        <f>F9*'Rep Schedule - Advanced'!M196</f>
        <v>#NUM!</v>
      </c>
      <c r="O2" s="1013" t="s">
        <v>1102</v>
      </c>
      <c r="P2" s="1014"/>
      <c r="Q2" s="23"/>
      <c r="R2" s="768" t="e">
        <f>(1/F8)^'Rep Schedule - Advanced'!M196-1</f>
        <v>#NUM!</v>
      </c>
      <c r="S2" s="1013" t="s">
        <v>1105</v>
      </c>
      <c r="T2" s="1014"/>
      <c r="U2" s="23"/>
      <c r="V2" s="23"/>
      <c r="W2" s="23"/>
      <c r="X2" s="23"/>
      <c r="Y2" s="23"/>
      <c r="AC2" s="23"/>
      <c r="AD2" s="23"/>
      <c r="AE2" s="23"/>
      <c r="AF2" s="23"/>
      <c r="AG2" s="23"/>
    </row>
    <row r="3" spans="2:37" s="518" customFormat="1" ht="15" thickBot="1">
      <c r="B3" s="703" t="s">
        <v>835</v>
      </c>
      <c r="C3" s="535" t="s">
        <v>373</v>
      </c>
      <c r="D3" s="535" t="str">
        <f>"Period "&amp;D75</f>
        <v>Period 0</v>
      </c>
      <c r="E3" s="530"/>
      <c r="F3" s="535" t="str">
        <f>"Period "&amp;F75</f>
        <v>Period 1</v>
      </c>
      <c r="G3" s="530"/>
      <c r="H3" s="535" t="str">
        <f>"Period "&amp;H75</f>
        <v>Period 2</v>
      </c>
      <c r="I3" s="530"/>
      <c r="J3" s="535" t="str">
        <f>"Period "&amp;J75</f>
        <v>Period 3</v>
      </c>
      <c r="K3" s="530"/>
      <c r="L3" s="535" t="str">
        <f>"Period "&amp;L75</f>
        <v>Period 4</v>
      </c>
      <c r="M3" s="530"/>
      <c r="N3" s="535" t="str">
        <f>"Period "&amp;N75</f>
        <v>Period 5</v>
      </c>
      <c r="O3" s="530"/>
      <c r="P3" s="535" t="str">
        <f>"Period "&amp;P75</f>
        <v>Period 6</v>
      </c>
      <c r="Q3" s="530"/>
      <c r="R3" s="535" t="str">
        <f>"Period "&amp;R75</f>
        <v>Period 7</v>
      </c>
      <c r="S3" s="530"/>
      <c r="T3" s="535" t="str">
        <f>"Period "&amp;T75</f>
        <v>Period 8</v>
      </c>
      <c r="U3" s="530"/>
      <c r="V3" s="535" t="str">
        <f>"Period "&amp;V75</f>
        <v>Period 9</v>
      </c>
      <c r="W3" s="530"/>
      <c r="X3" s="535" t="str">
        <f>"Period "&amp;X75</f>
        <v>Period 10</v>
      </c>
      <c r="Y3" s="530"/>
      <c r="Z3" s="535" t="str">
        <f>"Period "&amp;Z75</f>
        <v>Period 11</v>
      </c>
      <c r="AA3" s="530"/>
      <c r="AB3" s="535" t="str">
        <f>"Period "&amp;AB75</f>
        <v>Period 12</v>
      </c>
      <c r="AC3" s="517"/>
      <c r="AD3" s="517"/>
      <c r="AE3" s="517"/>
      <c r="AF3" s="517"/>
      <c r="AG3" s="517"/>
      <c r="AK3" s="518">
        <f>term</f>
        <v>0</v>
      </c>
    </row>
    <row r="4" spans="2:37" s="518" customFormat="1" ht="14">
      <c r="B4" s="532" t="s">
        <v>183</v>
      </c>
      <c r="C4" s="536">
        <f>SUM(D4:AB4)</f>
        <v>1E-4</v>
      </c>
      <c r="D4" s="533">
        <f>'Rep Schedule - Advanced'!$G$6+'Rep Schedule - Advanced'!$Z$6</f>
        <v>1E-4</v>
      </c>
      <c r="E4" s="533"/>
      <c r="F4" s="533">
        <f>'Rep Schedule - Advanced'!$G$7+'Rep Schedule - Advanced'!$Z$7</f>
        <v>0</v>
      </c>
      <c r="G4" s="533"/>
      <c r="H4" s="533">
        <f>'Rep Schedule - Advanced'!$G$8+'Rep Schedule - Advanced'!$Z$8</f>
        <v>0</v>
      </c>
      <c r="I4" s="533"/>
      <c r="J4" s="533">
        <f>'Rep Schedule - Advanced'!$G$9+'Rep Schedule - Advanced'!$Z$9</f>
        <v>0</v>
      </c>
      <c r="K4" s="533"/>
      <c r="L4" s="533">
        <f>'Rep Schedule - Advanced'!$G$10+'Rep Schedule - Advanced'!$Z$10</f>
        <v>0</v>
      </c>
      <c r="M4" s="533"/>
      <c r="N4" s="533">
        <f>'Rep Schedule - Advanced'!$G$11+'Rep Schedule - Advanced'!$Z$11</f>
        <v>0</v>
      </c>
      <c r="O4" s="527"/>
      <c r="P4" s="533">
        <f>'Rep Schedule - Advanced'!$G$12+'Rep Schedule - Advanced'!$Z$12</f>
        <v>0</v>
      </c>
      <c r="Q4" s="527"/>
      <c r="R4" s="533">
        <f>'Rep Schedule - Advanced'!$G$13+'Rep Schedule - Advanced'!$Z$13</f>
        <v>0</v>
      </c>
      <c r="S4" s="527"/>
      <c r="T4" s="533">
        <f>'Rep Schedule - Advanced'!$G$14+'Rep Schedule - Advanced'!$Z$14</f>
        <v>0</v>
      </c>
      <c r="U4" s="527"/>
      <c r="V4" s="533">
        <f>'Rep Schedule - Advanced'!$G$15+'Rep Schedule - Advanced'!$Z$15</f>
        <v>0</v>
      </c>
      <c r="W4" s="527"/>
      <c r="X4" s="533">
        <f>'Rep Schedule - Advanced'!$G$16+'Rep Schedule - Advanced'!$Z$16</f>
        <v>0</v>
      </c>
      <c r="Y4" s="527"/>
      <c r="Z4" s="533">
        <f>'Rep Schedule - Advanced'!$G$17+'Rep Schedule - Advanced'!$Z$17</f>
        <v>0</v>
      </c>
      <c r="AA4" s="527"/>
      <c r="AB4" s="534">
        <f>'Rep Schedule - Advanced'!$G$18+'Rep Schedule - Advanced'!$Z$18</f>
        <v>0</v>
      </c>
      <c r="AC4" s="517"/>
      <c r="AD4" s="517" t="s">
        <v>844</v>
      </c>
      <c r="AE4" s="517"/>
      <c r="AF4" s="517"/>
      <c r="AG4" s="517"/>
    </row>
    <row r="5" spans="2:37" s="518" customFormat="1" ht="15" thickBot="1">
      <c r="B5" s="528" t="s">
        <v>184</v>
      </c>
      <c r="C5" s="537">
        <f>SUM(D5:AB5)</f>
        <v>0</v>
      </c>
      <c r="D5" s="529">
        <f>-'Rep Schedule - Advanced'!$BC$6</f>
        <v>0</v>
      </c>
      <c r="E5" s="529"/>
      <c r="F5" s="529">
        <f>-'Rep Schedule - Advanced'!$BC$7</f>
        <v>0</v>
      </c>
      <c r="G5" s="529"/>
      <c r="H5" s="529">
        <f>-'Rep Schedule - Advanced'!$BC$8</f>
        <v>0</v>
      </c>
      <c r="I5" s="529"/>
      <c r="J5" s="529">
        <f>-'Rep Schedule - Advanced'!$BC$9</f>
        <v>0</v>
      </c>
      <c r="K5" s="529"/>
      <c r="L5" s="529">
        <f>-'Rep Schedule - Advanced'!$BC$10</f>
        <v>0</v>
      </c>
      <c r="M5" s="529"/>
      <c r="N5" s="529">
        <f>-'Rep Schedule - Advanced'!$BC$11</f>
        <v>0</v>
      </c>
      <c r="O5" s="530"/>
      <c r="P5" s="529">
        <f>-'Rep Schedule - Advanced'!$BC$12</f>
        <v>0</v>
      </c>
      <c r="Q5" s="530"/>
      <c r="R5" s="529">
        <f>-'Rep Schedule - Advanced'!$BC$13</f>
        <v>0</v>
      </c>
      <c r="S5" s="530"/>
      <c r="T5" s="529">
        <f>-'Rep Schedule - Advanced'!$BC$14</f>
        <v>0</v>
      </c>
      <c r="U5" s="530"/>
      <c r="V5" s="529">
        <f>-'Rep Schedule - Advanced'!$BC$15</f>
        <v>0</v>
      </c>
      <c r="W5" s="530"/>
      <c r="X5" s="529">
        <f>-'Rep Schedule - Advanced'!$BC$16</f>
        <v>0</v>
      </c>
      <c r="Y5" s="530"/>
      <c r="Z5" s="529">
        <f>-'Rep Schedule - Advanced'!$BC$17</f>
        <v>0</v>
      </c>
      <c r="AA5" s="530"/>
      <c r="AB5" s="531">
        <f>-'Rep Schedule - Advanced'!$BC$18</f>
        <v>0</v>
      </c>
      <c r="AC5" s="517"/>
      <c r="AD5" s="517"/>
      <c r="AE5" s="517"/>
      <c r="AF5" s="517"/>
      <c r="AG5" s="517"/>
    </row>
    <row r="6" spans="2:37" s="518" customFormat="1" ht="14">
      <c r="B6" s="824" t="s">
        <v>1160</v>
      </c>
      <c r="C6" s="825"/>
      <c r="D6" s="825">
        <f>D4+D5</f>
        <v>1E-4</v>
      </c>
      <c r="E6" s="825"/>
      <c r="F6" s="825">
        <f>F4+F5</f>
        <v>0</v>
      </c>
      <c r="G6" s="825"/>
      <c r="H6" s="825">
        <f>H4+H5</f>
        <v>0</v>
      </c>
      <c r="I6" s="825"/>
      <c r="J6" s="825">
        <f>J4+J5</f>
        <v>0</v>
      </c>
      <c r="K6" s="825"/>
      <c r="L6" s="825">
        <f>L4+L5</f>
        <v>0</v>
      </c>
      <c r="M6" s="825"/>
      <c r="N6" s="825">
        <f>N4+N5</f>
        <v>0</v>
      </c>
      <c r="O6" s="826"/>
      <c r="P6" s="825">
        <f>P4+P5</f>
        <v>0</v>
      </c>
      <c r="Q6" s="826"/>
      <c r="R6" s="825">
        <f>R4+R5</f>
        <v>0</v>
      </c>
      <c r="S6" s="826"/>
      <c r="T6" s="825">
        <f>T4+T5</f>
        <v>0</v>
      </c>
      <c r="U6" s="826"/>
      <c r="V6" s="825">
        <f>V4+V5</f>
        <v>0</v>
      </c>
      <c r="W6" s="826"/>
      <c r="X6" s="825">
        <f>X4+X5</f>
        <v>0</v>
      </c>
      <c r="Y6" s="826"/>
      <c r="Z6" s="825">
        <f>Z4+Z5</f>
        <v>0</v>
      </c>
      <c r="AA6" s="826"/>
      <c r="AB6" s="825">
        <f>AB4+AB5</f>
        <v>0</v>
      </c>
      <c r="AC6" s="517"/>
      <c r="AD6" s="517"/>
      <c r="AE6" s="517"/>
      <c r="AF6" s="517"/>
      <c r="AG6" s="517"/>
    </row>
    <row r="7" spans="2:37" s="518" customFormat="1" ht="5.25" customHeight="1">
      <c r="B7" s="526"/>
      <c r="C7" s="517"/>
      <c r="D7" s="517"/>
      <c r="E7" s="517"/>
      <c r="F7" s="517"/>
      <c r="G7" s="517"/>
      <c r="H7" s="517"/>
      <c r="I7" s="517"/>
      <c r="J7" s="517"/>
      <c r="K7" s="517"/>
      <c r="L7" s="517"/>
      <c r="M7" s="517"/>
      <c r="N7" s="517"/>
      <c r="O7" s="517"/>
      <c r="P7" s="517"/>
      <c r="Q7" s="517"/>
      <c r="R7" s="517"/>
      <c r="S7" s="517"/>
      <c r="T7" s="517"/>
      <c r="U7" s="517"/>
      <c r="V7" s="517"/>
      <c r="W7" s="517"/>
      <c r="X7" s="517"/>
      <c r="Y7" s="517"/>
      <c r="Z7" s="517"/>
      <c r="AA7" s="517"/>
      <c r="AB7" s="517"/>
      <c r="AC7" s="517"/>
      <c r="AD7" s="517"/>
      <c r="AE7" s="517"/>
      <c r="AF7" s="517"/>
      <c r="AG7" s="517"/>
    </row>
    <row r="8" spans="2:37" s="518" customFormat="1" ht="14">
      <c r="B8" s="526"/>
      <c r="C8" s="705" t="s">
        <v>837</v>
      </c>
      <c r="D8" s="519">
        <f>1/'Rep Schedule - Advanced'!$CL$6</f>
        <v>1</v>
      </c>
      <c r="E8" s="517"/>
      <c r="F8" s="519" t="e">
        <f>D8/(1+F9)</f>
        <v>#NUM!</v>
      </c>
      <c r="G8" s="517"/>
      <c r="H8" s="519" t="e">
        <f>F8/(1+H9)</f>
        <v>#NUM!</v>
      </c>
      <c r="I8" s="517"/>
      <c r="J8" s="519" t="e">
        <f>H8/(1+J9)</f>
        <v>#NUM!</v>
      </c>
      <c r="K8" s="517"/>
      <c r="L8" s="519" t="e">
        <f>J8/(1+L9)</f>
        <v>#NUM!</v>
      </c>
      <c r="M8" s="517"/>
      <c r="N8" s="519" t="e">
        <f>L8/(1+N9)</f>
        <v>#NUM!</v>
      </c>
      <c r="O8" s="517"/>
      <c r="P8" s="519" t="e">
        <f>N8/(1+P9)</f>
        <v>#NUM!</v>
      </c>
      <c r="Q8" s="517"/>
      <c r="R8" s="519" t="e">
        <f>P8/(1+R9)</f>
        <v>#NUM!</v>
      </c>
      <c r="S8" s="517"/>
      <c r="T8" s="519" t="e">
        <f>R8/(1+T9)</f>
        <v>#NUM!</v>
      </c>
      <c r="U8" s="517"/>
      <c r="V8" s="519" t="e">
        <f>T8/(1+V9)</f>
        <v>#NUM!</v>
      </c>
      <c r="W8" s="517"/>
      <c r="X8" s="519" t="e">
        <f>V8/(1+X9)</f>
        <v>#NUM!</v>
      </c>
      <c r="Y8" s="517"/>
      <c r="Z8" s="519" t="e">
        <f>X8/(1+Z9)</f>
        <v>#NUM!</v>
      </c>
      <c r="AA8" s="517"/>
      <c r="AB8" s="519" t="e">
        <f>Z8/(1+AB9)</f>
        <v>#NUM!</v>
      </c>
      <c r="AC8" s="517"/>
      <c r="AD8" s="517" t="s">
        <v>843</v>
      </c>
      <c r="AE8" s="517"/>
      <c r="AF8" s="517"/>
      <c r="AG8" s="517"/>
    </row>
    <row r="9" spans="2:37" s="518" customFormat="1" ht="14">
      <c r="B9" s="704" t="s">
        <v>836</v>
      </c>
      <c r="C9" s="517"/>
      <c r="D9" s="517"/>
      <c r="E9" s="517"/>
      <c r="F9" s="258" t="e">
        <f>IF(N1=0,'Rep Schedule - Advanced'!$AC$195,N1)</f>
        <v>#NUM!</v>
      </c>
      <c r="G9" s="259"/>
      <c r="H9" s="258" t="e">
        <f>F9</f>
        <v>#NUM!</v>
      </c>
      <c r="I9" s="259"/>
      <c r="J9" s="258" t="e">
        <f>H9</f>
        <v>#NUM!</v>
      </c>
      <c r="K9" s="259"/>
      <c r="L9" s="258" t="e">
        <f>J9</f>
        <v>#NUM!</v>
      </c>
      <c r="M9" s="259"/>
      <c r="N9" s="258" t="e">
        <f>L9</f>
        <v>#NUM!</v>
      </c>
      <c r="O9" s="416"/>
      <c r="P9" s="258" t="e">
        <f>N9</f>
        <v>#NUM!</v>
      </c>
      <c r="Q9" s="416"/>
      <c r="R9" s="258" t="e">
        <f>P9</f>
        <v>#NUM!</v>
      </c>
      <c r="S9" s="416"/>
      <c r="T9" s="258" t="e">
        <f>R9</f>
        <v>#NUM!</v>
      </c>
      <c r="U9" s="416"/>
      <c r="V9" s="258" t="e">
        <f>T9</f>
        <v>#NUM!</v>
      </c>
      <c r="W9" s="416"/>
      <c r="X9" s="258" t="e">
        <f>V9</f>
        <v>#NUM!</v>
      </c>
      <c r="Y9" s="416"/>
      <c r="Z9" s="258" t="e">
        <f>X9</f>
        <v>#NUM!</v>
      </c>
      <c r="AA9" s="416"/>
      <c r="AB9" s="258" t="e">
        <f>Z9</f>
        <v>#NUM!</v>
      </c>
      <c r="AC9" s="517"/>
      <c r="AD9" s="517" t="s">
        <v>857</v>
      </c>
      <c r="AE9" s="517"/>
      <c r="AF9" s="517"/>
      <c r="AG9" s="517"/>
    </row>
    <row r="10" spans="2:37" s="518" customFormat="1" ht="5.25" customHeight="1" thickBot="1">
      <c r="B10" s="526"/>
      <c r="C10" s="517"/>
      <c r="D10" s="517"/>
      <c r="E10" s="517"/>
      <c r="F10" s="520"/>
      <c r="G10" s="517"/>
      <c r="H10" s="520"/>
      <c r="I10" s="517"/>
      <c r="J10" s="520"/>
      <c r="K10" s="517"/>
      <c r="L10" s="520"/>
      <c r="M10" s="517"/>
      <c r="N10" s="520"/>
      <c r="O10" s="517"/>
      <c r="P10" s="520"/>
      <c r="Q10" s="517"/>
      <c r="R10" s="520"/>
      <c r="S10" s="517"/>
      <c r="T10" s="520"/>
      <c r="U10" s="517"/>
      <c r="V10" s="520"/>
      <c r="W10" s="517"/>
      <c r="X10" s="520"/>
      <c r="Y10" s="517"/>
      <c r="Z10" s="520"/>
      <c r="AA10" s="517"/>
      <c r="AB10" s="520"/>
      <c r="AC10" s="517"/>
      <c r="AD10" s="517"/>
      <c r="AE10" s="517"/>
      <c r="AF10" s="517"/>
      <c r="AG10" s="517"/>
    </row>
    <row r="11" spans="2:37" s="518" customFormat="1" ht="14">
      <c r="B11" s="532" t="str">
        <f>B4</f>
        <v>Inflow</v>
      </c>
      <c r="C11" s="536" t="e">
        <f>SUM(D11:AB11)</f>
        <v>#NUM!</v>
      </c>
      <c r="D11" s="533">
        <f>D4*D8</f>
        <v>1E-4</v>
      </c>
      <c r="E11" s="533"/>
      <c r="F11" s="533" t="e">
        <f>F4*F8</f>
        <v>#NUM!</v>
      </c>
      <c r="G11" s="533"/>
      <c r="H11" s="533" t="e">
        <f>H4*H8</f>
        <v>#NUM!</v>
      </c>
      <c r="I11" s="533"/>
      <c r="J11" s="533" t="e">
        <f>J4*J8</f>
        <v>#NUM!</v>
      </c>
      <c r="K11" s="533"/>
      <c r="L11" s="533" t="e">
        <f>L4*L8</f>
        <v>#NUM!</v>
      </c>
      <c r="M11" s="533"/>
      <c r="N11" s="533" t="e">
        <f>N4*N8</f>
        <v>#NUM!</v>
      </c>
      <c r="O11" s="527"/>
      <c r="P11" s="533" t="e">
        <f>P4*P8</f>
        <v>#NUM!</v>
      </c>
      <c r="Q11" s="527"/>
      <c r="R11" s="533" t="e">
        <f>R4*R8</f>
        <v>#NUM!</v>
      </c>
      <c r="S11" s="527"/>
      <c r="T11" s="533" t="e">
        <f>T4*T8</f>
        <v>#NUM!</v>
      </c>
      <c r="U11" s="527"/>
      <c r="V11" s="533" t="e">
        <f>V4*V8</f>
        <v>#NUM!</v>
      </c>
      <c r="W11" s="527"/>
      <c r="X11" s="533" t="e">
        <f>X4*X8</f>
        <v>#NUM!</v>
      </c>
      <c r="Y11" s="527"/>
      <c r="Z11" s="533" t="e">
        <f>Z4*Z8</f>
        <v>#NUM!</v>
      </c>
      <c r="AA11" s="527"/>
      <c r="AB11" s="534" t="e">
        <f>AB4*AB8</f>
        <v>#NUM!</v>
      </c>
      <c r="AC11" s="517"/>
      <c r="AD11" s="517" t="s">
        <v>845</v>
      </c>
      <c r="AE11" s="517"/>
      <c r="AF11" s="517"/>
      <c r="AG11" s="517"/>
    </row>
    <row r="12" spans="2:37" s="518" customFormat="1" ht="15" thickBot="1">
      <c r="B12" s="528" t="str">
        <f>B5</f>
        <v>Outflow</v>
      </c>
      <c r="C12" s="537" t="e">
        <f>SUM(D12:AB12)</f>
        <v>#NUM!</v>
      </c>
      <c r="D12" s="529">
        <f>D5*D8</f>
        <v>0</v>
      </c>
      <c r="E12" s="529"/>
      <c r="F12" s="529" t="e">
        <f>F5*F8</f>
        <v>#NUM!</v>
      </c>
      <c r="G12" s="529"/>
      <c r="H12" s="529" t="e">
        <f>H5*H8</f>
        <v>#NUM!</v>
      </c>
      <c r="I12" s="529"/>
      <c r="J12" s="529" t="e">
        <f>J5*J8</f>
        <v>#NUM!</v>
      </c>
      <c r="K12" s="529"/>
      <c r="L12" s="529" t="e">
        <f>L5*L8</f>
        <v>#NUM!</v>
      </c>
      <c r="M12" s="529"/>
      <c r="N12" s="529" t="e">
        <f>N5*N8</f>
        <v>#NUM!</v>
      </c>
      <c r="O12" s="530"/>
      <c r="P12" s="529" t="e">
        <f>P5*P8</f>
        <v>#NUM!</v>
      </c>
      <c r="Q12" s="530"/>
      <c r="R12" s="529" t="e">
        <f>R5*R8</f>
        <v>#NUM!</v>
      </c>
      <c r="S12" s="530"/>
      <c r="T12" s="529" t="e">
        <f>T5*T8</f>
        <v>#NUM!</v>
      </c>
      <c r="U12" s="530"/>
      <c r="V12" s="529" t="e">
        <f>V5*V8</f>
        <v>#NUM!</v>
      </c>
      <c r="W12" s="530"/>
      <c r="X12" s="529" t="e">
        <f>X5*X8</f>
        <v>#NUM!</v>
      </c>
      <c r="Y12" s="530"/>
      <c r="Z12" s="529" t="e">
        <f>Z5*Z8</f>
        <v>#NUM!</v>
      </c>
      <c r="AA12" s="530"/>
      <c r="AB12" s="531" t="e">
        <f>AB5*AB8</f>
        <v>#NUM!</v>
      </c>
      <c r="AC12" s="517"/>
      <c r="AD12" s="517"/>
      <c r="AE12" s="517"/>
      <c r="AF12" s="517"/>
      <c r="AG12" s="517"/>
    </row>
    <row r="13" spans="2:37" s="518" customFormat="1" ht="15" thickBot="1">
      <c r="B13" s="517"/>
      <c r="C13" s="517"/>
      <c r="D13" s="517"/>
      <c r="E13" s="517"/>
      <c r="F13" s="517"/>
      <c r="G13" s="517"/>
      <c r="H13" s="517"/>
      <c r="I13" s="517"/>
      <c r="J13" s="517"/>
      <c r="K13" s="517"/>
      <c r="L13" s="517"/>
      <c r="M13" s="517"/>
      <c r="N13" s="517"/>
      <c r="O13" s="517"/>
      <c r="P13" s="517"/>
      <c r="Q13" s="517"/>
      <c r="R13" s="517"/>
      <c r="S13" s="517"/>
      <c r="T13" s="517"/>
      <c r="U13" s="517"/>
      <c r="V13" s="517"/>
      <c r="W13" s="517"/>
      <c r="X13" s="517"/>
      <c r="Y13" s="517"/>
      <c r="Z13" s="517"/>
      <c r="AA13" s="517"/>
      <c r="AB13" s="517"/>
      <c r="AC13" s="517"/>
      <c r="AD13" s="517"/>
      <c r="AE13" s="517"/>
      <c r="AF13" s="517"/>
      <c r="AG13" s="517"/>
    </row>
    <row r="14" spans="2:37" ht="15" thickTop="1">
      <c r="C14" s="261"/>
      <c r="D14" s="260"/>
      <c r="E14" s="264">
        <f>D75</f>
        <v>0</v>
      </c>
      <c r="F14" s="264"/>
      <c r="G14" s="264">
        <f>F75</f>
        <v>1</v>
      </c>
      <c r="H14" s="264"/>
      <c r="I14" s="264">
        <f>H75</f>
        <v>2</v>
      </c>
      <c r="J14" s="264"/>
      <c r="K14" s="264">
        <f>J75</f>
        <v>3</v>
      </c>
      <c r="L14" s="264"/>
      <c r="M14" s="264">
        <f>L75</f>
        <v>4</v>
      </c>
      <c r="N14" s="264"/>
      <c r="O14" s="264">
        <f>N75</f>
        <v>5</v>
      </c>
      <c r="P14" s="264"/>
      <c r="Q14" s="264">
        <f>P75</f>
        <v>6</v>
      </c>
      <c r="R14" s="264"/>
      <c r="S14" s="264">
        <f>R75</f>
        <v>7</v>
      </c>
      <c r="T14" s="260"/>
      <c r="U14" s="264">
        <f>T75</f>
        <v>8</v>
      </c>
      <c r="V14" s="260"/>
      <c r="W14" s="264">
        <f>V75</f>
        <v>9</v>
      </c>
      <c r="X14" s="260"/>
      <c r="Y14" s="273">
        <f>X75</f>
        <v>10</v>
      </c>
      <c r="Z14" s="274"/>
      <c r="AA14" s="273">
        <f>Z75</f>
        <v>11</v>
      </c>
      <c r="AB14" s="260"/>
      <c r="AC14" s="273">
        <f>AB75</f>
        <v>12</v>
      </c>
      <c r="AD14" s="267"/>
      <c r="AE14" s="23"/>
      <c r="AF14" s="23"/>
      <c r="AG14" s="23"/>
    </row>
    <row r="15" spans="2:37" ht="8" customHeight="1">
      <c r="C15" s="261"/>
      <c r="D15" s="283"/>
      <c r="E15" s="284" t="str">
        <f>IF($AF15=$D$82,"é","")</f>
        <v>é</v>
      </c>
      <c r="F15" s="285"/>
      <c r="G15" s="284" t="str">
        <f>IF($AF15=F$82,"é","")</f>
        <v/>
      </c>
      <c r="H15" s="285"/>
      <c r="I15" s="284" t="str">
        <f>IF($AF15=H$82,"é","")</f>
        <v/>
      </c>
      <c r="J15" s="285"/>
      <c r="K15" s="284" t="str">
        <f>IF($AF15=J$82,"é","")</f>
        <v/>
      </c>
      <c r="L15" s="285"/>
      <c r="M15" s="284" t="str">
        <f>IF($AF15=L$82,"é","")</f>
        <v/>
      </c>
      <c r="N15" s="285"/>
      <c r="O15" s="284" t="str">
        <f>IF($AF15=N$82,"é","")</f>
        <v/>
      </c>
      <c r="P15" s="285"/>
      <c r="Q15" s="284" t="str">
        <f>IF($AF15=P$82,"é","")</f>
        <v/>
      </c>
      <c r="R15" s="283"/>
      <c r="S15" s="284" t="str">
        <f>IF($AF15=R$82,"é","")</f>
        <v/>
      </c>
      <c r="T15" s="283"/>
      <c r="U15" s="284" t="str">
        <f>IF($AF15=T$82,"é","")</f>
        <v/>
      </c>
      <c r="V15" s="283"/>
      <c r="W15" s="284" t="str">
        <f>IF($AF15=V$82,"é","")</f>
        <v/>
      </c>
      <c r="X15" s="283"/>
      <c r="Y15" s="284" t="str">
        <f>IF($AF15=X$82,"é","")</f>
        <v/>
      </c>
      <c r="Z15" s="283"/>
      <c r="AA15" s="284" t="str">
        <f>IF($AF15=Z$82,"é","")</f>
        <v/>
      </c>
      <c r="AB15" s="283"/>
      <c r="AC15" s="521" t="str">
        <f>IF($AF15=AB$82,"é","")</f>
        <v/>
      </c>
      <c r="AD15" s="267"/>
      <c r="AE15" s="23"/>
      <c r="AF15" s="643">
        <f t="shared" ref="AF15:AF24" si="0">AF16+1</f>
        <v>20</v>
      </c>
      <c r="AG15" s="23"/>
    </row>
    <row r="16" spans="2:37" ht="8" customHeight="1">
      <c r="C16" s="261"/>
      <c r="D16" s="283"/>
      <c r="E16" s="286"/>
      <c r="F16" s="285"/>
      <c r="G16" s="286"/>
      <c r="H16" s="285"/>
      <c r="I16" s="286"/>
      <c r="J16" s="285"/>
      <c r="K16" s="286"/>
      <c r="L16" s="285"/>
      <c r="M16" s="286"/>
      <c r="N16" s="285"/>
      <c r="O16" s="286"/>
      <c r="P16" s="285"/>
      <c r="Q16" s="286"/>
      <c r="R16" s="283"/>
      <c r="S16" s="286"/>
      <c r="T16" s="283"/>
      <c r="U16" s="286"/>
      <c r="V16" s="283"/>
      <c r="W16" s="286"/>
      <c r="X16" s="283"/>
      <c r="Y16" s="286"/>
      <c r="Z16" s="283"/>
      <c r="AA16" s="286"/>
      <c r="AB16" s="283"/>
      <c r="AC16" s="522"/>
      <c r="AD16" s="267"/>
      <c r="AE16" s="23"/>
      <c r="AF16" s="643">
        <f t="shared" si="0"/>
        <v>19</v>
      </c>
      <c r="AG16" s="23"/>
    </row>
    <row r="17" spans="3:33" ht="8" customHeight="1">
      <c r="C17" s="261"/>
      <c r="D17" s="283"/>
      <c r="E17" s="286"/>
      <c r="F17" s="285"/>
      <c r="G17" s="286"/>
      <c r="H17" s="285"/>
      <c r="I17" s="286"/>
      <c r="J17" s="285"/>
      <c r="K17" s="286"/>
      <c r="L17" s="285"/>
      <c r="M17" s="286"/>
      <c r="N17" s="285"/>
      <c r="O17" s="286"/>
      <c r="P17" s="285"/>
      <c r="Q17" s="286"/>
      <c r="R17" s="283"/>
      <c r="S17" s="286"/>
      <c r="T17" s="283"/>
      <c r="U17" s="286"/>
      <c r="V17" s="283"/>
      <c r="W17" s="286"/>
      <c r="X17" s="283"/>
      <c r="Y17" s="286"/>
      <c r="Z17" s="283"/>
      <c r="AA17" s="286"/>
      <c r="AB17" s="283"/>
      <c r="AC17" s="522"/>
      <c r="AD17" s="267"/>
      <c r="AE17" s="23"/>
      <c r="AF17" s="643">
        <f t="shared" si="0"/>
        <v>18</v>
      </c>
      <c r="AG17" s="23"/>
    </row>
    <row r="18" spans="3:33" ht="8" customHeight="1">
      <c r="C18" s="261"/>
      <c r="D18" s="283"/>
      <c r="E18" s="286"/>
      <c r="F18" s="285"/>
      <c r="G18" s="286"/>
      <c r="H18" s="285"/>
      <c r="I18" s="286"/>
      <c r="J18" s="285"/>
      <c r="K18" s="286"/>
      <c r="L18" s="285"/>
      <c r="M18" s="286"/>
      <c r="N18" s="285"/>
      <c r="O18" s="286"/>
      <c r="P18" s="285"/>
      <c r="Q18" s="286"/>
      <c r="R18" s="283"/>
      <c r="S18" s="286"/>
      <c r="T18" s="283"/>
      <c r="U18" s="286"/>
      <c r="V18" s="283"/>
      <c r="W18" s="286"/>
      <c r="X18" s="283"/>
      <c r="Y18" s="286"/>
      <c r="Z18" s="283"/>
      <c r="AA18" s="286"/>
      <c r="AB18" s="283"/>
      <c r="AC18" s="522"/>
      <c r="AD18" s="267"/>
      <c r="AE18" s="23"/>
      <c r="AF18" s="643">
        <f t="shared" si="0"/>
        <v>17</v>
      </c>
      <c r="AG18" s="23"/>
    </row>
    <row r="19" spans="3:33" ht="8" customHeight="1">
      <c r="C19" s="261"/>
      <c r="D19" s="283"/>
      <c r="E19" s="286"/>
      <c r="F19" s="285"/>
      <c r="G19" s="286"/>
      <c r="H19" s="285"/>
      <c r="I19" s="286"/>
      <c r="J19" s="285"/>
      <c r="K19" s="286"/>
      <c r="L19" s="285"/>
      <c r="M19" s="286"/>
      <c r="N19" s="285"/>
      <c r="O19" s="286"/>
      <c r="P19" s="285"/>
      <c r="Q19" s="286"/>
      <c r="R19" s="283"/>
      <c r="S19" s="286"/>
      <c r="T19" s="283"/>
      <c r="U19" s="286"/>
      <c r="V19" s="283"/>
      <c r="W19" s="286"/>
      <c r="X19" s="283"/>
      <c r="Y19" s="286"/>
      <c r="Z19" s="283"/>
      <c r="AA19" s="286"/>
      <c r="AB19" s="283"/>
      <c r="AC19" s="522"/>
      <c r="AD19" s="267"/>
      <c r="AE19" s="23"/>
      <c r="AF19" s="643">
        <f t="shared" si="0"/>
        <v>16</v>
      </c>
      <c r="AG19" s="23"/>
    </row>
    <row r="20" spans="3:33" ht="8" customHeight="1">
      <c r="C20" s="261"/>
      <c r="D20" s="283"/>
      <c r="E20" s="286"/>
      <c r="F20" s="285"/>
      <c r="G20" s="286"/>
      <c r="H20" s="285"/>
      <c r="I20" s="286"/>
      <c r="J20" s="285"/>
      <c r="K20" s="286"/>
      <c r="L20" s="285"/>
      <c r="M20" s="286"/>
      <c r="N20" s="285"/>
      <c r="O20" s="286"/>
      <c r="P20" s="285"/>
      <c r="Q20" s="286"/>
      <c r="R20" s="283"/>
      <c r="S20" s="286"/>
      <c r="T20" s="283"/>
      <c r="U20" s="286"/>
      <c r="V20" s="283"/>
      <c r="W20" s="286"/>
      <c r="X20" s="283"/>
      <c r="Y20" s="286"/>
      <c r="Z20" s="283"/>
      <c r="AA20" s="286"/>
      <c r="AB20" s="283"/>
      <c r="AC20" s="522"/>
      <c r="AD20" s="267"/>
      <c r="AE20" s="23"/>
      <c r="AF20" s="643">
        <f t="shared" si="0"/>
        <v>15</v>
      </c>
      <c r="AG20" s="23"/>
    </row>
    <row r="21" spans="3:33" ht="8" customHeight="1">
      <c r="C21" s="261"/>
      <c r="D21" s="283"/>
      <c r="E21" s="286"/>
      <c r="F21" s="285"/>
      <c r="G21" s="286"/>
      <c r="H21" s="285"/>
      <c r="I21" s="286"/>
      <c r="J21" s="285"/>
      <c r="K21" s="286"/>
      <c r="L21" s="285"/>
      <c r="M21" s="286"/>
      <c r="N21" s="285"/>
      <c r="O21" s="286"/>
      <c r="P21" s="285"/>
      <c r="Q21" s="286"/>
      <c r="R21" s="283"/>
      <c r="S21" s="286"/>
      <c r="T21" s="283"/>
      <c r="U21" s="286"/>
      <c r="V21" s="283"/>
      <c r="W21" s="286"/>
      <c r="X21" s="283"/>
      <c r="Y21" s="286"/>
      <c r="Z21" s="283"/>
      <c r="AA21" s="286"/>
      <c r="AB21" s="283"/>
      <c r="AC21" s="522"/>
      <c r="AD21" s="267"/>
      <c r="AE21" s="23"/>
      <c r="AF21" s="643">
        <f t="shared" si="0"/>
        <v>14</v>
      </c>
      <c r="AG21" s="23"/>
    </row>
    <row r="22" spans="3:33" ht="8" customHeight="1">
      <c r="C22" s="261"/>
      <c r="D22" s="283"/>
      <c r="E22" s="286"/>
      <c r="F22" s="285"/>
      <c r="G22" s="286"/>
      <c r="H22" s="285"/>
      <c r="I22" s="286"/>
      <c r="J22" s="285"/>
      <c r="K22" s="286"/>
      <c r="L22" s="285"/>
      <c r="M22" s="286"/>
      <c r="N22" s="285"/>
      <c r="O22" s="286"/>
      <c r="P22" s="285"/>
      <c r="Q22" s="286"/>
      <c r="R22" s="283"/>
      <c r="S22" s="286"/>
      <c r="T22" s="283"/>
      <c r="U22" s="286"/>
      <c r="V22" s="283"/>
      <c r="W22" s="286"/>
      <c r="X22" s="283"/>
      <c r="Y22" s="286"/>
      <c r="Z22" s="283"/>
      <c r="AA22" s="286"/>
      <c r="AB22" s="283"/>
      <c r="AC22" s="522"/>
      <c r="AD22" s="267"/>
      <c r="AE22" s="23"/>
      <c r="AF22" s="643">
        <f t="shared" si="0"/>
        <v>13</v>
      </c>
      <c r="AG22" s="23"/>
    </row>
    <row r="23" spans="3:33" ht="8" customHeight="1">
      <c r="C23" s="261"/>
      <c r="D23" s="283"/>
      <c r="E23" s="286"/>
      <c r="F23" s="285"/>
      <c r="G23" s="286"/>
      <c r="H23" s="285"/>
      <c r="I23" s="286"/>
      <c r="J23" s="285"/>
      <c r="K23" s="286"/>
      <c r="L23" s="285"/>
      <c r="M23" s="286"/>
      <c r="N23" s="285"/>
      <c r="O23" s="286"/>
      <c r="P23" s="285"/>
      <c r="Q23" s="286"/>
      <c r="R23" s="283"/>
      <c r="S23" s="286"/>
      <c r="T23" s="283"/>
      <c r="U23" s="286"/>
      <c r="V23" s="283"/>
      <c r="W23" s="286"/>
      <c r="X23" s="283"/>
      <c r="Y23" s="286"/>
      <c r="Z23" s="283"/>
      <c r="AA23" s="286"/>
      <c r="AB23" s="283"/>
      <c r="AC23" s="522"/>
      <c r="AD23" s="267"/>
      <c r="AE23" s="23"/>
      <c r="AF23" s="643">
        <f t="shared" si="0"/>
        <v>12</v>
      </c>
      <c r="AG23" s="23"/>
    </row>
    <row r="24" spans="3:33" ht="8" customHeight="1">
      <c r="C24" s="261"/>
      <c r="D24" s="283"/>
      <c r="E24" s="286"/>
      <c r="F24" s="285"/>
      <c r="G24" s="286"/>
      <c r="H24" s="285"/>
      <c r="I24" s="286"/>
      <c r="J24" s="285"/>
      <c r="K24" s="286"/>
      <c r="L24" s="285"/>
      <c r="M24" s="286"/>
      <c r="N24" s="285"/>
      <c r="O24" s="286"/>
      <c r="P24" s="285"/>
      <c r="Q24" s="286"/>
      <c r="R24" s="283"/>
      <c r="S24" s="286"/>
      <c r="T24" s="283"/>
      <c r="U24" s="286"/>
      <c r="V24" s="283"/>
      <c r="W24" s="286"/>
      <c r="X24" s="283"/>
      <c r="Y24" s="286"/>
      <c r="Z24" s="283"/>
      <c r="AA24" s="286"/>
      <c r="AB24" s="283"/>
      <c r="AC24" s="522"/>
      <c r="AD24" s="267"/>
      <c r="AE24" s="23"/>
      <c r="AF24" s="643">
        <f t="shared" si="0"/>
        <v>11</v>
      </c>
      <c r="AG24" s="23"/>
    </row>
    <row r="25" spans="3:33" ht="8" customHeight="1">
      <c r="C25" s="261"/>
      <c r="D25" s="283"/>
      <c r="E25" s="286"/>
      <c r="F25" s="285"/>
      <c r="G25" s="286"/>
      <c r="H25" s="285"/>
      <c r="I25" s="286"/>
      <c r="J25" s="285"/>
      <c r="K25" s="286"/>
      <c r="L25" s="285"/>
      <c r="M25" s="286"/>
      <c r="N25" s="285"/>
      <c r="O25" s="286"/>
      <c r="P25" s="285"/>
      <c r="Q25" s="286"/>
      <c r="R25" s="283"/>
      <c r="S25" s="286"/>
      <c r="T25" s="283"/>
      <c r="U25" s="286"/>
      <c r="V25" s="283"/>
      <c r="W25" s="286"/>
      <c r="X25" s="283"/>
      <c r="Y25" s="286"/>
      <c r="Z25" s="283"/>
      <c r="AA25" s="286"/>
      <c r="AB25" s="283"/>
      <c r="AC25" s="522"/>
      <c r="AD25" s="267"/>
      <c r="AE25" s="23"/>
      <c r="AF25" s="643">
        <f>AF26+1</f>
        <v>10</v>
      </c>
      <c r="AG25" s="23"/>
    </row>
    <row r="26" spans="3:33" ht="8" customHeight="1">
      <c r="C26" s="261"/>
      <c r="D26" s="283"/>
      <c r="E26" s="286" t="str">
        <f t="shared" ref="E26:E34" si="1">IF($AF26=$D$82,"é","")</f>
        <v/>
      </c>
      <c r="F26" s="285"/>
      <c r="G26" s="286" t="str">
        <f t="shared" ref="G26:G34" si="2">IF($AF26=F$82,"é","")</f>
        <v/>
      </c>
      <c r="H26" s="285"/>
      <c r="I26" s="286" t="str">
        <f t="shared" ref="I26:I34" si="3">IF($AF26=H$82,"é","")</f>
        <v/>
      </c>
      <c r="J26" s="285"/>
      <c r="K26" s="286" t="str">
        <f t="shared" ref="K26:K34" si="4">IF($AF26=J$82,"é","")</f>
        <v/>
      </c>
      <c r="L26" s="285"/>
      <c r="M26" s="286" t="str">
        <f t="shared" ref="M26:M34" si="5">IF($AF26=L$82,"é","")</f>
        <v/>
      </c>
      <c r="N26" s="285"/>
      <c r="O26" s="286" t="str">
        <f t="shared" ref="O26:O34" si="6">IF($AF26=N$82,"é","")</f>
        <v/>
      </c>
      <c r="P26" s="285"/>
      <c r="Q26" s="286" t="str">
        <f t="shared" ref="Q26:Q34" si="7">IF($AF26=P$82,"é","")</f>
        <v/>
      </c>
      <c r="R26" s="283"/>
      <c r="S26" s="286" t="str">
        <f t="shared" ref="S26:S34" si="8">IF($AF26=R$82,"é","")</f>
        <v/>
      </c>
      <c r="T26" s="283"/>
      <c r="U26" s="286" t="str">
        <f t="shared" ref="U26:U34" si="9">IF($AF26=T$82,"é","")</f>
        <v/>
      </c>
      <c r="V26" s="283"/>
      <c r="W26" s="286" t="str">
        <f t="shared" ref="W26:W34" si="10">IF($AF26=V$82,"é","")</f>
        <v/>
      </c>
      <c r="X26" s="283"/>
      <c r="Y26" s="286" t="str">
        <f t="shared" ref="Y26:Y34" si="11">IF($AF26=X$82,"é","")</f>
        <v/>
      </c>
      <c r="Z26" s="283"/>
      <c r="AA26" s="286" t="str">
        <f t="shared" ref="AA26:AA34" si="12">IF($AF26=Z$82,"é","")</f>
        <v/>
      </c>
      <c r="AB26" s="283"/>
      <c r="AC26" s="522" t="str">
        <f t="shared" ref="AC26:AC34" si="13">IF($AF26=AB$82,"é","")</f>
        <v/>
      </c>
      <c r="AD26" s="267"/>
      <c r="AE26" s="23"/>
      <c r="AF26" s="643">
        <v>9</v>
      </c>
      <c r="AG26" s="23"/>
    </row>
    <row r="27" spans="3:33" ht="8" customHeight="1">
      <c r="C27" s="261"/>
      <c r="D27" s="283"/>
      <c r="E27" s="286" t="str">
        <f t="shared" si="1"/>
        <v/>
      </c>
      <c r="F27" s="285"/>
      <c r="G27" s="286" t="str">
        <f t="shared" si="2"/>
        <v/>
      </c>
      <c r="H27" s="285"/>
      <c r="I27" s="286" t="str">
        <f t="shared" si="3"/>
        <v/>
      </c>
      <c r="J27" s="285"/>
      <c r="K27" s="286" t="str">
        <f t="shared" si="4"/>
        <v/>
      </c>
      <c r="L27" s="285"/>
      <c r="M27" s="286" t="str">
        <f t="shared" si="5"/>
        <v/>
      </c>
      <c r="N27" s="285"/>
      <c r="O27" s="286" t="str">
        <f t="shared" si="6"/>
        <v/>
      </c>
      <c r="P27" s="285"/>
      <c r="Q27" s="286" t="str">
        <f t="shared" si="7"/>
        <v/>
      </c>
      <c r="R27" s="283"/>
      <c r="S27" s="286" t="str">
        <f t="shared" si="8"/>
        <v/>
      </c>
      <c r="T27" s="283"/>
      <c r="U27" s="286" t="str">
        <f t="shared" si="9"/>
        <v/>
      </c>
      <c r="V27" s="283"/>
      <c r="W27" s="286" t="str">
        <f t="shared" si="10"/>
        <v/>
      </c>
      <c r="X27" s="283"/>
      <c r="Y27" s="286" t="str">
        <f t="shared" si="11"/>
        <v/>
      </c>
      <c r="Z27" s="283"/>
      <c r="AA27" s="286" t="str">
        <f t="shared" si="12"/>
        <v/>
      </c>
      <c r="AB27" s="283"/>
      <c r="AC27" s="522" t="str">
        <f t="shared" si="13"/>
        <v/>
      </c>
      <c r="AD27" s="267"/>
      <c r="AE27" s="23"/>
      <c r="AF27" s="643">
        <v>8</v>
      </c>
      <c r="AG27" s="23"/>
    </row>
    <row r="28" spans="3:33" ht="8" customHeight="1">
      <c r="C28" s="261"/>
      <c r="D28" s="283"/>
      <c r="E28" s="286" t="str">
        <f t="shared" si="1"/>
        <v/>
      </c>
      <c r="F28" s="285"/>
      <c r="G28" s="286" t="str">
        <f t="shared" si="2"/>
        <v/>
      </c>
      <c r="H28" s="285"/>
      <c r="I28" s="286" t="str">
        <f t="shared" si="3"/>
        <v/>
      </c>
      <c r="J28" s="285"/>
      <c r="K28" s="286" t="str">
        <f t="shared" si="4"/>
        <v/>
      </c>
      <c r="L28" s="285"/>
      <c r="M28" s="286" t="str">
        <f t="shared" si="5"/>
        <v/>
      </c>
      <c r="N28" s="285"/>
      <c r="O28" s="286" t="str">
        <f t="shared" si="6"/>
        <v/>
      </c>
      <c r="P28" s="285"/>
      <c r="Q28" s="286" t="str">
        <f t="shared" si="7"/>
        <v/>
      </c>
      <c r="R28" s="283"/>
      <c r="S28" s="286" t="str">
        <f t="shared" si="8"/>
        <v/>
      </c>
      <c r="T28" s="283"/>
      <c r="U28" s="286" t="str">
        <f t="shared" si="9"/>
        <v/>
      </c>
      <c r="V28" s="283"/>
      <c r="W28" s="286" t="str">
        <f t="shared" si="10"/>
        <v/>
      </c>
      <c r="X28" s="283"/>
      <c r="Y28" s="286" t="str">
        <f t="shared" si="11"/>
        <v/>
      </c>
      <c r="Z28" s="283"/>
      <c r="AA28" s="286" t="str">
        <f t="shared" si="12"/>
        <v/>
      </c>
      <c r="AB28" s="283"/>
      <c r="AC28" s="522" t="str">
        <f t="shared" si="13"/>
        <v/>
      </c>
      <c r="AD28" s="267"/>
      <c r="AE28" s="23"/>
      <c r="AF28" s="643">
        <v>7</v>
      </c>
      <c r="AG28" s="23"/>
    </row>
    <row r="29" spans="3:33" ht="8" customHeight="1">
      <c r="C29" s="261"/>
      <c r="D29" s="283"/>
      <c r="E29" s="286" t="str">
        <f t="shared" si="1"/>
        <v/>
      </c>
      <c r="F29" s="285"/>
      <c r="G29" s="286" t="str">
        <f t="shared" si="2"/>
        <v/>
      </c>
      <c r="H29" s="285"/>
      <c r="I29" s="286" t="str">
        <f t="shared" si="3"/>
        <v/>
      </c>
      <c r="J29" s="285"/>
      <c r="K29" s="286" t="str">
        <f t="shared" si="4"/>
        <v/>
      </c>
      <c r="L29" s="285"/>
      <c r="M29" s="286" t="str">
        <f t="shared" si="5"/>
        <v/>
      </c>
      <c r="N29" s="285"/>
      <c r="O29" s="286" t="str">
        <f t="shared" si="6"/>
        <v/>
      </c>
      <c r="P29" s="285"/>
      <c r="Q29" s="286" t="str">
        <f t="shared" si="7"/>
        <v/>
      </c>
      <c r="R29" s="283"/>
      <c r="S29" s="286" t="str">
        <f t="shared" si="8"/>
        <v/>
      </c>
      <c r="T29" s="283"/>
      <c r="U29" s="286" t="str">
        <f t="shared" si="9"/>
        <v/>
      </c>
      <c r="V29" s="283"/>
      <c r="W29" s="286" t="str">
        <f t="shared" si="10"/>
        <v/>
      </c>
      <c r="X29" s="283"/>
      <c r="Y29" s="286" t="str">
        <f t="shared" si="11"/>
        <v/>
      </c>
      <c r="Z29" s="283"/>
      <c r="AA29" s="286" t="str">
        <f t="shared" si="12"/>
        <v/>
      </c>
      <c r="AB29" s="283"/>
      <c r="AC29" s="522" t="str">
        <f t="shared" si="13"/>
        <v/>
      </c>
      <c r="AD29" s="267"/>
      <c r="AE29" s="23"/>
      <c r="AF29" s="643">
        <v>6</v>
      </c>
      <c r="AG29" s="23"/>
    </row>
    <row r="30" spans="3:33" ht="8" customHeight="1">
      <c r="C30" s="261"/>
      <c r="D30" s="283"/>
      <c r="E30" s="286" t="str">
        <f t="shared" si="1"/>
        <v/>
      </c>
      <c r="F30" s="285"/>
      <c r="G30" s="286" t="str">
        <f t="shared" si="2"/>
        <v/>
      </c>
      <c r="H30" s="285"/>
      <c r="I30" s="286" t="str">
        <f t="shared" si="3"/>
        <v/>
      </c>
      <c r="J30" s="285"/>
      <c r="K30" s="286" t="str">
        <f t="shared" si="4"/>
        <v/>
      </c>
      <c r="L30" s="285"/>
      <c r="M30" s="286" t="str">
        <f t="shared" si="5"/>
        <v/>
      </c>
      <c r="N30" s="285"/>
      <c r="O30" s="286" t="str">
        <f t="shared" si="6"/>
        <v/>
      </c>
      <c r="P30" s="285"/>
      <c r="Q30" s="286" t="str">
        <f t="shared" si="7"/>
        <v/>
      </c>
      <c r="R30" s="283"/>
      <c r="S30" s="286" t="str">
        <f t="shared" si="8"/>
        <v/>
      </c>
      <c r="T30" s="283"/>
      <c r="U30" s="286" t="str">
        <f t="shared" si="9"/>
        <v/>
      </c>
      <c r="V30" s="283"/>
      <c r="W30" s="286" t="str">
        <f t="shared" si="10"/>
        <v/>
      </c>
      <c r="X30" s="283"/>
      <c r="Y30" s="286" t="str">
        <f t="shared" si="11"/>
        <v/>
      </c>
      <c r="Z30" s="283"/>
      <c r="AA30" s="286" t="str">
        <f t="shared" si="12"/>
        <v/>
      </c>
      <c r="AB30" s="283"/>
      <c r="AC30" s="522" t="str">
        <f t="shared" si="13"/>
        <v/>
      </c>
      <c r="AD30" s="267"/>
      <c r="AE30" s="23"/>
      <c r="AF30" s="643">
        <v>5</v>
      </c>
      <c r="AG30" s="23"/>
    </row>
    <row r="31" spans="3:33" ht="8" customHeight="1">
      <c r="C31" s="261"/>
      <c r="D31" s="283"/>
      <c r="E31" s="286" t="str">
        <f t="shared" si="1"/>
        <v/>
      </c>
      <c r="F31" s="285"/>
      <c r="G31" s="286" t="str">
        <f t="shared" si="2"/>
        <v/>
      </c>
      <c r="H31" s="285"/>
      <c r="I31" s="286" t="str">
        <f t="shared" si="3"/>
        <v/>
      </c>
      <c r="J31" s="285"/>
      <c r="K31" s="286" t="str">
        <f t="shared" si="4"/>
        <v/>
      </c>
      <c r="L31" s="285"/>
      <c r="M31" s="286" t="str">
        <f t="shared" si="5"/>
        <v/>
      </c>
      <c r="N31" s="285"/>
      <c r="O31" s="286" t="str">
        <f t="shared" si="6"/>
        <v/>
      </c>
      <c r="P31" s="285"/>
      <c r="Q31" s="286" t="str">
        <f t="shared" si="7"/>
        <v/>
      </c>
      <c r="R31" s="283"/>
      <c r="S31" s="286" t="str">
        <f t="shared" si="8"/>
        <v/>
      </c>
      <c r="T31" s="283"/>
      <c r="U31" s="286" t="str">
        <f t="shared" si="9"/>
        <v/>
      </c>
      <c r="V31" s="283"/>
      <c r="W31" s="286" t="str">
        <f t="shared" si="10"/>
        <v/>
      </c>
      <c r="X31" s="283"/>
      <c r="Y31" s="286" t="str">
        <f t="shared" si="11"/>
        <v/>
      </c>
      <c r="Z31" s="283"/>
      <c r="AA31" s="286" t="str">
        <f t="shared" si="12"/>
        <v/>
      </c>
      <c r="AB31" s="283"/>
      <c r="AC31" s="522" t="str">
        <f t="shared" si="13"/>
        <v/>
      </c>
      <c r="AD31" s="267"/>
      <c r="AE31" s="23"/>
      <c r="AF31" s="643">
        <v>4</v>
      </c>
      <c r="AG31" s="23"/>
    </row>
    <row r="32" spans="3:33" ht="8" customHeight="1">
      <c r="C32" s="261"/>
      <c r="D32" s="283"/>
      <c r="E32" s="286" t="str">
        <f t="shared" si="1"/>
        <v/>
      </c>
      <c r="F32" s="285"/>
      <c r="G32" s="286" t="str">
        <f t="shared" si="2"/>
        <v/>
      </c>
      <c r="H32" s="285"/>
      <c r="I32" s="286" t="str">
        <f t="shared" si="3"/>
        <v/>
      </c>
      <c r="J32" s="285"/>
      <c r="K32" s="286" t="str">
        <f t="shared" si="4"/>
        <v/>
      </c>
      <c r="L32" s="285"/>
      <c r="M32" s="286" t="str">
        <f t="shared" si="5"/>
        <v/>
      </c>
      <c r="N32" s="285"/>
      <c r="O32" s="286" t="str">
        <f t="shared" si="6"/>
        <v/>
      </c>
      <c r="P32" s="285"/>
      <c r="Q32" s="286" t="str">
        <f t="shared" si="7"/>
        <v/>
      </c>
      <c r="R32" s="283"/>
      <c r="S32" s="286" t="str">
        <f t="shared" si="8"/>
        <v/>
      </c>
      <c r="T32" s="283"/>
      <c r="U32" s="286" t="str">
        <f t="shared" si="9"/>
        <v/>
      </c>
      <c r="V32" s="283"/>
      <c r="W32" s="286" t="str">
        <f t="shared" si="10"/>
        <v/>
      </c>
      <c r="X32" s="283"/>
      <c r="Y32" s="286" t="str">
        <f t="shared" si="11"/>
        <v/>
      </c>
      <c r="Z32" s="283"/>
      <c r="AA32" s="286" t="str">
        <f t="shared" si="12"/>
        <v/>
      </c>
      <c r="AB32" s="283"/>
      <c r="AC32" s="522" t="str">
        <f t="shared" si="13"/>
        <v/>
      </c>
      <c r="AD32" s="267"/>
      <c r="AE32" s="23"/>
      <c r="AF32" s="643">
        <v>3</v>
      </c>
      <c r="AG32" s="23"/>
    </row>
    <row r="33" spans="3:33" ht="8" customHeight="1">
      <c r="C33" s="261"/>
      <c r="D33" s="283"/>
      <c r="E33" s="286" t="str">
        <f t="shared" si="1"/>
        <v/>
      </c>
      <c r="F33" s="285"/>
      <c r="G33" s="286" t="str">
        <f t="shared" si="2"/>
        <v/>
      </c>
      <c r="H33" s="285"/>
      <c r="I33" s="286" t="str">
        <f t="shared" si="3"/>
        <v/>
      </c>
      <c r="J33" s="285"/>
      <c r="K33" s="286" t="str">
        <f t="shared" si="4"/>
        <v/>
      </c>
      <c r="L33" s="285"/>
      <c r="M33" s="286" t="str">
        <f t="shared" si="5"/>
        <v/>
      </c>
      <c r="N33" s="285"/>
      <c r="O33" s="286" t="str">
        <f t="shared" si="6"/>
        <v/>
      </c>
      <c r="P33" s="285"/>
      <c r="Q33" s="286" t="str">
        <f t="shared" si="7"/>
        <v/>
      </c>
      <c r="R33" s="283"/>
      <c r="S33" s="286" t="str">
        <f t="shared" si="8"/>
        <v/>
      </c>
      <c r="T33" s="283"/>
      <c r="U33" s="286" t="str">
        <f t="shared" si="9"/>
        <v/>
      </c>
      <c r="V33" s="283"/>
      <c r="W33" s="286" t="str">
        <f t="shared" si="10"/>
        <v/>
      </c>
      <c r="X33" s="283"/>
      <c r="Y33" s="286" t="str">
        <f t="shared" si="11"/>
        <v/>
      </c>
      <c r="Z33" s="283"/>
      <c r="AA33" s="286" t="str">
        <f t="shared" si="12"/>
        <v/>
      </c>
      <c r="AB33" s="283"/>
      <c r="AC33" s="522" t="str">
        <f t="shared" si="13"/>
        <v/>
      </c>
      <c r="AD33" s="267"/>
      <c r="AE33" s="23"/>
      <c r="AF33" s="643">
        <v>2</v>
      </c>
      <c r="AG33" s="23"/>
    </row>
    <row r="34" spans="3:33" ht="8" customHeight="1" thickBot="1">
      <c r="C34" s="261"/>
      <c r="D34" s="283"/>
      <c r="E34" s="287" t="str">
        <f t="shared" si="1"/>
        <v/>
      </c>
      <c r="F34" s="288"/>
      <c r="G34" s="287" t="str">
        <f t="shared" si="2"/>
        <v/>
      </c>
      <c r="H34" s="288"/>
      <c r="I34" s="287" t="str">
        <f t="shared" si="3"/>
        <v/>
      </c>
      <c r="J34" s="288"/>
      <c r="K34" s="287" t="str">
        <f t="shared" si="4"/>
        <v/>
      </c>
      <c r="L34" s="288"/>
      <c r="M34" s="287" t="str">
        <f t="shared" si="5"/>
        <v/>
      </c>
      <c r="N34" s="288"/>
      <c r="O34" s="287" t="str">
        <f t="shared" si="6"/>
        <v/>
      </c>
      <c r="P34" s="288"/>
      <c r="Q34" s="287" t="str">
        <f t="shared" si="7"/>
        <v/>
      </c>
      <c r="R34" s="289"/>
      <c r="S34" s="287" t="str">
        <f t="shared" si="8"/>
        <v/>
      </c>
      <c r="T34" s="289"/>
      <c r="U34" s="287" t="str">
        <f t="shared" si="9"/>
        <v/>
      </c>
      <c r="V34" s="289"/>
      <c r="W34" s="287" t="str">
        <f t="shared" si="10"/>
        <v/>
      </c>
      <c r="X34" s="289"/>
      <c r="Y34" s="287" t="str">
        <f t="shared" si="11"/>
        <v/>
      </c>
      <c r="Z34" s="289"/>
      <c r="AA34" s="287" t="str">
        <f t="shared" si="12"/>
        <v/>
      </c>
      <c r="AB34" s="289"/>
      <c r="AC34" s="523" t="str">
        <f t="shared" si="13"/>
        <v/>
      </c>
      <c r="AD34" s="267"/>
      <c r="AE34" s="23"/>
      <c r="AF34" s="643">
        <v>1</v>
      </c>
      <c r="AG34" s="23"/>
    </row>
    <row r="35" spans="3:33" s="518" customFormat="1" ht="13.5" customHeight="1" thickTop="1">
      <c r="C35" s="637"/>
      <c r="D35" s="638">
        <f>D80</f>
        <v>1E-4</v>
      </c>
      <c r="E35" s="639" t="str">
        <f t="shared" ref="E35:E43" si="14">IF($AF35=D$82,"ê","")</f>
        <v/>
      </c>
      <c r="F35" s="638">
        <f>F80</f>
        <v>0</v>
      </c>
      <c r="G35" s="640" t="str">
        <f t="shared" ref="G35:G43" si="15">IF($AF35=F$82,"ê","")</f>
        <v/>
      </c>
      <c r="H35" s="638">
        <f>H80</f>
        <v>0</v>
      </c>
      <c r="I35" s="639" t="str">
        <f t="shared" ref="I35:I43" si="16">IF($AF35=H$82,"ê","")</f>
        <v/>
      </c>
      <c r="J35" s="638">
        <f>J80</f>
        <v>0</v>
      </c>
      <c r="K35" s="639" t="str">
        <f t="shared" ref="K35:K43" si="17">IF($AF35=J$82,"ê","")</f>
        <v/>
      </c>
      <c r="L35" s="638">
        <f>L80</f>
        <v>0</v>
      </c>
      <c r="M35" s="639" t="str">
        <f t="shared" ref="M35:M43" si="18">IF($AF35=L$82,"ê","")</f>
        <v/>
      </c>
      <c r="N35" s="638">
        <f>N80</f>
        <v>0</v>
      </c>
      <c r="O35" s="639" t="str">
        <f t="shared" ref="O35:O43" si="19">IF($AF35=N$82,"ê","")</f>
        <v/>
      </c>
      <c r="P35" s="638">
        <f>P80</f>
        <v>0</v>
      </c>
      <c r="Q35" s="639" t="str">
        <f t="shared" ref="Q35:Q43" si="20">IF($AF35=P$82,"ê","")</f>
        <v/>
      </c>
      <c r="R35" s="638">
        <f>R80</f>
        <v>0</v>
      </c>
      <c r="S35" s="639" t="str">
        <f t="shared" ref="S35:S43" si="21">IF($AF35=R$82,"ê","")</f>
        <v/>
      </c>
      <c r="T35" s="638">
        <f>T80</f>
        <v>0</v>
      </c>
      <c r="U35" s="639" t="str">
        <f t="shared" ref="U35:U43" si="22">IF($AF35=T$82,"ê","")</f>
        <v/>
      </c>
      <c r="V35" s="638">
        <f>V80</f>
        <v>0</v>
      </c>
      <c r="W35" s="639" t="str">
        <f t="shared" ref="W35:W43" si="23">IF($AF35=V$82,"ê","")</f>
        <v/>
      </c>
      <c r="X35" s="638">
        <f>X80</f>
        <v>0</v>
      </c>
      <c r="Y35" s="639" t="str">
        <f t="shared" ref="Y35:Y43" si="24">IF($AF35=X$82,"ê","")</f>
        <v/>
      </c>
      <c r="Z35" s="638">
        <f>Z80</f>
        <v>0</v>
      </c>
      <c r="AA35" s="639" t="str">
        <f t="shared" ref="AA35:AA43" si="25">IF($AF35=Z$82,"ê","")</f>
        <v/>
      </c>
      <c r="AB35" s="638">
        <f>AB80</f>
        <v>0</v>
      </c>
      <c r="AC35" s="641" t="str">
        <f t="shared" ref="AC35:AC43" si="26">IF($AF35=AB$82,"ê","")</f>
        <v/>
      </c>
      <c r="AD35" s="642"/>
      <c r="AE35" s="517"/>
      <c r="AF35" s="643">
        <v>-1</v>
      </c>
      <c r="AG35" s="517"/>
    </row>
    <row r="36" spans="3:33" ht="8" customHeight="1">
      <c r="C36" s="261"/>
      <c r="D36" s="283"/>
      <c r="E36" s="286" t="str">
        <f t="shared" si="14"/>
        <v/>
      </c>
      <c r="F36" s="285"/>
      <c r="G36" s="291" t="str">
        <f t="shared" si="15"/>
        <v/>
      </c>
      <c r="H36" s="285"/>
      <c r="I36" s="286" t="str">
        <f t="shared" si="16"/>
        <v/>
      </c>
      <c r="J36" s="285"/>
      <c r="K36" s="286" t="str">
        <f t="shared" si="17"/>
        <v/>
      </c>
      <c r="L36" s="285"/>
      <c r="M36" s="290" t="str">
        <f t="shared" si="18"/>
        <v/>
      </c>
      <c r="N36" s="285"/>
      <c r="O36" s="290" t="str">
        <f t="shared" si="19"/>
        <v/>
      </c>
      <c r="P36" s="285"/>
      <c r="Q36" s="290" t="str">
        <f t="shared" si="20"/>
        <v/>
      </c>
      <c r="R36" s="283"/>
      <c r="S36" s="290" t="str">
        <f t="shared" si="21"/>
        <v/>
      </c>
      <c r="T36" s="283"/>
      <c r="U36" s="290" t="str">
        <f t="shared" si="22"/>
        <v/>
      </c>
      <c r="V36" s="283"/>
      <c r="W36" s="290" t="str">
        <f t="shared" si="23"/>
        <v/>
      </c>
      <c r="X36" s="283"/>
      <c r="Y36" s="290" t="str">
        <f t="shared" si="24"/>
        <v/>
      </c>
      <c r="Z36" s="283"/>
      <c r="AA36" s="290" t="str">
        <f t="shared" si="25"/>
        <v/>
      </c>
      <c r="AB36" s="283"/>
      <c r="AC36" s="524" t="str">
        <f t="shared" si="26"/>
        <v/>
      </c>
      <c r="AD36" s="267"/>
      <c r="AE36" s="23"/>
      <c r="AF36" s="643">
        <v>-2</v>
      </c>
      <c r="AG36" s="23"/>
    </row>
    <row r="37" spans="3:33" ht="8" customHeight="1">
      <c r="C37" s="261"/>
      <c r="D37" s="283"/>
      <c r="E37" s="286" t="str">
        <f t="shared" si="14"/>
        <v/>
      </c>
      <c r="F37" s="285"/>
      <c r="G37" s="291" t="str">
        <f t="shared" si="15"/>
        <v/>
      </c>
      <c r="H37" s="285"/>
      <c r="I37" s="286" t="str">
        <f t="shared" si="16"/>
        <v/>
      </c>
      <c r="J37" s="285"/>
      <c r="K37" s="286" t="str">
        <f t="shared" si="17"/>
        <v/>
      </c>
      <c r="L37" s="285"/>
      <c r="M37" s="290" t="str">
        <f t="shared" si="18"/>
        <v/>
      </c>
      <c r="N37" s="285"/>
      <c r="O37" s="290" t="str">
        <f t="shared" si="19"/>
        <v/>
      </c>
      <c r="P37" s="285"/>
      <c r="Q37" s="290" t="str">
        <f t="shared" si="20"/>
        <v/>
      </c>
      <c r="R37" s="283"/>
      <c r="S37" s="290" t="str">
        <f t="shared" si="21"/>
        <v/>
      </c>
      <c r="T37" s="283"/>
      <c r="U37" s="290" t="str">
        <f t="shared" si="22"/>
        <v/>
      </c>
      <c r="V37" s="283"/>
      <c r="W37" s="290" t="str">
        <f t="shared" si="23"/>
        <v/>
      </c>
      <c r="X37" s="283"/>
      <c r="Y37" s="290" t="str">
        <f t="shared" si="24"/>
        <v/>
      </c>
      <c r="Z37" s="283"/>
      <c r="AA37" s="290" t="str">
        <f t="shared" si="25"/>
        <v/>
      </c>
      <c r="AB37" s="283"/>
      <c r="AC37" s="524" t="str">
        <f t="shared" si="26"/>
        <v/>
      </c>
      <c r="AD37" s="267"/>
      <c r="AE37" s="23"/>
      <c r="AF37" s="643">
        <v>-3</v>
      </c>
      <c r="AG37" s="23"/>
    </row>
    <row r="38" spans="3:33" ht="8" customHeight="1">
      <c r="C38" s="261"/>
      <c r="D38" s="283"/>
      <c r="E38" s="286" t="str">
        <f t="shared" si="14"/>
        <v/>
      </c>
      <c r="F38" s="285"/>
      <c r="G38" s="291" t="str">
        <f t="shared" si="15"/>
        <v/>
      </c>
      <c r="H38" s="285"/>
      <c r="I38" s="286" t="str">
        <f t="shared" si="16"/>
        <v/>
      </c>
      <c r="J38" s="285"/>
      <c r="K38" s="286" t="str">
        <f t="shared" si="17"/>
        <v/>
      </c>
      <c r="L38" s="285"/>
      <c r="M38" s="290" t="str">
        <f t="shared" si="18"/>
        <v/>
      </c>
      <c r="N38" s="285"/>
      <c r="O38" s="290" t="str">
        <f t="shared" si="19"/>
        <v/>
      </c>
      <c r="P38" s="285"/>
      <c r="Q38" s="290" t="str">
        <f t="shared" si="20"/>
        <v/>
      </c>
      <c r="R38" s="283"/>
      <c r="S38" s="290" t="str">
        <f t="shared" si="21"/>
        <v/>
      </c>
      <c r="T38" s="283"/>
      <c r="U38" s="290" t="str">
        <f t="shared" si="22"/>
        <v/>
      </c>
      <c r="V38" s="283"/>
      <c r="W38" s="290" t="str">
        <f t="shared" si="23"/>
        <v/>
      </c>
      <c r="X38" s="283"/>
      <c r="Y38" s="290" t="str">
        <f t="shared" si="24"/>
        <v/>
      </c>
      <c r="Z38" s="283"/>
      <c r="AA38" s="290" t="str">
        <f t="shared" si="25"/>
        <v/>
      </c>
      <c r="AB38" s="283"/>
      <c r="AC38" s="524" t="str">
        <f t="shared" si="26"/>
        <v/>
      </c>
      <c r="AD38" s="267"/>
      <c r="AE38" s="23"/>
      <c r="AF38" s="643">
        <v>-4</v>
      </c>
      <c r="AG38" s="23"/>
    </row>
    <row r="39" spans="3:33" ht="8" customHeight="1">
      <c r="C39" s="261"/>
      <c r="D39" s="283"/>
      <c r="E39" s="286" t="str">
        <f t="shared" si="14"/>
        <v/>
      </c>
      <c r="F39" s="285"/>
      <c r="G39" s="291" t="str">
        <f t="shared" si="15"/>
        <v/>
      </c>
      <c r="H39" s="285"/>
      <c r="I39" s="286" t="str">
        <f t="shared" si="16"/>
        <v/>
      </c>
      <c r="J39" s="285"/>
      <c r="K39" s="286" t="str">
        <f t="shared" si="17"/>
        <v/>
      </c>
      <c r="L39" s="285"/>
      <c r="M39" s="290" t="str">
        <f t="shared" si="18"/>
        <v/>
      </c>
      <c r="N39" s="285"/>
      <c r="O39" s="290" t="str">
        <f t="shared" si="19"/>
        <v/>
      </c>
      <c r="P39" s="285"/>
      <c r="Q39" s="290" t="str">
        <f t="shared" si="20"/>
        <v/>
      </c>
      <c r="R39" s="283"/>
      <c r="S39" s="290" t="str">
        <f t="shared" si="21"/>
        <v/>
      </c>
      <c r="T39" s="283"/>
      <c r="U39" s="290" t="str">
        <f t="shared" si="22"/>
        <v/>
      </c>
      <c r="V39" s="283"/>
      <c r="W39" s="290" t="str">
        <f t="shared" si="23"/>
        <v/>
      </c>
      <c r="X39" s="283"/>
      <c r="Y39" s="290" t="str">
        <f t="shared" si="24"/>
        <v/>
      </c>
      <c r="Z39" s="283"/>
      <c r="AA39" s="290" t="str">
        <f t="shared" si="25"/>
        <v/>
      </c>
      <c r="AB39" s="283"/>
      <c r="AC39" s="524" t="str">
        <f t="shared" si="26"/>
        <v/>
      </c>
      <c r="AD39" s="267"/>
      <c r="AE39" s="23"/>
      <c r="AF39" s="643">
        <v>-5</v>
      </c>
      <c r="AG39" s="23"/>
    </row>
    <row r="40" spans="3:33" ht="8" customHeight="1">
      <c r="C40" s="261"/>
      <c r="D40" s="283"/>
      <c r="E40" s="286" t="str">
        <f t="shared" si="14"/>
        <v/>
      </c>
      <c r="F40" s="285"/>
      <c r="G40" s="291" t="str">
        <f t="shared" si="15"/>
        <v/>
      </c>
      <c r="H40" s="285"/>
      <c r="I40" s="286" t="str">
        <f t="shared" si="16"/>
        <v/>
      </c>
      <c r="J40" s="285"/>
      <c r="K40" s="286" t="str">
        <f t="shared" si="17"/>
        <v/>
      </c>
      <c r="L40" s="285"/>
      <c r="M40" s="290" t="str">
        <f t="shared" si="18"/>
        <v/>
      </c>
      <c r="N40" s="285"/>
      <c r="O40" s="290" t="str">
        <f t="shared" si="19"/>
        <v/>
      </c>
      <c r="P40" s="285"/>
      <c r="Q40" s="290" t="str">
        <f t="shared" si="20"/>
        <v/>
      </c>
      <c r="R40" s="283"/>
      <c r="S40" s="290" t="str">
        <f t="shared" si="21"/>
        <v/>
      </c>
      <c r="T40" s="283"/>
      <c r="U40" s="290" t="str">
        <f t="shared" si="22"/>
        <v/>
      </c>
      <c r="V40" s="283"/>
      <c r="W40" s="290" t="str">
        <f t="shared" si="23"/>
        <v/>
      </c>
      <c r="X40" s="283"/>
      <c r="Y40" s="290" t="str">
        <f t="shared" si="24"/>
        <v/>
      </c>
      <c r="Z40" s="283"/>
      <c r="AA40" s="290" t="str">
        <f t="shared" si="25"/>
        <v/>
      </c>
      <c r="AB40" s="283"/>
      <c r="AC40" s="524" t="str">
        <f t="shared" si="26"/>
        <v/>
      </c>
      <c r="AD40" s="267"/>
      <c r="AE40" s="23"/>
      <c r="AF40" s="643">
        <v>-6</v>
      </c>
      <c r="AG40" s="23"/>
    </row>
    <row r="41" spans="3:33" ht="8" customHeight="1">
      <c r="C41" s="261"/>
      <c r="D41" s="283"/>
      <c r="E41" s="286" t="str">
        <f t="shared" si="14"/>
        <v/>
      </c>
      <c r="F41" s="285"/>
      <c r="G41" s="291" t="str">
        <f t="shared" si="15"/>
        <v/>
      </c>
      <c r="H41" s="285"/>
      <c r="I41" s="286" t="str">
        <f t="shared" si="16"/>
        <v/>
      </c>
      <c r="J41" s="285"/>
      <c r="K41" s="286" t="str">
        <f t="shared" si="17"/>
        <v/>
      </c>
      <c r="L41" s="285"/>
      <c r="M41" s="290" t="str">
        <f t="shared" si="18"/>
        <v/>
      </c>
      <c r="N41" s="285"/>
      <c r="O41" s="290" t="str">
        <f t="shared" si="19"/>
        <v/>
      </c>
      <c r="P41" s="285"/>
      <c r="Q41" s="290" t="str">
        <f t="shared" si="20"/>
        <v/>
      </c>
      <c r="R41" s="283"/>
      <c r="S41" s="290" t="str">
        <f t="shared" si="21"/>
        <v/>
      </c>
      <c r="T41" s="283"/>
      <c r="U41" s="290" t="str">
        <f t="shared" si="22"/>
        <v/>
      </c>
      <c r="V41" s="283"/>
      <c r="W41" s="290" t="str">
        <f t="shared" si="23"/>
        <v/>
      </c>
      <c r="X41" s="283"/>
      <c r="Y41" s="290" t="str">
        <f t="shared" si="24"/>
        <v/>
      </c>
      <c r="Z41" s="283"/>
      <c r="AA41" s="290" t="str">
        <f t="shared" si="25"/>
        <v/>
      </c>
      <c r="AB41" s="283"/>
      <c r="AC41" s="524" t="str">
        <f t="shared" si="26"/>
        <v/>
      </c>
      <c r="AD41" s="267"/>
      <c r="AE41" s="23"/>
      <c r="AF41" s="643">
        <v>-7</v>
      </c>
      <c r="AG41" s="23"/>
    </row>
    <row r="42" spans="3:33" ht="8" customHeight="1">
      <c r="C42" s="261"/>
      <c r="D42" s="283"/>
      <c r="E42" s="286" t="str">
        <f t="shared" si="14"/>
        <v/>
      </c>
      <c r="F42" s="285"/>
      <c r="G42" s="291" t="str">
        <f t="shared" si="15"/>
        <v/>
      </c>
      <c r="H42" s="285"/>
      <c r="I42" s="286" t="str">
        <f t="shared" si="16"/>
        <v/>
      </c>
      <c r="J42" s="285"/>
      <c r="K42" s="286" t="str">
        <f t="shared" si="17"/>
        <v/>
      </c>
      <c r="L42" s="285"/>
      <c r="M42" s="290" t="str">
        <f t="shared" si="18"/>
        <v/>
      </c>
      <c r="N42" s="285"/>
      <c r="O42" s="290" t="str">
        <f t="shared" si="19"/>
        <v/>
      </c>
      <c r="P42" s="285"/>
      <c r="Q42" s="290" t="str">
        <f t="shared" si="20"/>
        <v/>
      </c>
      <c r="R42" s="283"/>
      <c r="S42" s="290" t="str">
        <f t="shared" si="21"/>
        <v/>
      </c>
      <c r="T42" s="283"/>
      <c r="U42" s="290" t="str">
        <f t="shared" si="22"/>
        <v/>
      </c>
      <c r="V42" s="283"/>
      <c r="W42" s="290" t="str">
        <f t="shared" si="23"/>
        <v/>
      </c>
      <c r="X42" s="283"/>
      <c r="Y42" s="290" t="str">
        <f t="shared" si="24"/>
        <v/>
      </c>
      <c r="Z42" s="283"/>
      <c r="AA42" s="290" t="str">
        <f t="shared" si="25"/>
        <v/>
      </c>
      <c r="AB42" s="283"/>
      <c r="AC42" s="524" t="str">
        <f t="shared" si="26"/>
        <v/>
      </c>
      <c r="AD42" s="267"/>
      <c r="AE42" s="23"/>
      <c r="AF42" s="643">
        <v>-8</v>
      </c>
      <c r="AG42" s="23"/>
    </row>
    <row r="43" spans="3:33" ht="8" customHeight="1">
      <c r="C43" s="261"/>
      <c r="D43" s="283"/>
      <c r="E43" s="286" t="str">
        <f t="shared" si="14"/>
        <v/>
      </c>
      <c r="F43" s="285"/>
      <c r="G43" s="291" t="str">
        <f t="shared" si="15"/>
        <v/>
      </c>
      <c r="H43" s="285"/>
      <c r="I43" s="286" t="str">
        <f t="shared" si="16"/>
        <v/>
      </c>
      <c r="J43" s="285"/>
      <c r="K43" s="286" t="str">
        <f t="shared" si="17"/>
        <v/>
      </c>
      <c r="L43" s="285"/>
      <c r="M43" s="290" t="str">
        <f t="shared" si="18"/>
        <v/>
      </c>
      <c r="N43" s="285"/>
      <c r="O43" s="290" t="str">
        <f t="shared" si="19"/>
        <v/>
      </c>
      <c r="P43" s="285"/>
      <c r="Q43" s="290" t="str">
        <f t="shared" si="20"/>
        <v/>
      </c>
      <c r="R43" s="283"/>
      <c r="S43" s="290" t="str">
        <f t="shared" si="21"/>
        <v/>
      </c>
      <c r="T43" s="283"/>
      <c r="U43" s="290" t="str">
        <f t="shared" si="22"/>
        <v/>
      </c>
      <c r="V43" s="283"/>
      <c r="W43" s="290" t="str">
        <f t="shared" si="23"/>
        <v/>
      </c>
      <c r="X43" s="283"/>
      <c r="Y43" s="290" t="str">
        <f t="shared" si="24"/>
        <v/>
      </c>
      <c r="Z43" s="283"/>
      <c r="AA43" s="290" t="str">
        <f t="shared" si="25"/>
        <v/>
      </c>
      <c r="AB43" s="283"/>
      <c r="AC43" s="524" t="str">
        <f t="shared" si="26"/>
        <v/>
      </c>
      <c r="AD43" s="267"/>
      <c r="AE43" s="23"/>
      <c r="AF43" s="643">
        <v>-9</v>
      </c>
      <c r="AG43" s="23"/>
    </row>
    <row r="44" spans="3:33" ht="8" customHeight="1">
      <c r="C44" s="261"/>
      <c r="D44" s="283"/>
      <c r="E44" s="286"/>
      <c r="F44" s="285"/>
      <c r="G44" s="291"/>
      <c r="H44" s="285"/>
      <c r="I44" s="286"/>
      <c r="J44" s="285"/>
      <c r="K44" s="286"/>
      <c r="L44" s="285"/>
      <c r="M44" s="290"/>
      <c r="N44" s="285"/>
      <c r="O44" s="290"/>
      <c r="P44" s="285"/>
      <c r="Q44" s="290"/>
      <c r="R44" s="283"/>
      <c r="S44" s="290"/>
      <c r="T44" s="283"/>
      <c r="U44" s="290"/>
      <c r="V44" s="283"/>
      <c r="W44" s="290"/>
      <c r="X44" s="283"/>
      <c r="Y44" s="290"/>
      <c r="Z44" s="283"/>
      <c r="AA44" s="290"/>
      <c r="AB44" s="283"/>
      <c r="AC44" s="524"/>
      <c r="AD44" s="267"/>
      <c r="AE44" s="23"/>
      <c r="AF44" s="643">
        <f>AF43-1</f>
        <v>-10</v>
      </c>
      <c r="AG44" s="23"/>
    </row>
    <row r="45" spans="3:33" ht="8" customHeight="1">
      <c r="C45" s="261"/>
      <c r="D45" s="283"/>
      <c r="E45" s="286"/>
      <c r="F45" s="285"/>
      <c r="G45" s="291"/>
      <c r="H45" s="285"/>
      <c r="I45" s="286"/>
      <c r="J45" s="285"/>
      <c r="K45" s="286"/>
      <c r="L45" s="285"/>
      <c r="M45" s="290"/>
      <c r="N45" s="285"/>
      <c r="O45" s="290"/>
      <c r="P45" s="285"/>
      <c r="Q45" s="290"/>
      <c r="R45" s="283"/>
      <c r="S45" s="290"/>
      <c r="T45" s="283"/>
      <c r="U45" s="290"/>
      <c r="V45" s="283"/>
      <c r="W45" s="290"/>
      <c r="X45" s="283"/>
      <c r="Y45" s="290"/>
      <c r="Z45" s="283"/>
      <c r="AA45" s="290"/>
      <c r="AB45" s="283"/>
      <c r="AC45" s="524"/>
      <c r="AD45" s="267"/>
      <c r="AE45" s="23"/>
      <c r="AF45" s="643">
        <f t="shared" ref="AF45:AF54" si="27">AF44-1</f>
        <v>-11</v>
      </c>
      <c r="AG45" s="23"/>
    </row>
    <row r="46" spans="3:33" ht="8" customHeight="1">
      <c r="C46" s="261"/>
      <c r="D46" s="283"/>
      <c r="E46" s="286"/>
      <c r="F46" s="285"/>
      <c r="G46" s="291"/>
      <c r="H46" s="285"/>
      <c r="I46" s="286"/>
      <c r="J46" s="285"/>
      <c r="K46" s="286"/>
      <c r="L46" s="285"/>
      <c r="M46" s="290"/>
      <c r="N46" s="285"/>
      <c r="O46" s="290"/>
      <c r="P46" s="285"/>
      <c r="Q46" s="290"/>
      <c r="R46" s="283"/>
      <c r="S46" s="290"/>
      <c r="T46" s="283"/>
      <c r="U46" s="290"/>
      <c r="V46" s="283"/>
      <c r="W46" s="290"/>
      <c r="X46" s="283"/>
      <c r="Y46" s="290"/>
      <c r="Z46" s="283"/>
      <c r="AA46" s="290"/>
      <c r="AB46" s="283"/>
      <c r="AC46" s="524"/>
      <c r="AD46" s="267"/>
      <c r="AE46" s="23"/>
      <c r="AF46" s="643">
        <f t="shared" si="27"/>
        <v>-12</v>
      </c>
      <c r="AG46" s="23"/>
    </row>
    <row r="47" spans="3:33" ht="8" customHeight="1">
      <c r="C47" s="261"/>
      <c r="D47" s="283"/>
      <c r="E47" s="286"/>
      <c r="F47" s="285"/>
      <c r="G47" s="291"/>
      <c r="H47" s="285"/>
      <c r="I47" s="286"/>
      <c r="J47" s="285"/>
      <c r="K47" s="286"/>
      <c r="L47" s="285"/>
      <c r="M47" s="290"/>
      <c r="N47" s="285"/>
      <c r="O47" s="290"/>
      <c r="P47" s="285"/>
      <c r="Q47" s="290"/>
      <c r="R47" s="283"/>
      <c r="S47" s="290"/>
      <c r="T47" s="283"/>
      <c r="U47" s="290"/>
      <c r="V47" s="283"/>
      <c r="W47" s="290"/>
      <c r="X47" s="283"/>
      <c r="Y47" s="290"/>
      <c r="Z47" s="283"/>
      <c r="AA47" s="290"/>
      <c r="AB47" s="283"/>
      <c r="AC47" s="524"/>
      <c r="AD47" s="267"/>
      <c r="AE47" s="23"/>
      <c r="AF47" s="643">
        <f t="shared" si="27"/>
        <v>-13</v>
      </c>
      <c r="AG47" s="23"/>
    </row>
    <row r="48" spans="3:33" ht="8" customHeight="1">
      <c r="C48" s="261"/>
      <c r="D48" s="283"/>
      <c r="E48" s="286"/>
      <c r="F48" s="285"/>
      <c r="G48" s="291"/>
      <c r="H48" s="285"/>
      <c r="I48" s="286"/>
      <c r="J48" s="285"/>
      <c r="K48" s="286"/>
      <c r="L48" s="285"/>
      <c r="M48" s="290"/>
      <c r="N48" s="285"/>
      <c r="O48" s="290"/>
      <c r="P48" s="285"/>
      <c r="Q48" s="290"/>
      <c r="R48" s="283"/>
      <c r="S48" s="290"/>
      <c r="T48" s="283"/>
      <c r="U48" s="290"/>
      <c r="V48" s="283"/>
      <c r="W48" s="290"/>
      <c r="X48" s="283"/>
      <c r="Y48" s="290"/>
      <c r="Z48" s="283"/>
      <c r="AA48" s="290"/>
      <c r="AB48" s="283"/>
      <c r="AC48" s="524"/>
      <c r="AD48" s="267"/>
      <c r="AE48" s="23"/>
      <c r="AF48" s="643">
        <f t="shared" si="27"/>
        <v>-14</v>
      </c>
      <c r="AG48" s="23"/>
    </row>
    <row r="49" spans="2:33" ht="8" customHeight="1">
      <c r="C49" s="261"/>
      <c r="D49" s="283"/>
      <c r="E49" s="286"/>
      <c r="F49" s="285"/>
      <c r="G49" s="291"/>
      <c r="H49" s="285"/>
      <c r="I49" s="286"/>
      <c r="J49" s="285"/>
      <c r="K49" s="286"/>
      <c r="L49" s="285"/>
      <c r="M49" s="290"/>
      <c r="N49" s="285"/>
      <c r="O49" s="290"/>
      <c r="P49" s="285"/>
      <c r="Q49" s="290"/>
      <c r="R49" s="283"/>
      <c r="S49" s="290"/>
      <c r="T49" s="283"/>
      <c r="U49" s="290"/>
      <c r="V49" s="283"/>
      <c r="W49" s="290"/>
      <c r="X49" s="283"/>
      <c r="Y49" s="290"/>
      <c r="Z49" s="283"/>
      <c r="AA49" s="290"/>
      <c r="AB49" s="283"/>
      <c r="AC49" s="524"/>
      <c r="AD49" s="267"/>
      <c r="AE49" s="23"/>
      <c r="AF49" s="643">
        <f t="shared" si="27"/>
        <v>-15</v>
      </c>
      <c r="AG49" s="23"/>
    </row>
    <row r="50" spans="2:33" ht="8" customHeight="1">
      <c r="C50" s="261"/>
      <c r="D50" s="283"/>
      <c r="E50" s="286"/>
      <c r="F50" s="285"/>
      <c r="G50" s="291"/>
      <c r="H50" s="285"/>
      <c r="I50" s="286"/>
      <c r="J50" s="285"/>
      <c r="K50" s="286"/>
      <c r="L50" s="285"/>
      <c r="M50" s="290"/>
      <c r="N50" s="285"/>
      <c r="O50" s="290"/>
      <c r="P50" s="285"/>
      <c r="Q50" s="290"/>
      <c r="R50" s="283"/>
      <c r="S50" s="290"/>
      <c r="T50" s="283"/>
      <c r="U50" s="290"/>
      <c r="V50" s="283"/>
      <c r="W50" s="290"/>
      <c r="X50" s="283"/>
      <c r="Y50" s="290"/>
      <c r="Z50" s="283"/>
      <c r="AA50" s="290"/>
      <c r="AB50" s="283"/>
      <c r="AC50" s="524"/>
      <c r="AD50" s="267"/>
      <c r="AE50" s="23"/>
      <c r="AF50" s="643">
        <f t="shared" si="27"/>
        <v>-16</v>
      </c>
      <c r="AG50" s="23"/>
    </row>
    <row r="51" spans="2:33" ht="8" customHeight="1">
      <c r="C51" s="261"/>
      <c r="D51" s="283"/>
      <c r="E51" s="286"/>
      <c r="F51" s="285"/>
      <c r="G51" s="291"/>
      <c r="H51" s="285"/>
      <c r="I51" s="286"/>
      <c r="J51" s="285"/>
      <c r="K51" s="286"/>
      <c r="L51" s="285"/>
      <c r="M51" s="290"/>
      <c r="N51" s="285"/>
      <c r="O51" s="290"/>
      <c r="P51" s="285"/>
      <c r="Q51" s="290"/>
      <c r="R51" s="283"/>
      <c r="S51" s="290"/>
      <c r="T51" s="283"/>
      <c r="U51" s="290"/>
      <c r="V51" s="283"/>
      <c r="W51" s="290"/>
      <c r="X51" s="283"/>
      <c r="Y51" s="290"/>
      <c r="Z51" s="283"/>
      <c r="AA51" s="290"/>
      <c r="AB51" s="283"/>
      <c r="AC51" s="524"/>
      <c r="AD51" s="267"/>
      <c r="AE51" s="23"/>
      <c r="AF51" s="643">
        <f t="shared" si="27"/>
        <v>-17</v>
      </c>
      <c r="AG51" s="23"/>
    </row>
    <row r="52" spans="2:33" ht="8" customHeight="1">
      <c r="C52" s="261"/>
      <c r="D52" s="283"/>
      <c r="E52" s="286"/>
      <c r="F52" s="285"/>
      <c r="G52" s="291"/>
      <c r="H52" s="285"/>
      <c r="I52" s="286"/>
      <c r="J52" s="285"/>
      <c r="K52" s="286"/>
      <c r="L52" s="285"/>
      <c r="M52" s="290"/>
      <c r="N52" s="285"/>
      <c r="O52" s="290"/>
      <c r="P52" s="285"/>
      <c r="Q52" s="290"/>
      <c r="R52" s="283"/>
      <c r="S52" s="290"/>
      <c r="T52" s="283"/>
      <c r="U52" s="290"/>
      <c r="V52" s="283"/>
      <c r="W52" s="290"/>
      <c r="X52" s="283"/>
      <c r="Y52" s="290"/>
      <c r="Z52" s="283"/>
      <c r="AA52" s="290"/>
      <c r="AB52" s="283"/>
      <c r="AC52" s="524"/>
      <c r="AD52" s="267"/>
      <c r="AE52" s="23"/>
      <c r="AF52" s="643">
        <f t="shared" si="27"/>
        <v>-18</v>
      </c>
      <c r="AG52" s="23"/>
    </row>
    <row r="53" spans="2:33" ht="8" customHeight="1">
      <c r="C53" s="261"/>
      <c r="D53" s="283"/>
      <c r="E53" s="286"/>
      <c r="F53" s="285"/>
      <c r="G53" s="291"/>
      <c r="H53" s="285"/>
      <c r="I53" s="286"/>
      <c r="J53" s="285"/>
      <c r="K53" s="286"/>
      <c r="L53" s="285"/>
      <c r="M53" s="290"/>
      <c r="N53" s="285"/>
      <c r="O53" s="290"/>
      <c r="P53" s="285"/>
      <c r="Q53" s="290"/>
      <c r="R53" s="283"/>
      <c r="S53" s="290"/>
      <c r="T53" s="283"/>
      <c r="U53" s="290"/>
      <c r="V53" s="283"/>
      <c r="W53" s="290"/>
      <c r="X53" s="283"/>
      <c r="Y53" s="290"/>
      <c r="Z53" s="283"/>
      <c r="AA53" s="290"/>
      <c r="AB53" s="283"/>
      <c r="AC53" s="524"/>
      <c r="AD53" s="267"/>
      <c r="AE53" s="23"/>
      <c r="AF53" s="643">
        <f t="shared" si="27"/>
        <v>-19</v>
      </c>
      <c r="AG53" s="23"/>
    </row>
    <row r="54" spans="2:33" ht="8" customHeight="1">
      <c r="C54" s="261"/>
      <c r="D54" s="283"/>
      <c r="E54" s="292" t="str">
        <f>IF($AF54=D$82,"ê","")</f>
        <v/>
      </c>
      <c r="F54" s="285"/>
      <c r="G54" s="293" t="str">
        <f>IF($AF54=F$82,"ê","")</f>
        <v/>
      </c>
      <c r="H54" s="285"/>
      <c r="I54" s="292" t="str">
        <f>IF($AF54=H$82,"ê","")</f>
        <v/>
      </c>
      <c r="J54" s="285"/>
      <c r="K54" s="292" t="str">
        <f>IF($AF54=J$82,"ê","")</f>
        <v/>
      </c>
      <c r="L54" s="285"/>
      <c r="M54" s="294" t="str">
        <f>IF($AF54=L$82,"ê","")</f>
        <v/>
      </c>
      <c r="N54" s="285"/>
      <c r="O54" s="294" t="str">
        <f>IF($AF54=N$82,"ê","")</f>
        <v/>
      </c>
      <c r="P54" s="285"/>
      <c r="Q54" s="294" t="str">
        <f>IF($AF54=P$82,"ê","")</f>
        <v/>
      </c>
      <c r="R54" s="283"/>
      <c r="S54" s="294" t="str">
        <f>IF($AF54=R$82,"ê","")</f>
        <v/>
      </c>
      <c r="T54" s="283"/>
      <c r="U54" s="294" t="str">
        <f>IF($AF54=T$82,"ê","")</f>
        <v/>
      </c>
      <c r="V54" s="283"/>
      <c r="W54" s="294" t="str">
        <f>IF($AF54=V$82,"ê","")</f>
        <v/>
      </c>
      <c r="X54" s="283"/>
      <c r="Y54" s="294" t="str">
        <f>IF($AF54=X$82,"ê","")</f>
        <v/>
      </c>
      <c r="Z54" s="283"/>
      <c r="AA54" s="294" t="str">
        <f>IF($AF54=Z$82,"ê","")</f>
        <v/>
      </c>
      <c r="AB54" s="283"/>
      <c r="AC54" s="525" t="str">
        <f>IF($AF54=AB$82,"ê","")</f>
        <v/>
      </c>
      <c r="AD54" s="267"/>
      <c r="AE54" s="23"/>
      <c r="AF54" s="643">
        <f t="shared" si="27"/>
        <v>-20</v>
      </c>
      <c r="AG54" s="23"/>
    </row>
    <row r="55" spans="2:33" ht="15" thickBot="1">
      <c r="B55" s="23"/>
      <c r="C55" s="261"/>
      <c r="D55" s="262"/>
      <c r="E55" s="265">
        <f>E14</f>
        <v>0</v>
      </c>
      <c r="F55" s="265"/>
      <c r="G55" s="265">
        <f>G14</f>
        <v>1</v>
      </c>
      <c r="H55" s="265"/>
      <c r="I55" s="265">
        <f>I14</f>
        <v>2</v>
      </c>
      <c r="J55" s="265"/>
      <c r="K55" s="265">
        <f>K14</f>
        <v>3</v>
      </c>
      <c r="L55" s="265"/>
      <c r="M55" s="265">
        <f>M14</f>
        <v>4</v>
      </c>
      <c r="N55" s="265"/>
      <c r="O55" s="265">
        <f>O14</f>
        <v>5</v>
      </c>
      <c r="P55" s="265"/>
      <c r="Q55" s="265">
        <f>Q14</f>
        <v>6</v>
      </c>
      <c r="R55" s="265"/>
      <c r="S55" s="265">
        <f>S14</f>
        <v>7</v>
      </c>
      <c r="T55" s="262"/>
      <c r="U55" s="265">
        <f>U14</f>
        <v>8</v>
      </c>
      <c r="V55" s="262"/>
      <c r="W55" s="265">
        <f>W14</f>
        <v>9</v>
      </c>
      <c r="X55" s="262"/>
      <c r="Y55" s="275">
        <f>Y14</f>
        <v>10</v>
      </c>
      <c r="Z55" s="276"/>
      <c r="AA55" s="275">
        <f>AA14</f>
        <v>11</v>
      </c>
      <c r="AB55" s="262"/>
      <c r="AC55" s="275">
        <f>AC14</f>
        <v>12</v>
      </c>
      <c r="AD55" s="267"/>
      <c r="AE55" s="23"/>
      <c r="AF55" s="23"/>
      <c r="AG55" s="23"/>
    </row>
    <row r="56" spans="2:33" ht="13" thickTop="1">
      <c r="B56" s="23"/>
      <c r="C56" s="23"/>
      <c r="D56" s="23"/>
      <c r="E56" s="23"/>
      <c r="F56" s="23"/>
      <c r="G56" s="23"/>
      <c r="H56" s="23"/>
      <c r="I56" s="23"/>
      <c r="J56" s="23"/>
      <c r="K56" s="23"/>
      <c r="L56" s="23"/>
      <c r="M56" s="23"/>
      <c r="N56" s="23"/>
      <c r="O56" s="23"/>
      <c r="P56" s="23"/>
      <c r="Q56" s="23"/>
      <c r="R56" s="23"/>
      <c r="S56" s="23"/>
      <c r="T56" s="23"/>
      <c r="U56" s="23"/>
      <c r="V56" s="23"/>
      <c r="W56" s="23"/>
      <c r="X56" s="23"/>
      <c r="Y56" s="23"/>
      <c r="Z56" s="23"/>
      <c r="AA56" s="23"/>
      <c r="AB56" s="23"/>
      <c r="AC56" s="23"/>
      <c r="AD56" s="23"/>
      <c r="AE56" s="23"/>
      <c r="AF56" s="23"/>
      <c r="AG56" s="23"/>
    </row>
    <row r="57" spans="2:33">
      <c r="B57" s="23"/>
      <c r="C57" s="23"/>
      <c r="D57" s="23"/>
      <c r="E57" s="23"/>
      <c r="F57" s="23"/>
      <c r="G57" s="23"/>
      <c r="H57" s="23"/>
      <c r="I57" s="23"/>
      <c r="J57" s="23"/>
      <c r="K57" s="23"/>
      <c r="L57" s="23"/>
      <c r="M57" s="23"/>
      <c r="N57" s="23"/>
      <c r="O57" s="23"/>
      <c r="P57" s="23"/>
      <c r="Q57" s="23"/>
      <c r="R57" s="23"/>
      <c r="S57" s="23"/>
      <c r="T57" s="23"/>
      <c r="U57" s="23"/>
      <c r="V57" s="23"/>
      <c r="W57" s="23"/>
      <c r="X57" s="23"/>
      <c r="Y57" s="23"/>
      <c r="Z57" s="23"/>
      <c r="AA57" s="23"/>
      <c r="AB57" s="23"/>
      <c r="AC57" s="23"/>
      <c r="AD57" s="23"/>
      <c r="AE57" s="23"/>
      <c r="AF57" s="23"/>
      <c r="AG57" s="23"/>
    </row>
    <row r="58" spans="2:33">
      <c r="B58" s="23"/>
      <c r="C58" s="23"/>
      <c r="D58" s="23"/>
      <c r="E58" s="23"/>
      <c r="F58" s="23"/>
      <c r="G58" s="23"/>
      <c r="H58" s="23"/>
      <c r="I58" s="23"/>
      <c r="J58" s="23"/>
      <c r="K58" s="23"/>
      <c r="L58" s="23"/>
      <c r="M58" s="23"/>
      <c r="N58" s="23"/>
      <c r="O58" s="23"/>
      <c r="P58" s="23"/>
      <c r="Q58" s="23"/>
      <c r="R58" s="23"/>
      <c r="S58" s="23"/>
      <c r="T58" s="23"/>
      <c r="U58" s="23"/>
      <c r="V58" s="23"/>
      <c r="W58" s="23"/>
      <c r="X58" s="23"/>
      <c r="Y58" s="23"/>
      <c r="Z58" s="23"/>
      <c r="AA58" s="23"/>
      <c r="AB58" s="23"/>
      <c r="AC58" s="23"/>
      <c r="AD58" s="23"/>
      <c r="AE58" s="23"/>
      <c r="AF58" s="23"/>
      <c r="AG58" s="23"/>
    </row>
    <row r="59" spans="2:33">
      <c r="B59" s="23"/>
      <c r="C59" s="23"/>
      <c r="D59" s="23"/>
      <c r="E59" s="23"/>
      <c r="F59" s="23"/>
      <c r="G59" s="23"/>
      <c r="H59" s="23"/>
      <c r="I59" s="23"/>
      <c r="J59" s="23"/>
      <c r="K59" s="23"/>
      <c r="L59" s="23"/>
      <c r="M59" s="23"/>
      <c r="N59" s="23"/>
      <c r="O59" s="23"/>
      <c r="P59" s="23"/>
      <c r="Q59" s="23"/>
      <c r="R59" s="23"/>
      <c r="S59" s="23"/>
      <c r="T59" s="23"/>
      <c r="U59" s="23"/>
      <c r="V59" s="23"/>
      <c r="W59" s="23"/>
      <c r="X59" s="23"/>
      <c r="Y59" s="23"/>
      <c r="Z59" s="23"/>
      <c r="AA59" s="23"/>
      <c r="AB59" s="23"/>
      <c r="AC59" s="23"/>
      <c r="AD59" s="23"/>
      <c r="AE59" s="23"/>
      <c r="AF59" s="23"/>
      <c r="AG59" s="23"/>
    </row>
    <row r="60" spans="2:33">
      <c r="B60" s="23"/>
      <c r="C60" s="23"/>
      <c r="D60" s="23"/>
      <c r="E60" s="23"/>
      <c r="F60" s="23"/>
      <c r="G60" s="23"/>
      <c r="H60" s="23"/>
      <c r="I60" s="23"/>
      <c r="J60" s="23"/>
      <c r="K60" s="23"/>
      <c r="L60" s="23"/>
      <c r="M60" s="23"/>
      <c r="N60" s="23"/>
      <c r="O60" s="23"/>
      <c r="P60" s="23"/>
      <c r="Q60" s="23"/>
      <c r="R60" s="23"/>
      <c r="S60" s="23"/>
      <c r="T60" s="23"/>
      <c r="U60" s="23"/>
      <c r="V60" s="23"/>
      <c r="W60" s="23"/>
      <c r="X60" s="23"/>
      <c r="Y60" s="23"/>
      <c r="Z60" s="23"/>
      <c r="AA60" s="23"/>
      <c r="AB60" s="23"/>
      <c r="AC60" s="23"/>
      <c r="AD60" s="23"/>
      <c r="AE60" s="23"/>
      <c r="AF60" s="23"/>
      <c r="AG60" s="23"/>
    </row>
    <row r="61" spans="2:33">
      <c r="B61" s="23"/>
      <c r="C61" s="23"/>
      <c r="D61" s="23"/>
      <c r="E61" s="23"/>
      <c r="F61" s="23"/>
      <c r="G61" s="23"/>
      <c r="H61" s="23"/>
      <c r="I61" s="23"/>
      <c r="J61" s="23"/>
      <c r="K61" s="23"/>
      <c r="L61" s="23"/>
      <c r="M61" s="23"/>
      <c r="N61" s="23"/>
      <c r="O61" s="23"/>
      <c r="P61" s="23"/>
      <c r="Q61" s="23"/>
      <c r="R61" s="23"/>
      <c r="S61" s="23"/>
      <c r="T61" s="23"/>
      <c r="U61" s="23"/>
      <c r="V61" s="23"/>
      <c r="W61" s="23"/>
      <c r="X61" s="23"/>
      <c r="Y61" s="23"/>
      <c r="Z61" s="23"/>
      <c r="AA61" s="23"/>
      <c r="AB61" s="23"/>
      <c r="AC61" s="23"/>
      <c r="AD61" s="23"/>
      <c r="AE61" s="23"/>
      <c r="AF61" s="23"/>
      <c r="AG61" s="23"/>
    </row>
    <row r="62" spans="2:33">
      <c r="B62" s="23"/>
      <c r="C62" s="23"/>
      <c r="D62" s="23"/>
      <c r="E62" s="23"/>
      <c r="F62" s="23"/>
      <c r="G62" s="23"/>
      <c r="H62" s="23"/>
      <c r="I62" s="23"/>
      <c r="J62" s="23"/>
      <c r="K62" s="23"/>
      <c r="L62" s="23"/>
      <c r="M62" s="23"/>
      <c r="N62" s="23"/>
      <c r="O62" s="23"/>
      <c r="P62" s="23"/>
      <c r="Q62" s="23"/>
      <c r="R62" s="23"/>
      <c r="S62" s="23"/>
      <c r="T62" s="23"/>
      <c r="U62" s="23"/>
      <c r="V62" s="23"/>
      <c r="W62" s="23"/>
      <c r="X62" s="23"/>
      <c r="Y62" s="23"/>
      <c r="Z62" s="23"/>
      <c r="AA62" s="23"/>
      <c r="AB62" s="23"/>
      <c r="AC62" s="23"/>
      <c r="AD62" s="23"/>
      <c r="AE62" s="23"/>
      <c r="AF62" s="23"/>
      <c r="AG62" s="23"/>
    </row>
    <row r="63" spans="2:33">
      <c r="B63" s="23"/>
      <c r="C63" s="23"/>
      <c r="D63" s="23"/>
      <c r="E63" s="23"/>
      <c r="F63" s="23"/>
      <c r="G63" s="23"/>
      <c r="H63" s="23"/>
      <c r="I63" s="23"/>
      <c r="J63" s="23"/>
      <c r="K63" s="23"/>
      <c r="L63" s="23"/>
      <c r="M63" s="23"/>
      <c r="N63" s="23"/>
      <c r="O63" s="23"/>
      <c r="P63" s="23"/>
      <c r="Q63" s="23"/>
      <c r="R63" s="23"/>
      <c r="S63" s="23"/>
      <c r="T63" s="23"/>
      <c r="U63" s="23"/>
      <c r="V63" s="23"/>
      <c r="W63" s="23"/>
      <c r="X63" s="23"/>
      <c r="Y63" s="23"/>
      <c r="Z63" s="23"/>
      <c r="AA63" s="23"/>
      <c r="AB63" s="23"/>
      <c r="AC63" s="23"/>
      <c r="AD63" s="23"/>
      <c r="AE63" s="23"/>
      <c r="AF63" s="23"/>
      <c r="AG63" s="23"/>
    </row>
    <row r="64" spans="2:33">
      <c r="B64" s="23"/>
      <c r="C64" s="23"/>
      <c r="D64" s="23"/>
      <c r="E64" s="23"/>
      <c r="F64" s="23"/>
      <c r="G64" s="23"/>
      <c r="H64" s="23"/>
      <c r="I64" s="23"/>
      <c r="J64" s="23"/>
      <c r="K64" s="23"/>
      <c r="L64" s="23"/>
      <c r="M64" s="23"/>
      <c r="N64" s="23"/>
      <c r="O64" s="23"/>
      <c r="P64" s="23"/>
      <c r="Q64" s="23"/>
      <c r="R64" s="23"/>
      <c r="S64" s="23"/>
      <c r="T64" s="23"/>
      <c r="U64" s="23"/>
      <c r="V64" s="23"/>
      <c r="W64" s="23"/>
      <c r="X64" s="23"/>
      <c r="Y64" s="23"/>
      <c r="Z64" s="23"/>
      <c r="AA64" s="23"/>
      <c r="AB64" s="23"/>
      <c r="AC64" s="23"/>
      <c r="AD64" s="23"/>
      <c r="AE64" s="23"/>
      <c r="AF64" s="23"/>
      <c r="AG64" s="23"/>
    </row>
    <row r="65" spans="2:33">
      <c r="B65" s="23"/>
      <c r="C65" s="23"/>
      <c r="D65" s="23"/>
      <c r="E65" s="23"/>
      <c r="F65" s="23"/>
      <c r="G65" s="23"/>
      <c r="H65" s="23"/>
      <c r="I65" s="23"/>
      <c r="J65" s="23"/>
      <c r="K65" s="23"/>
      <c r="L65" s="23"/>
      <c r="M65" s="23"/>
      <c r="N65" s="23"/>
      <c r="O65" s="23"/>
      <c r="P65" s="23"/>
      <c r="Q65" s="23"/>
      <c r="R65" s="23"/>
      <c r="S65" s="23"/>
      <c r="T65" s="23"/>
      <c r="U65" s="23"/>
      <c r="V65" s="23"/>
      <c r="W65" s="23"/>
      <c r="X65" s="23"/>
      <c r="Y65" s="23"/>
      <c r="Z65" s="23"/>
      <c r="AA65" s="23"/>
      <c r="AB65" s="23"/>
      <c r="AC65" s="23"/>
      <c r="AD65" s="23"/>
      <c r="AE65" s="23"/>
      <c r="AF65" s="23"/>
      <c r="AG65" s="23"/>
    </row>
    <row r="66" spans="2:33">
      <c r="B66" s="23"/>
      <c r="C66" s="23"/>
      <c r="D66" s="23"/>
      <c r="E66" s="23"/>
      <c r="F66" s="23"/>
      <c r="G66" s="23"/>
      <c r="H66" s="23"/>
      <c r="I66" s="23"/>
      <c r="J66" s="23"/>
      <c r="K66" s="23"/>
      <c r="L66" s="23"/>
      <c r="M66" s="23"/>
      <c r="N66" s="23"/>
      <c r="O66" s="23"/>
      <c r="P66" s="23"/>
      <c r="Q66" s="23"/>
      <c r="R66" s="23"/>
      <c r="S66" s="23"/>
      <c r="T66" s="23"/>
      <c r="U66" s="23"/>
      <c r="V66" s="23"/>
      <c r="W66" s="23"/>
      <c r="X66" s="23"/>
      <c r="Y66" s="23"/>
      <c r="Z66" s="23"/>
      <c r="AA66" s="23"/>
      <c r="AB66" s="23"/>
      <c r="AC66" s="23"/>
      <c r="AD66" s="23"/>
      <c r="AE66" s="23"/>
      <c r="AF66" s="23"/>
      <c r="AG66" s="23"/>
    </row>
    <row r="67" spans="2:33">
      <c r="B67" s="23"/>
      <c r="C67" s="23"/>
      <c r="D67" s="23"/>
      <c r="E67" s="23"/>
      <c r="F67" s="23"/>
      <c r="G67" s="23"/>
      <c r="H67" s="23"/>
      <c r="I67" s="23"/>
      <c r="J67" s="23"/>
      <c r="K67" s="23"/>
      <c r="L67" s="23"/>
      <c r="M67" s="23"/>
      <c r="N67" s="23"/>
      <c r="O67" s="23"/>
      <c r="P67" s="23"/>
      <c r="Q67" s="23"/>
      <c r="R67" s="23"/>
      <c r="S67" s="23"/>
      <c r="T67" s="23"/>
      <c r="U67" s="23"/>
      <c r="V67" s="23"/>
      <c r="W67" s="23"/>
      <c r="X67" s="23"/>
      <c r="Y67" s="23"/>
      <c r="Z67" s="23"/>
      <c r="AA67" s="23"/>
      <c r="AB67" s="23"/>
      <c r="AC67" s="23"/>
      <c r="AD67" s="23"/>
      <c r="AE67" s="23"/>
      <c r="AF67" s="23"/>
      <c r="AG67" s="23"/>
    </row>
    <row r="68" spans="2:33">
      <c r="B68" s="23"/>
      <c r="C68" s="23"/>
      <c r="D68" s="23"/>
      <c r="E68" s="23"/>
      <c r="F68" s="23"/>
      <c r="G68" s="23"/>
      <c r="H68" s="23"/>
      <c r="I68" s="23"/>
      <c r="J68" s="23"/>
      <c r="K68" s="23"/>
      <c r="L68" s="23"/>
      <c r="M68" s="23"/>
      <c r="N68" s="23"/>
      <c r="O68" s="23"/>
      <c r="P68" s="23"/>
      <c r="Q68" s="23"/>
      <c r="R68" s="23"/>
      <c r="S68" s="23"/>
      <c r="T68" s="23"/>
      <c r="U68" s="23"/>
      <c r="V68" s="23"/>
      <c r="W68" s="23"/>
      <c r="X68" s="23"/>
      <c r="Y68" s="23"/>
      <c r="Z68" s="23"/>
      <c r="AA68" s="23"/>
      <c r="AB68" s="23"/>
      <c r="AC68" s="23"/>
      <c r="AD68" s="23"/>
      <c r="AE68" s="23"/>
      <c r="AF68" s="23"/>
      <c r="AG68" s="23"/>
    </row>
    <row r="69" spans="2:33">
      <c r="B69" s="23"/>
      <c r="C69" s="23"/>
      <c r="D69" s="23"/>
      <c r="E69" s="23"/>
      <c r="F69" s="23"/>
      <c r="G69" s="23"/>
      <c r="H69" s="23"/>
      <c r="I69" s="23"/>
      <c r="J69" s="23"/>
      <c r="K69" s="23"/>
      <c r="L69" s="23"/>
      <c r="M69" s="23"/>
      <c r="N69" s="23"/>
      <c r="O69" s="23"/>
      <c r="P69" s="23"/>
      <c r="Q69" s="23"/>
      <c r="R69" s="23"/>
      <c r="S69" s="23"/>
      <c r="T69" s="23"/>
      <c r="U69" s="23"/>
      <c r="V69" s="23"/>
      <c r="W69" s="23"/>
      <c r="X69" s="23"/>
      <c r="Y69" s="23"/>
      <c r="Z69" s="23"/>
      <c r="AA69" s="23"/>
      <c r="AB69" s="23"/>
      <c r="AC69" s="23"/>
      <c r="AD69" s="23"/>
      <c r="AE69" s="23"/>
      <c r="AF69" s="23"/>
      <c r="AG69" s="23"/>
    </row>
    <row r="70" spans="2:33">
      <c r="B70" s="23"/>
      <c r="C70" s="23"/>
      <c r="D70" s="23"/>
      <c r="E70" s="23"/>
      <c r="F70" s="23"/>
      <c r="G70" s="23"/>
      <c r="H70" s="23"/>
      <c r="I70" s="23"/>
      <c r="J70" s="23"/>
      <c r="K70" s="23"/>
      <c r="L70" s="23"/>
      <c r="M70" s="23"/>
      <c r="N70" s="23"/>
      <c r="O70" s="23"/>
      <c r="P70" s="23"/>
      <c r="Q70" s="23"/>
      <c r="R70" s="23"/>
      <c r="S70" s="23"/>
      <c r="T70" s="23"/>
      <c r="U70" s="23"/>
      <c r="V70" s="23"/>
      <c r="W70" s="23"/>
      <c r="X70" s="23"/>
      <c r="Y70" s="23"/>
      <c r="Z70" s="23"/>
      <c r="AA70" s="23"/>
      <c r="AB70" s="23"/>
      <c r="AC70" s="23"/>
      <c r="AD70" s="23"/>
      <c r="AE70" s="23"/>
      <c r="AF70" s="23"/>
      <c r="AG70" s="23"/>
    </row>
    <row r="71" spans="2:33">
      <c r="B71" s="23"/>
      <c r="C71" s="23"/>
      <c r="D71" s="23"/>
      <c r="E71" s="23"/>
      <c r="F71" s="23"/>
      <c r="G71" s="23"/>
      <c r="H71" s="23"/>
      <c r="I71" s="23"/>
      <c r="J71" s="23"/>
      <c r="K71" s="23"/>
      <c r="L71" s="23"/>
      <c r="M71" s="23"/>
      <c r="N71" s="23"/>
      <c r="O71" s="23"/>
      <c r="P71" s="23"/>
      <c r="Q71" s="23"/>
      <c r="R71" s="23"/>
      <c r="S71" s="23"/>
      <c r="T71" s="23"/>
      <c r="U71" s="23"/>
      <c r="V71" s="23"/>
      <c r="W71" s="23"/>
      <c r="X71" s="23"/>
      <c r="Y71" s="23"/>
      <c r="Z71" s="23"/>
      <c r="AA71" s="23"/>
      <c r="AB71" s="23"/>
      <c r="AC71" s="23"/>
      <c r="AD71" s="23"/>
      <c r="AE71" s="23"/>
      <c r="AF71" s="23"/>
      <c r="AG71" s="23"/>
    </row>
    <row r="72" spans="2:33">
      <c r="B72" s="23"/>
      <c r="C72" s="23"/>
      <c r="D72" s="23"/>
      <c r="E72" s="23"/>
      <c r="F72" s="23"/>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row>
    <row r="73" spans="2:33">
      <c r="B73" s="23"/>
      <c r="C73" s="23"/>
      <c r="D73" s="23"/>
      <c r="E73" s="23"/>
      <c r="F73" s="23"/>
      <c r="G73" s="23"/>
      <c r="H73" s="23"/>
      <c r="I73" s="23"/>
      <c r="J73" s="23"/>
      <c r="K73" s="23"/>
      <c r="L73" s="23"/>
      <c r="M73" s="23"/>
      <c r="N73" s="23"/>
      <c r="O73" s="23"/>
      <c r="P73" s="23"/>
      <c r="Q73" s="23"/>
      <c r="R73" s="23"/>
      <c r="S73" s="23"/>
      <c r="T73" s="23"/>
      <c r="U73" s="23"/>
      <c r="V73" s="23"/>
      <c r="W73" s="23"/>
      <c r="X73" s="23"/>
      <c r="Y73" s="23"/>
      <c r="Z73" s="23"/>
      <c r="AA73" s="23"/>
      <c r="AB73" s="23"/>
      <c r="AC73" s="23"/>
      <c r="AD73" s="23"/>
      <c r="AE73" s="23"/>
      <c r="AF73" s="23"/>
      <c r="AG73" s="23"/>
    </row>
    <row r="74" spans="2:33">
      <c r="B74" s="23"/>
      <c r="C74" s="23"/>
      <c r="D74" s="23"/>
      <c r="E74" s="23"/>
      <c r="F74" s="23"/>
      <c r="G74" s="23"/>
      <c r="H74" s="23"/>
      <c r="I74" s="23"/>
      <c r="J74" s="23"/>
      <c r="K74" s="23"/>
      <c r="L74" s="23"/>
      <c r="M74" s="23"/>
      <c r="N74" s="23"/>
      <c r="O74" s="23"/>
      <c r="P74" s="23"/>
      <c r="Q74" s="23"/>
      <c r="R74" s="23"/>
      <c r="S74" s="23"/>
      <c r="T74" s="23"/>
      <c r="U74" s="23"/>
      <c r="V74" s="23"/>
      <c r="W74" s="23"/>
      <c r="X74" s="23"/>
      <c r="Y74" s="23"/>
      <c r="Z74" s="23"/>
      <c r="AA74" s="23"/>
      <c r="AB74" s="23"/>
      <c r="AC74" s="23"/>
      <c r="AD74" s="23"/>
      <c r="AE74" s="23"/>
      <c r="AF74" s="23"/>
      <c r="AG74" s="23"/>
    </row>
    <row r="75" spans="2:33" s="518" customFormat="1" ht="14">
      <c r="B75" s="517"/>
      <c r="C75" s="517"/>
      <c r="D75" s="517">
        <v>0</v>
      </c>
      <c r="E75" s="517"/>
      <c r="F75" s="517">
        <v>1</v>
      </c>
      <c r="G75" s="517"/>
      <c r="H75" s="517">
        <v>2</v>
      </c>
      <c r="I75" s="517"/>
      <c r="J75" s="517">
        <v>3</v>
      </c>
      <c r="K75" s="517"/>
      <c r="L75" s="517">
        <v>4</v>
      </c>
      <c r="M75" s="517"/>
      <c r="N75" s="517">
        <v>5</v>
      </c>
      <c r="O75" s="517"/>
      <c r="P75" s="517">
        <v>6</v>
      </c>
      <c r="Q75" s="517"/>
      <c r="R75" s="517">
        <v>7</v>
      </c>
      <c r="S75" s="517"/>
      <c r="T75" s="517">
        <v>8</v>
      </c>
      <c r="U75" s="517"/>
      <c r="V75" s="517">
        <v>9</v>
      </c>
      <c r="W75" s="517"/>
      <c r="X75" s="517">
        <v>10</v>
      </c>
      <c r="Y75" s="517"/>
      <c r="Z75" s="517">
        <v>11</v>
      </c>
      <c r="AA75" s="517"/>
      <c r="AB75" s="517">
        <v>12</v>
      </c>
      <c r="AC75" s="517"/>
      <c r="AD75" s="517"/>
      <c r="AE75" s="517"/>
      <c r="AF75" s="517"/>
      <c r="AG75" s="517"/>
    </row>
    <row r="76" spans="2:33">
      <c r="B76" s="23"/>
      <c r="C76" s="23"/>
      <c r="D76" s="23"/>
      <c r="E76" s="23"/>
      <c r="F76" s="23"/>
      <c r="G76" s="23"/>
      <c r="H76" s="23"/>
      <c r="I76" s="23"/>
      <c r="J76" s="23"/>
      <c r="K76" s="23"/>
      <c r="L76" s="23"/>
      <c r="M76" s="23"/>
      <c r="N76" s="23"/>
      <c r="O76" s="23"/>
      <c r="P76" s="23"/>
      <c r="Q76" s="23"/>
      <c r="R76" s="23"/>
      <c r="S76" s="23"/>
      <c r="T76" s="23"/>
      <c r="U76" s="23"/>
      <c r="V76" s="23"/>
      <c r="W76" s="23"/>
      <c r="X76" s="23"/>
      <c r="Y76" s="23"/>
      <c r="Z76" s="23"/>
      <c r="AA76" s="23"/>
      <c r="AB76" s="23"/>
      <c r="AC76" s="23"/>
      <c r="AD76" s="23"/>
      <c r="AE76" s="23"/>
      <c r="AF76" s="23"/>
      <c r="AG76" s="23"/>
    </row>
    <row r="77" spans="2:33">
      <c r="B77" s="23"/>
      <c r="C77" s="23"/>
      <c r="D77" s="23"/>
      <c r="E77" s="23"/>
      <c r="F77" s="23"/>
      <c r="G77" s="23"/>
      <c r="H77" s="23"/>
      <c r="I77" s="23"/>
      <c r="J77" s="23"/>
      <c r="K77" s="23"/>
      <c r="L77" s="23"/>
      <c r="M77" s="23"/>
      <c r="N77" s="23"/>
      <c r="O77" s="23"/>
      <c r="P77" s="23"/>
      <c r="Q77" s="23"/>
      <c r="R77" s="23"/>
      <c r="S77" s="23"/>
      <c r="T77" s="23"/>
      <c r="U77" s="23"/>
      <c r="V77" s="23"/>
      <c r="W77" s="23"/>
      <c r="X77" s="23"/>
      <c r="Y77" s="23"/>
      <c r="Z77" s="23"/>
      <c r="AA77" s="23"/>
      <c r="AB77" s="23"/>
      <c r="AC77" s="23"/>
      <c r="AD77" s="23"/>
      <c r="AE77" s="23"/>
      <c r="AF77" s="23"/>
      <c r="AG77" s="23"/>
    </row>
    <row r="78" spans="2:33">
      <c r="B78" s="23"/>
      <c r="AF78" s="23"/>
      <c r="AG78" s="23"/>
    </row>
    <row r="79" spans="2:33">
      <c r="B79" s="23"/>
      <c r="C79" s="23" t="s">
        <v>374</v>
      </c>
      <c r="D79" s="263"/>
      <c r="E79" s="23"/>
      <c r="F79" s="263"/>
      <c r="G79" s="23"/>
      <c r="H79" s="263"/>
      <c r="I79" s="23"/>
      <c r="J79" s="263"/>
      <c r="K79" s="23"/>
      <c r="L79" s="263"/>
      <c r="M79" s="23"/>
      <c r="N79" s="263"/>
      <c r="O79" s="23"/>
      <c r="P79" s="263"/>
      <c r="Q79" s="23"/>
      <c r="R79" s="263"/>
      <c r="S79" s="23"/>
      <c r="T79" s="263"/>
      <c r="U79" s="23"/>
      <c r="V79" s="263"/>
      <c r="W79" s="23"/>
      <c r="X79" s="263"/>
      <c r="Y79" s="23"/>
      <c r="Z79" s="263"/>
      <c r="AA79" s="23"/>
      <c r="AB79" s="263"/>
      <c r="AC79" s="23"/>
      <c r="AD79" s="23"/>
      <c r="AE79" s="23"/>
      <c r="AF79" s="23"/>
      <c r="AG79" s="23"/>
    </row>
    <row r="80" spans="2:33">
      <c r="B80" s="23">
        <f>MAX(MAX(D80:AB80),-MIN(D80:AB80))</f>
        <v>1E-4</v>
      </c>
      <c r="C80" s="23"/>
      <c r="D80" s="257">
        <f>IF(ISBLANK(D79),'Rep Schedule - Advanced'!AC6,D79)</f>
        <v>1E-4</v>
      </c>
      <c r="E80" s="257"/>
      <c r="F80" s="257">
        <f>IF(ISBLANK(F79),'Rep Schedule - Advanced'!$AC$7,F79)</f>
        <v>0</v>
      </c>
      <c r="G80" s="257"/>
      <c r="H80" s="257">
        <f>IF(ISBLANK(H79),'Rep Schedule - Advanced'!$AC$8,H79)</f>
        <v>0</v>
      </c>
      <c r="I80" s="257"/>
      <c r="J80" s="257">
        <f>IF(ISBLANK(J79),'Rep Schedule - Advanced'!$AC$9,J79)</f>
        <v>0</v>
      </c>
      <c r="K80" s="257"/>
      <c r="L80" s="257">
        <f>IF(ISBLANK(L79),'Rep Schedule - Advanced'!$AC$10,L79)</f>
        <v>0</v>
      </c>
      <c r="M80" s="257"/>
      <c r="N80" s="257">
        <f>IF(ISBLANK(N79),'Rep Schedule - Advanced'!$AC$11,N79)</f>
        <v>0</v>
      </c>
      <c r="O80" s="23"/>
      <c r="P80" s="257">
        <f>IF(ISBLANK(P79),'Rep Schedule - Advanced'!$AC$12,P79)</f>
        <v>0</v>
      </c>
      <c r="Q80" s="23"/>
      <c r="R80" s="257">
        <f>IF(ISBLANK(R79),'Rep Schedule - Advanced'!$AC$13,R79)</f>
        <v>0</v>
      </c>
      <c r="S80" s="23"/>
      <c r="T80" s="257">
        <f>IF(ISBLANK(T79),'Rep Schedule - Advanced'!$AC$14,T79)</f>
        <v>0</v>
      </c>
      <c r="U80" s="23"/>
      <c r="V80" s="257">
        <f>IF(ISBLANK(V79),'Rep Schedule - Advanced'!$AC$15,V79)</f>
        <v>0</v>
      </c>
      <c r="W80" s="23"/>
      <c r="X80" s="257">
        <f>IF(ISBLANK(X79),'Rep Schedule - Advanced'!$AC$16,X79)</f>
        <v>0</v>
      </c>
      <c r="Y80" s="23"/>
      <c r="Z80" s="257">
        <f>IF(ISBLANK(Z79),'Rep Schedule - Advanced'!$AC$17,Z79)</f>
        <v>0</v>
      </c>
      <c r="AA80" s="23"/>
      <c r="AB80" s="257">
        <f>IF(ISBLANK(AB79),'Rep Schedule - Advanced'!$AC$18,AB79)</f>
        <v>0</v>
      </c>
      <c r="AC80" s="23"/>
      <c r="AD80" s="23"/>
      <c r="AE80" s="23"/>
      <c r="AF80" s="23"/>
      <c r="AG80" s="23"/>
    </row>
    <row r="81" spans="2:33">
      <c r="B81" s="23"/>
      <c r="C81" s="23"/>
      <c r="D81" s="257">
        <v>20</v>
      </c>
      <c r="E81" s="257"/>
      <c r="F81" s="257">
        <f>$D$81*ROUND(F80/$B$80,1)</f>
        <v>0</v>
      </c>
      <c r="G81" s="257"/>
      <c r="H81" s="257">
        <f>$D$81*ROUND(H80/$B$80,1)</f>
        <v>0</v>
      </c>
      <c r="I81" s="257"/>
      <c r="J81" s="257">
        <f>$D$81*ROUND(J80/$B$80,1)</f>
        <v>0</v>
      </c>
      <c r="K81" s="257"/>
      <c r="L81" s="257">
        <f>$D$81*ROUND(L80/$B$80,1)</f>
        <v>0</v>
      </c>
      <c r="M81" s="257"/>
      <c r="N81" s="257">
        <f>$D$81*ROUND(N80/$B$80,1)</f>
        <v>0</v>
      </c>
      <c r="O81" s="23"/>
      <c r="P81" s="257">
        <f>$D$81*ROUND(P80/$B$80,1)</f>
        <v>0</v>
      </c>
      <c r="Q81" s="23"/>
      <c r="R81" s="257">
        <f>$D$81*ROUND(R80/$B$80,1)</f>
        <v>0</v>
      </c>
      <c r="S81" s="23"/>
      <c r="T81" s="257">
        <f>$D$81*ROUND(T80/$B$80,1)</f>
        <v>0</v>
      </c>
      <c r="U81" s="23"/>
      <c r="V81" s="257">
        <f>$D$81*ROUND(V80/$B$80,1)</f>
        <v>0</v>
      </c>
      <c r="W81" s="23"/>
      <c r="X81" s="257">
        <f>$D$81*ROUND(X80/$B$80,1)</f>
        <v>0</v>
      </c>
      <c r="Y81" s="23"/>
      <c r="Z81" s="257">
        <f>$D$81*ROUND(Z80/$B$80,1)</f>
        <v>0</v>
      </c>
      <c r="AA81" s="23"/>
      <c r="AB81" s="257">
        <f>$D$81*ROUND(AB80/$B$80,1)</f>
        <v>0</v>
      </c>
      <c r="AC81" s="23"/>
      <c r="AD81" s="23"/>
      <c r="AE81" s="23"/>
      <c r="AF81" s="23"/>
      <c r="AG81" s="23"/>
    </row>
    <row r="82" spans="2:33">
      <c r="B82" s="23"/>
      <c r="C82" s="256" t="s">
        <v>372</v>
      </c>
      <c r="D82" s="257">
        <f>IF(D80=0,0,IF(D81=0,IF(D80&gt;0,1,-1),D81))</f>
        <v>20</v>
      </c>
      <c r="E82" s="257"/>
      <c r="F82" s="257">
        <f>IF(F80=0,0,IF(F81=0,IF(F80&gt;0,1,-1),F81))</f>
        <v>0</v>
      </c>
      <c r="G82" s="257"/>
      <c r="H82" s="257">
        <f>IF(H80=0,0,IF(H81=0,IF(H80&gt;0,1,-1),H81))</f>
        <v>0</v>
      </c>
      <c r="I82" s="257"/>
      <c r="J82" s="257">
        <f>IF(J80=0,0,IF(J81=0,IF(J80&gt;0,1,-1),J81))</f>
        <v>0</v>
      </c>
      <c r="K82" s="257"/>
      <c r="L82" s="257">
        <f>IF(L80=0,0,IF(L81=0,IF(L80&gt;0,1,-1),L81))</f>
        <v>0</v>
      </c>
      <c r="M82" s="257"/>
      <c r="N82" s="257">
        <f>IF(N80=0,0,IF(N81=0,IF(N80&gt;0,1,-1),N81))</f>
        <v>0</v>
      </c>
      <c r="O82" s="23"/>
      <c r="P82" s="257">
        <f>IF(P80=0,0,IF(P81=0,IF(P80&gt;0,1,-1),P81))</f>
        <v>0</v>
      </c>
      <c r="Q82" s="23"/>
      <c r="R82" s="257">
        <f>IF(R80=0,0,IF(R81=0,IF(R80&gt;0,1,-1),R81))</f>
        <v>0</v>
      </c>
      <c r="S82" s="23"/>
      <c r="T82" s="257">
        <f>IF(T80=0,0,IF(T81=0,IF(T80&gt;0,1,-1),T81))</f>
        <v>0</v>
      </c>
      <c r="U82" s="23"/>
      <c r="V82" s="257">
        <f>IF(V80=0,0,IF(V81=0,IF(V80&gt;0,1,-1),V81))</f>
        <v>0</v>
      </c>
      <c r="W82" s="23"/>
      <c r="X82" s="257">
        <f>IF(X80=0,0,IF(X81=0,IF(X80&gt;0,1,-1),X81))</f>
        <v>0</v>
      </c>
      <c r="Y82" s="23"/>
      <c r="Z82" s="257">
        <f>IF(Z80=0,0,IF(Z81=0,IF(Z80&gt;0,1,-1),Z81))</f>
        <v>0</v>
      </c>
      <c r="AA82" s="23"/>
      <c r="AB82" s="257">
        <f>IF(AB80=0,0,IF(AB81=0,IF(AB80&gt;0,1,-1),AB81))</f>
        <v>0</v>
      </c>
      <c r="AC82" s="23"/>
      <c r="AD82" s="23"/>
      <c r="AE82" s="23"/>
      <c r="AF82" s="23"/>
      <c r="AG82" s="23"/>
    </row>
    <row r="83" spans="2:33">
      <c r="B83" s="23"/>
      <c r="C83" s="23"/>
      <c r="D83" s="23"/>
      <c r="E83" s="23"/>
      <c r="F83" s="23"/>
      <c r="G83" s="23"/>
      <c r="H83" s="23"/>
      <c r="I83" s="23"/>
      <c r="J83" s="23"/>
      <c r="K83" s="23"/>
      <c r="L83" s="23"/>
      <c r="M83" s="23"/>
      <c r="N83" s="23"/>
      <c r="O83" s="23"/>
      <c r="P83" s="23"/>
      <c r="Q83" s="23"/>
      <c r="R83" s="23"/>
      <c r="S83" s="23"/>
      <c r="T83" s="23"/>
      <c r="U83" s="23"/>
      <c r="V83" s="23"/>
      <c r="W83" s="23"/>
      <c r="X83" s="23"/>
      <c r="Y83" s="23"/>
      <c r="Z83" s="23"/>
      <c r="AA83" s="23"/>
      <c r="AB83" s="23"/>
      <c r="AC83" s="23"/>
      <c r="AD83" s="23"/>
      <c r="AE83" s="23"/>
      <c r="AF83" s="23"/>
      <c r="AG83" s="23"/>
    </row>
    <row r="84" spans="2:33">
      <c r="B84" s="23"/>
      <c r="C84" s="23"/>
      <c r="D84" s="23"/>
      <c r="E84" s="23"/>
      <c r="F84" s="23"/>
      <c r="G84" s="23"/>
      <c r="H84" s="23"/>
      <c r="I84" s="23"/>
      <c r="J84" s="23"/>
      <c r="K84" s="23"/>
      <c r="L84" s="23"/>
      <c r="M84" s="23"/>
      <c r="N84" s="23"/>
      <c r="O84" s="23"/>
      <c r="P84" s="23"/>
      <c r="Q84" s="23"/>
      <c r="R84" s="23"/>
      <c r="S84" s="23"/>
      <c r="T84" s="23"/>
      <c r="U84" s="23"/>
      <c r="V84" s="23"/>
      <c r="W84" s="23"/>
      <c r="X84" s="23"/>
      <c r="Y84" s="23"/>
      <c r="Z84" s="23"/>
      <c r="AA84" s="23"/>
      <c r="AB84" s="23"/>
      <c r="AC84" s="23"/>
      <c r="AD84" s="23"/>
      <c r="AE84" s="23"/>
      <c r="AF84" s="23"/>
      <c r="AG84" s="23"/>
    </row>
    <row r="85" spans="2:33">
      <c r="B85" s="23"/>
      <c r="C85" s="23"/>
      <c r="D85" s="23"/>
      <c r="E85" s="23"/>
      <c r="F85" s="23"/>
      <c r="G85" s="23"/>
      <c r="H85" s="23"/>
      <c r="I85" s="23"/>
      <c r="J85" s="23"/>
      <c r="K85" s="23"/>
      <c r="L85" s="23"/>
      <c r="M85" s="23"/>
      <c r="N85" s="23"/>
      <c r="O85" s="23"/>
      <c r="P85" s="23"/>
      <c r="Q85" s="23"/>
      <c r="R85" s="23"/>
      <c r="S85" s="23"/>
      <c r="T85" s="23"/>
      <c r="U85" s="23"/>
      <c r="V85" s="23"/>
      <c r="W85" s="23"/>
      <c r="X85" s="23"/>
      <c r="Y85" s="23"/>
      <c r="Z85" s="23"/>
      <c r="AA85" s="23"/>
      <c r="AB85" s="23"/>
      <c r="AC85" s="23"/>
      <c r="AD85" s="23"/>
      <c r="AE85" s="23"/>
      <c r="AF85" s="23"/>
      <c r="AG85" s="23"/>
    </row>
    <row r="86" spans="2:33">
      <c r="B86" s="23"/>
      <c r="C86" s="23"/>
      <c r="D86" s="23"/>
      <c r="E86" s="23"/>
      <c r="F86" s="23"/>
      <c r="G86" s="23"/>
      <c r="H86" s="23"/>
      <c r="I86" s="23"/>
      <c r="J86" s="23"/>
      <c r="K86" s="23"/>
      <c r="L86" s="23"/>
      <c r="M86" s="23"/>
      <c r="N86" s="23"/>
      <c r="O86" s="23"/>
      <c r="P86" s="23"/>
      <c r="Q86" s="23"/>
      <c r="R86" s="23"/>
      <c r="S86" s="23"/>
      <c r="T86" s="23"/>
      <c r="U86" s="23"/>
      <c r="V86" s="23"/>
      <c r="W86" s="23"/>
      <c r="X86" s="23"/>
      <c r="Y86" s="23"/>
      <c r="Z86" s="23"/>
      <c r="AA86" s="23"/>
      <c r="AB86" s="23"/>
      <c r="AC86" s="23"/>
      <c r="AD86" s="23"/>
      <c r="AE86" s="23"/>
      <c r="AF86" s="23"/>
      <c r="AG86" s="23"/>
    </row>
    <row r="87" spans="2:33">
      <c r="B87" s="23"/>
      <c r="C87" s="23"/>
      <c r="D87" s="23"/>
      <c r="E87" s="23"/>
      <c r="F87" s="23"/>
      <c r="G87" s="23"/>
      <c r="H87" s="23"/>
      <c r="I87" s="23"/>
      <c r="J87" s="23"/>
      <c r="K87" s="23"/>
      <c r="L87" s="23"/>
      <c r="M87" s="23"/>
      <c r="N87" s="23"/>
      <c r="O87" s="23"/>
      <c r="P87" s="23"/>
      <c r="Q87" s="23"/>
      <c r="R87" s="23"/>
      <c r="S87" s="23"/>
      <c r="T87" s="23"/>
      <c r="U87" s="23"/>
      <c r="V87" s="23"/>
      <c r="W87" s="23"/>
      <c r="X87" s="23"/>
      <c r="Y87" s="23"/>
      <c r="Z87" s="23"/>
      <c r="AA87" s="23"/>
      <c r="AB87" s="23"/>
      <c r="AC87" s="23"/>
      <c r="AD87" s="23"/>
      <c r="AE87" s="23"/>
      <c r="AF87" s="23"/>
      <c r="AG87" s="23"/>
    </row>
    <row r="88" spans="2:33">
      <c r="B88" s="23"/>
      <c r="C88" s="23"/>
      <c r="D88" s="23"/>
      <c r="E88" s="23"/>
      <c r="F88" s="23"/>
      <c r="G88" s="23"/>
      <c r="H88" s="23"/>
      <c r="I88" s="23"/>
      <c r="J88" s="23"/>
      <c r="K88" s="23"/>
      <c r="L88" s="23"/>
      <c r="M88" s="23"/>
      <c r="N88" s="23"/>
      <c r="O88" s="23"/>
      <c r="P88" s="23"/>
      <c r="Q88" s="23"/>
      <c r="R88" s="23"/>
      <c r="S88" s="23"/>
      <c r="T88" s="23"/>
      <c r="U88" s="23"/>
      <c r="V88" s="23"/>
      <c r="W88" s="23"/>
      <c r="X88" s="23"/>
      <c r="Y88" s="23"/>
      <c r="Z88" s="23"/>
      <c r="AA88" s="23"/>
      <c r="AB88" s="23"/>
      <c r="AC88" s="23"/>
      <c r="AD88" s="23"/>
      <c r="AE88" s="23"/>
      <c r="AF88" s="23"/>
      <c r="AG88" s="23"/>
    </row>
    <row r="89" spans="2:33">
      <c r="B89" s="23"/>
      <c r="C89" s="23"/>
      <c r="D89" s="23"/>
      <c r="E89" s="23"/>
      <c r="F89" s="23"/>
      <c r="G89" s="23"/>
      <c r="H89" s="23"/>
      <c r="I89" s="23"/>
      <c r="J89" s="23"/>
      <c r="K89" s="23"/>
      <c r="L89" s="23"/>
      <c r="M89" s="23"/>
      <c r="N89" s="23"/>
      <c r="O89" s="23"/>
      <c r="P89" s="23"/>
      <c r="Q89" s="23"/>
      <c r="R89" s="23"/>
      <c r="S89" s="23"/>
      <c r="T89" s="23"/>
      <c r="U89" s="23"/>
      <c r="V89" s="23"/>
      <c r="W89" s="23"/>
      <c r="X89" s="23"/>
      <c r="Y89" s="23"/>
      <c r="Z89" s="23"/>
      <c r="AA89" s="23"/>
      <c r="AB89" s="23"/>
      <c r="AC89" s="23"/>
      <c r="AD89" s="23"/>
      <c r="AE89" s="23"/>
      <c r="AF89" s="23"/>
      <c r="AG89" s="23"/>
    </row>
    <row r="90" spans="2:33">
      <c r="B90" s="23"/>
      <c r="C90" s="23"/>
      <c r="D90" s="23"/>
      <c r="E90" s="23"/>
      <c r="F90" s="23"/>
      <c r="G90" s="23"/>
      <c r="H90" s="23"/>
      <c r="I90" s="23"/>
      <c r="J90" s="23"/>
      <c r="K90" s="23"/>
      <c r="L90" s="23"/>
      <c r="M90" s="23"/>
      <c r="N90" s="23"/>
      <c r="O90" s="23"/>
      <c r="P90" s="23"/>
      <c r="Q90" s="23"/>
      <c r="R90" s="23"/>
      <c r="S90" s="23"/>
      <c r="T90" s="23"/>
      <c r="U90" s="23"/>
      <c r="V90" s="23"/>
      <c r="W90" s="23"/>
      <c r="X90" s="23"/>
      <c r="Y90" s="23"/>
      <c r="Z90" s="23"/>
      <c r="AA90" s="23"/>
      <c r="AB90" s="23"/>
      <c r="AC90" s="23"/>
      <c r="AD90" s="23"/>
      <c r="AE90" s="23"/>
      <c r="AF90" s="23"/>
      <c r="AG90" s="23"/>
    </row>
    <row r="91" spans="2:33">
      <c r="B91" s="23"/>
      <c r="C91" s="23"/>
      <c r="D91" s="23"/>
      <c r="E91" s="23"/>
      <c r="F91" s="23"/>
      <c r="G91" s="23"/>
      <c r="H91" s="23"/>
      <c r="I91" s="23"/>
      <c r="J91" s="23"/>
      <c r="K91" s="23"/>
      <c r="L91" s="23"/>
      <c r="M91" s="23"/>
      <c r="N91" s="23"/>
      <c r="O91" s="23"/>
      <c r="P91" s="23"/>
      <c r="Q91" s="23"/>
      <c r="R91" s="23"/>
      <c r="S91" s="23"/>
      <c r="T91" s="23"/>
      <c r="U91" s="23"/>
      <c r="V91" s="23"/>
      <c r="W91" s="23"/>
      <c r="X91" s="23"/>
      <c r="Y91" s="23"/>
      <c r="Z91" s="23"/>
      <c r="AA91" s="23"/>
      <c r="AB91" s="23"/>
      <c r="AC91" s="23"/>
      <c r="AD91" s="23"/>
      <c r="AE91" s="23"/>
      <c r="AF91" s="23"/>
      <c r="AG91" s="23"/>
    </row>
    <row r="92" spans="2:33">
      <c r="B92" s="23"/>
      <c r="C92" s="23"/>
      <c r="D92" s="23"/>
      <c r="E92" s="23"/>
      <c r="F92" s="23"/>
      <c r="G92" s="23"/>
      <c r="H92" s="23"/>
      <c r="I92" s="23"/>
      <c r="J92" s="23"/>
      <c r="K92" s="23"/>
      <c r="L92" s="23"/>
      <c r="M92" s="23"/>
      <c r="N92" s="23"/>
      <c r="O92" s="23"/>
      <c r="P92" s="23"/>
      <c r="Q92" s="23"/>
      <c r="R92" s="23"/>
      <c r="S92" s="23"/>
      <c r="T92" s="23"/>
      <c r="U92" s="23"/>
      <c r="V92" s="23"/>
      <c r="W92" s="23"/>
      <c r="X92" s="23"/>
      <c r="Y92" s="23"/>
      <c r="Z92" s="23"/>
      <c r="AA92" s="23"/>
      <c r="AB92" s="23"/>
      <c r="AC92" s="23"/>
      <c r="AD92" s="23"/>
      <c r="AE92" s="23"/>
      <c r="AF92" s="23"/>
      <c r="AG92" s="23"/>
    </row>
    <row r="93" spans="2:33">
      <c r="B93" s="23"/>
      <c r="C93" s="23"/>
      <c r="D93" s="23"/>
      <c r="E93" s="23"/>
      <c r="F93" s="23"/>
      <c r="G93" s="23"/>
      <c r="H93" s="23"/>
      <c r="I93" s="23"/>
      <c r="J93" s="23"/>
      <c r="K93" s="23"/>
      <c r="L93" s="23"/>
      <c r="M93" s="23"/>
      <c r="N93" s="23"/>
      <c r="O93" s="23"/>
      <c r="P93" s="23"/>
      <c r="Q93" s="23"/>
      <c r="R93" s="23"/>
      <c r="S93" s="23"/>
      <c r="T93" s="23"/>
      <c r="U93" s="23"/>
      <c r="V93" s="23"/>
      <c r="W93" s="23"/>
      <c r="X93" s="23"/>
      <c r="Y93" s="23"/>
      <c r="Z93" s="23"/>
      <c r="AA93" s="23"/>
      <c r="AB93" s="23"/>
      <c r="AC93" s="23"/>
      <c r="AD93" s="23"/>
      <c r="AE93" s="23"/>
      <c r="AF93" s="23"/>
      <c r="AG93" s="23"/>
    </row>
    <row r="94" spans="2:33">
      <c r="B94" s="23"/>
      <c r="C94" s="23"/>
      <c r="D94" s="23"/>
      <c r="E94" s="23"/>
      <c r="F94" s="23"/>
      <c r="G94" s="23"/>
      <c r="H94" s="23"/>
      <c r="I94" s="23"/>
      <c r="J94" s="23"/>
      <c r="K94" s="23"/>
      <c r="L94" s="23"/>
      <c r="M94" s="23"/>
      <c r="N94" s="23"/>
      <c r="O94" s="23"/>
      <c r="P94" s="23"/>
      <c r="Q94" s="23"/>
      <c r="R94" s="23"/>
      <c r="S94" s="23"/>
      <c r="T94" s="23"/>
      <c r="U94" s="23"/>
      <c r="V94" s="23"/>
      <c r="W94" s="23"/>
      <c r="X94" s="23"/>
      <c r="Y94" s="23"/>
      <c r="Z94" s="23"/>
      <c r="AA94" s="23"/>
      <c r="AB94" s="23"/>
      <c r="AC94" s="23"/>
      <c r="AD94" s="23"/>
      <c r="AE94" s="23"/>
      <c r="AF94" s="23"/>
      <c r="AG94" s="23"/>
    </row>
    <row r="95" spans="2:33">
      <c r="B95" s="23"/>
      <c r="C95" s="23"/>
      <c r="D95" s="23"/>
      <c r="E95" s="23"/>
      <c r="F95" s="23"/>
      <c r="G95" s="23"/>
      <c r="H95" s="23"/>
      <c r="I95" s="23"/>
      <c r="J95" s="23"/>
      <c r="K95" s="23"/>
      <c r="L95" s="23"/>
      <c r="M95" s="23"/>
      <c r="N95" s="23"/>
      <c r="O95" s="23"/>
      <c r="P95" s="23"/>
      <c r="Q95" s="23"/>
      <c r="R95" s="23"/>
      <c r="S95" s="23"/>
      <c r="T95" s="23"/>
      <c r="U95" s="23"/>
      <c r="V95" s="23"/>
      <c r="W95" s="23"/>
      <c r="X95" s="23"/>
      <c r="Y95" s="23"/>
      <c r="Z95" s="23"/>
      <c r="AA95" s="23"/>
      <c r="AB95" s="23"/>
      <c r="AC95" s="23"/>
      <c r="AD95" s="23"/>
      <c r="AE95" s="23"/>
      <c r="AF95" s="23"/>
      <c r="AG95" s="23"/>
    </row>
    <row r="96" spans="2:33">
      <c r="B96" s="23"/>
      <c r="C96" s="23"/>
      <c r="D96" s="23"/>
      <c r="E96" s="23"/>
      <c r="F96" s="23"/>
      <c r="G96" s="23"/>
      <c r="H96" s="23"/>
      <c r="I96" s="23"/>
      <c r="J96" s="23"/>
      <c r="K96" s="23"/>
      <c r="L96" s="23"/>
      <c r="M96" s="23"/>
      <c r="N96" s="23"/>
      <c r="O96" s="23"/>
      <c r="P96" s="23"/>
      <c r="Q96" s="23"/>
      <c r="R96" s="23"/>
      <c r="S96" s="23"/>
      <c r="T96" s="23"/>
      <c r="U96" s="23"/>
      <c r="V96" s="23"/>
      <c r="W96" s="23"/>
      <c r="X96" s="23"/>
      <c r="Y96" s="23"/>
      <c r="Z96" s="23"/>
      <c r="AA96" s="23"/>
      <c r="AB96" s="23"/>
      <c r="AC96" s="23"/>
      <c r="AD96" s="23"/>
      <c r="AE96" s="23"/>
      <c r="AF96" s="23"/>
      <c r="AG96" s="23"/>
    </row>
    <row r="97" spans="2:33">
      <c r="B97" s="23"/>
      <c r="C97" s="23"/>
      <c r="D97" s="23"/>
      <c r="E97" s="23"/>
      <c r="F97" s="23"/>
      <c r="G97" s="23"/>
      <c r="H97" s="23"/>
      <c r="I97" s="23"/>
      <c r="J97" s="23"/>
      <c r="K97" s="23"/>
      <c r="L97" s="23"/>
      <c r="M97" s="23"/>
      <c r="N97" s="23"/>
      <c r="O97" s="23"/>
      <c r="P97" s="23"/>
      <c r="Q97" s="23"/>
      <c r="R97" s="23"/>
      <c r="S97" s="23"/>
      <c r="T97" s="23"/>
      <c r="U97" s="23"/>
      <c r="V97" s="23"/>
      <c r="W97" s="23"/>
      <c r="X97" s="23"/>
      <c r="Y97" s="23"/>
      <c r="Z97" s="23"/>
      <c r="AA97" s="23"/>
      <c r="AB97" s="23"/>
      <c r="AC97" s="23"/>
      <c r="AD97" s="23"/>
      <c r="AE97" s="23"/>
      <c r="AF97" s="23"/>
      <c r="AG97" s="23"/>
    </row>
    <row r="98" spans="2:33">
      <c r="B98" s="23"/>
      <c r="C98" s="23"/>
      <c r="D98" s="23"/>
      <c r="E98" s="23"/>
      <c r="F98" s="23"/>
      <c r="G98" s="23"/>
      <c r="H98" s="23"/>
      <c r="I98" s="23"/>
      <c r="J98" s="23"/>
      <c r="K98" s="23"/>
      <c r="L98" s="23"/>
      <c r="M98" s="23"/>
      <c r="N98" s="23"/>
      <c r="O98" s="23"/>
      <c r="P98" s="23"/>
      <c r="Q98" s="23"/>
      <c r="R98" s="23"/>
      <c r="S98" s="23"/>
      <c r="T98" s="23"/>
      <c r="U98" s="23"/>
      <c r="V98" s="23"/>
      <c r="W98" s="23"/>
      <c r="X98" s="23"/>
      <c r="Y98" s="23"/>
      <c r="Z98" s="23"/>
      <c r="AA98" s="23"/>
      <c r="AB98" s="23"/>
      <c r="AC98" s="23"/>
      <c r="AD98" s="23"/>
      <c r="AE98" s="23"/>
      <c r="AF98" s="23"/>
      <c r="AG98" s="23"/>
    </row>
    <row r="99" spans="2:33">
      <c r="B99" s="23"/>
      <c r="C99" s="23"/>
      <c r="D99" s="23"/>
      <c r="E99" s="23"/>
      <c r="F99" s="23"/>
      <c r="G99" s="23"/>
      <c r="H99" s="23"/>
      <c r="I99" s="23"/>
      <c r="J99" s="23"/>
      <c r="K99" s="23"/>
      <c r="L99" s="23"/>
      <c r="M99" s="23"/>
      <c r="N99" s="23"/>
      <c r="O99" s="23"/>
      <c r="P99" s="23"/>
      <c r="Q99" s="23"/>
      <c r="R99" s="23"/>
      <c r="S99" s="23"/>
      <c r="T99" s="23"/>
      <c r="U99" s="23"/>
      <c r="V99" s="23"/>
      <c r="W99" s="23"/>
      <c r="X99" s="23"/>
      <c r="Y99" s="23"/>
      <c r="Z99" s="23"/>
      <c r="AA99" s="23"/>
      <c r="AB99" s="23"/>
      <c r="AC99" s="23"/>
      <c r="AD99" s="23"/>
      <c r="AE99" s="23"/>
      <c r="AF99" s="23"/>
      <c r="AG99" s="23"/>
    </row>
    <row r="100" spans="2:33">
      <c r="B100" s="23"/>
      <c r="C100" s="23"/>
      <c r="D100" s="23"/>
      <c r="E100" s="23"/>
      <c r="F100" s="23"/>
      <c r="G100" s="23"/>
      <c r="H100" s="23"/>
      <c r="I100" s="23"/>
      <c r="J100" s="23"/>
      <c r="K100" s="23"/>
      <c r="L100" s="23"/>
      <c r="M100" s="23"/>
      <c r="N100" s="23"/>
      <c r="O100" s="23"/>
      <c r="P100" s="23"/>
      <c r="Q100" s="23"/>
      <c r="R100" s="23"/>
      <c r="S100" s="23"/>
      <c r="T100" s="23"/>
      <c r="U100" s="23"/>
      <c r="V100" s="23"/>
      <c r="W100" s="23"/>
      <c r="X100" s="23"/>
      <c r="Y100" s="23"/>
      <c r="Z100" s="23"/>
      <c r="AA100" s="23"/>
      <c r="AB100" s="23"/>
      <c r="AC100" s="23"/>
      <c r="AD100" s="23"/>
      <c r="AE100" s="23"/>
      <c r="AF100" s="23"/>
      <c r="AG100" s="23"/>
    </row>
    <row r="101" spans="2:33">
      <c r="B101" s="23"/>
      <c r="C101" s="23"/>
      <c r="D101" s="23"/>
      <c r="E101" s="23"/>
      <c r="F101" s="23"/>
      <c r="G101" s="23"/>
      <c r="H101" s="23"/>
      <c r="I101" s="23"/>
      <c r="J101" s="23"/>
      <c r="K101" s="23"/>
      <c r="L101" s="23"/>
      <c r="M101" s="23"/>
      <c r="N101" s="23"/>
      <c r="O101" s="23"/>
      <c r="P101" s="23"/>
      <c r="Q101" s="23"/>
      <c r="R101" s="23"/>
      <c r="S101" s="23"/>
      <c r="T101" s="23"/>
      <c r="U101" s="23"/>
      <c r="V101" s="23"/>
      <c r="W101" s="23"/>
      <c r="X101" s="23"/>
      <c r="Y101" s="23"/>
      <c r="Z101" s="23"/>
      <c r="AA101" s="23"/>
      <c r="AB101" s="23"/>
      <c r="AC101" s="23"/>
      <c r="AD101" s="23"/>
      <c r="AE101" s="23"/>
      <c r="AF101" s="23"/>
      <c r="AG101" s="23"/>
    </row>
    <row r="102" spans="2:33">
      <c r="B102" s="23"/>
      <c r="C102" s="23"/>
      <c r="D102" s="23"/>
      <c r="E102" s="23"/>
      <c r="F102" s="23"/>
      <c r="G102" s="23"/>
      <c r="H102" s="23"/>
      <c r="I102" s="23"/>
      <c r="J102" s="23"/>
      <c r="K102" s="23"/>
      <c r="L102" s="23"/>
      <c r="M102" s="23"/>
      <c r="N102" s="23"/>
      <c r="O102" s="23"/>
      <c r="P102" s="23"/>
      <c r="Q102" s="23"/>
      <c r="R102" s="23"/>
      <c r="S102" s="23"/>
      <c r="T102" s="23"/>
      <c r="U102" s="23"/>
      <c r="V102" s="23"/>
      <c r="W102" s="23"/>
      <c r="X102" s="23"/>
      <c r="Y102" s="23"/>
      <c r="Z102" s="23"/>
      <c r="AA102" s="23"/>
      <c r="AB102" s="23"/>
      <c r="AC102" s="23"/>
      <c r="AD102" s="23"/>
      <c r="AE102" s="23"/>
      <c r="AF102" s="23"/>
      <c r="AG102" s="23"/>
    </row>
    <row r="103" spans="2:33">
      <c r="B103" s="23"/>
      <c r="C103" s="23"/>
      <c r="D103" s="23"/>
      <c r="E103" s="23"/>
      <c r="F103" s="23"/>
      <c r="G103" s="23"/>
      <c r="H103" s="23"/>
      <c r="I103" s="23"/>
      <c r="J103" s="23"/>
      <c r="K103" s="23"/>
      <c r="L103" s="23"/>
      <c r="M103" s="23"/>
      <c r="N103" s="23"/>
      <c r="O103" s="23"/>
      <c r="P103" s="23"/>
      <c r="Q103" s="23"/>
      <c r="R103" s="23"/>
      <c r="S103" s="23"/>
      <c r="T103" s="23"/>
      <c r="U103" s="23"/>
      <c r="V103" s="23"/>
      <c r="W103" s="23"/>
      <c r="X103" s="23"/>
      <c r="Y103" s="23"/>
      <c r="Z103" s="23"/>
      <c r="AA103" s="23"/>
      <c r="AB103" s="23"/>
      <c r="AC103" s="23"/>
      <c r="AD103" s="23"/>
      <c r="AE103" s="23"/>
      <c r="AF103" s="23"/>
      <c r="AG103" s="23"/>
    </row>
    <row r="104" spans="2:33">
      <c r="B104" s="23"/>
      <c r="C104" s="23"/>
      <c r="D104" s="23"/>
      <c r="E104" s="23"/>
      <c r="F104" s="23"/>
      <c r="G104" s="23"/>
      <c r="H104" s="23"/>
      <c r="I104" s="23"/>
      <c r="J104" s="23"/>
      <c r="K104" s="23"/>
      <c r="L104" s="23"/>
      <c r="M104" s="23"/>
      <c r="N104" s="23"/>
      <c r="O104" s="23"/>
      <c r="P104" s="23"/>
      <c r="Q104" s="23"/>
      <c r="R104" s="23"/>
      <c r="S104" s="23"/>
      <c r="T104" s="23"/>
      <c r="U104" s="23"/>
      <c r="V104" s="23"/>
      <c r="W104" s="23"/>
      <c r="X104" s="23"/>
      <c r="Y104" s="23"/>
      <c r="Z104" s="23"/>
      <c r="AA104" s="23"/>
      <c r="AB104" s="23"/>
      <c r="AC104" s="23"/>
      <c r="AD104" s="23"/>
      <c r="AE104" s="23"/>
      <c r="AF104" s="23"/>
      <c r="AG104" s="23"/>
    </row>
    <row r="105" spans="2:33">
      <c r="B105" s="23"/>
      <c r="C105" s="23"/>
      <c r="D105" s="23"/>
      <c r="E105" s="23"/>
      <c r="F105" s="23"/>
      <c r="G105" s="23"/>
      <c r="H105" s="23"/>
      <c r="I105" s="23"/>
      <c r="J105" s="23"/>
      <c r="K105" s="23"/>
      <c r="L105" s="23"/>
      <c r="M105" s="23"/>
      <c r="N105" s="23"/>
      <c r="O105" s="23"/>
      <c r="P105" s="23"/>
      <c r="Q105" s="23"/>
      <c r="R105" s="23"/>
      <c r="S105" s="23"/>
      <c r="T105" s="23"/>
      <c r="U105" s="23"/>
      <c r="V105" s="23"/>
      <c r="W105" s="23"/>
      <c r="X105" s="23"/>
      <c r="Y105" s="23"/>
      <c r="Z105" s="23"/>
      <c r="AA105" s="23"/>
      <c r="AB105" s="23"/>
      <c r="AC105" s="23"/>
      <c r="AD105" s="23"/>
      <c r="AE105" s="23"/>
      <c r="AF105" s="23"/>
      <c r="AG105" s="23"/>
    </row>
    <row r="106" spans="2:33">
      <c r="B106" s="23"/>
      <c r="C106" s="23"/>
      <c r="D106" s="23"/>
      <c r="E106" s="23"/>
      <c r="F106" s="23"/>
      <c r="G106" s="23"/>
      <c r="H106" s="23"/>
      <c r="I106" s="23"/>
      <c r="J106" s="23"/>
      <c r="K106" s="23"/>
      <c r="L106" s="23"/>
      <c r="M106" s="23"/>
      <c r="N106" s="23"/>
      <c r="O106" s="23"/>
      <c r="P106" s="23"/>
      <c r="Q106" s="23"/>
      <c r="R106" s="23"/>
      <c r="S106" s="23"/>
      <c r="T106" s="23"/>
      <c r="U106" s="23"/>
      <c r="V106" s="23"/>
      <c r="W106" s="23"/>
      <c r="X106" s="23"/>
      <c r="Y106" s="23"/>
      <c r="Z106" s="23"/>
      <c r="AA106" s="23"/>
      <c r="AB106" s="23"/>
      <c r="AC106" s="23"/>
      <c r="AD106" s="23"/>
      <c r="AE106" s="23"/>
      <c r="AF106" s="23"/>
      <c r="AG106" s="23"/>
    </row>
    <row r="107" spans="2:33">
      <c r="B107" s="23"/>
      <c r="C107" s="23"/>
      <c r="D107" s="23"/>
      <c r="E107" s="23"/>
      <c r="F107" s="23"/>
      <c r="G107" s="23"/>
      <c r="H107" s="23"/>
      <c r="I107" s="23"/>
      <c r="J107" s="23"/>
      <c r="K107" s="23"/>
      <c r="L107" s="23"/>
      <c r="M107" s="23"/>
      <c r="N107" s="23"/>
      <c r="O107" s="23"/>
      <c r="P107" s="23"/>
      <c r="Q107" s="23"/>
      <c r="R107" s="23"/>
      <c r="S107" s="23"/>
      <c r="T107" s="23"/>
      <c r="U107" s="23"/>
      <c r="V107" s="23"/>
      <c r="W107" s="23"/>
      <c r="X107" s="23"/>
      <c r="Y107" s="23"/>
      <c r="Z107" s="23"/>
      <c r="AA107" s="23"/>
      <c r="AB107" s="23"/>
      <c r="AC107" s="23"/>
      <c r="AD107" s="23"/>
      <c r="AE107" s="23"/>
      <c r="AF107" s="23"/>
      <c r="AG107" s="23"/>
    </row>
    <row r="108" spans="2:33">
      <c r="B108" s="23"/>
      <c r="C108" s="23"/>
      <c r="D108" s="23"/>
      <c r="E108" s="23"/>
      <c r="F108" s="23"/>
      <c r="G108" s="23"/>
      <c r="H108" s="23"/>
      <c r="I108" s="23"/>
      <c r="J108" s="23"/>
      <c r="K108" s="23"/>
      <c r="L108" s="23"/>
      <c r="M108" s="23"/>
      <c r="N108" s="23"/>
      <c r="O108" s="23"/>
      <c r="P108" s="23"/>
      <c r="Q108" s="23"/>
      <c r="R108" s="23"/>
      <c r="S108" s="23"/>
      <c r="T108" s="23"/>
      <c r="U108" s="23"/>
      <c r="V108" s="23"/>
      <c r="W108" s="23"/>
      <c r="X108" s="23"/>
      <c r="Y108" s="23"/>
      <c r="Z108" s="23"/>
      <c r="AA108" s="23"/>
      <c r="AB108" s="23"/>
      <c r="AC108" s="23"/>
      <c r="AD108" s="23"/>
      <c r="AE108" s="23"/>
      <c r="AF108" s="23"/>
      <c r="AG108" s="23"/>
    </row>
    <row r="109" spans="2:33">
      <c r="B109" s="23"/>
      <c r="C109" s="23"/>
      <c r="D109" s="23"/>
      <c r="E109" s="23"/>
      <c r="F109" s="23"/>
      <c r="G109" s="23"/>
      <c r="H109" s="23"/>
      <c r="I109" s="23"/>
      <c r="J109" s="23"/>
      <c r="K109" s="23"/>
      <c r="L109" s="23"/>
      <c r="M109" s="23"/>
      <c r="N109" s="23"/>
      <c r="O109" s="23"/>
      <c r="P109" s="23"/>
      <c r="Q109" s="23"/>
      <c r="R109" s="23"/>
      <c r="S109" s="23"/>
      <c r="T109" s="23"/>
      <c r="U109" s="23"/>
      <c r="V109" s="23"/>
      <c r="W109" s="23"/>
      <c r="X109" s="23"/>
      <c r="Y109" s="23"/>
      <c r="Z109" s="23"/>
      <c r="AA109" s="23"/>
      <c r="AB109" s="23"/>
      <c r="AC109" s="23"/>
      <c r="AD109" s="23"/>
      <c r="AE109" s="23"/>
      <c r="AF109" s="23"/>
      <c r="AG109" s="23"/>
    </row>
    <row r="110" spans="2:33">
      <c r="B110" s="23"/>
      <c r="C110" s="23"/>
      <c r="D110" s="23"/>
      <c r="E110" s="23"/>
      <c r="F110" s="23"/>
      <c r="G110" s="23"/>
      <c r="H110" s="23"/>
      <c r="I110" s="23"/>
      <c r="J110" s="23"/>
      <c r="K110" s="23"/>
      <c r="L110" s="23"/>
      <c r="M110" s="23"/>
      <c r="N110" s="23"/>
      <c r="O110" s="23"/>
      <c r="P110" s="23"/>
      <c r="Q110" s="23"/>
      <c r="R110" s="23"/>
      <c r="S110" s="23"/>
      <c r="T110" s="23"/>
      <c r="U110" s="23"/>
      <c r="V110" s="23"/>
      <c r="W110" s="23"/>
      <c r="X110" s="23"/>
      <c r="Y110" s="23"/>
      <c r="Z110" s="23"/>
      <c r="AA110" s="23"/>
      <c r="AB110" s="23"/>
      <c r="AC110" s="23"/>
      <c r="AD110" s="23"/>
      <c r="AE110" s="23"/>
      <c r="AF110" s="23"/>
      <c r="AG110" s="23"/>
    </row>
    <row r="111" spans="2:33">
      <c r="B111" s="23"/>
      <c r="C111" s="23"/>
      <c r="D111" s="23"/>
      <c r="E111" s="23"/>
      <c r="F111" s="23"/>
      <c r="G111" s="23"/>
      <c r="H111" s="23"/>
      <c r="I111" s="23"/>
      <c r="J111" s="23"/>
      <c r="K111" s="23"/>
      <c r="L111" s="23"/>
      <c r="M111" s="23"/>
      <c r="N111" s="23"/>
      <c r="O111" s="23"/>
      <c r="P111" s="23"/>
      <c r="Q111" s="23"/>
      <c r="R111" s="23"/>
      <c r="S111" s="23"/>
      <c r="T111" s="23"/>
      <c r="U111" s="23"/>
      <c r="V111" s="23"/>
      <c r="W111" s="23"/>
      <c r="X111" s="23"/>
      <c r="Y111" s="23"/>
      <c r="Z111" s="23"/>
      <c r="AA111" s="23"/>
      <c r="AB111" s="23"/>
      <c r="AC111" s="23"/>
      <c r="AD111" s="23"/>
      <c r="AE111" s="23"/>
      <c r="AF111" s="23"/>
      <c r="AG111" s="23"/>
    </row>
    <row r="112" spans="2:33">
      <c r="B112" s="23"/>
      <c r="C112" s="23"/>
      <c r="D112" s="23"/>
      <c r="E112" s="23"/>
      <c r="F112" s="23"/>
      <c r="G112" s="23"/>
      <c r="H112" s="23"/>
      <c r="I112" s="23"/>
      <c r="J112" s="23"/>
      <c r="K112" s="23"/>
      <c r="L112" s="23"/>
      <c r="M112" s="23"/>
      <c r="N112" s="23"/>
      <c r="O112" s="23"/>
      <c r="P112" s="23"/>
      <c r="Q112" s="23"/>
      <c r="R112" s="23"/>
      <c r="S112" s="23"/>
      <c r="T112" s="23"/>
      <c r="U112" s="23"/>
      <c r="V112" s="23"/>
      <c r="W112" s="23"/>
      <c r="X112" s="23"/>
      <c r="Y112" s="23"/>
      <c r="Z112" s="23"/>
      <c r="AA112" s="23"/>
      <c r="AB112" s="23"/>
      <c r="AC112" s="23"/>
      <c r="AD112" s="23"/>
      <c r="AE112" s="23"/>
      <c r="AF112" s="23"/>
      <c r="AG112" s="23"/>
    </row>
    <row r="113" spans="2:33">
      <c r="B113" s="23"/>
      <c r="C113" s="23"/>
      <c r="D113" s="23"/>
      <c r="E113" s="23"/>
      <c r="F113" s="23"/>
      <c r="G113" s="23"/>
      <c r="H113" s="23"/>
      <c r="I113" s="23"/>
      <c r="J113" s="23"/>
      <c r="K113" s="23"/>
      <c r="L113" s="23"/>
      <c r="M113" s="23"/>
      <c r="N113" s="23"/>
      <c r="O113" s="23"/>
      <c r="P113" s="23"/>
      <c r="Q113" s="23"/>
      <c r="R113" s="23"/>
      <c r="S113" s="23"/>
      <c r="T113" s="23"/>
      <c r="U113" s="23"/>
      <c r="V113" s="23"/>
      <c r="W113" s="23"/>
      <c r="X113" s="23"/>
      <c r="Y113" s="23"/>
      <c r="Z113" s="23"/>
      <c r="AA113" s="23"/>
      <c r="AB113" s="23"/>
      <c r="AC113" s="23"/>
      <c r="AD113" s="23"/>
      <c r="AE113" s="23"/>
      <c r="AF113" s="23"/>
      <c r="AG113" s="23"/>
    </row>
    <row r="114" spans="2:33">
      <c r="B114" s="23"/>
      <c r="C114" s="23"/>
      <c r="D114" s="23"/>
      <c r="E114" s="23"/>
      <c r="F114" s="23"/>
      <c r="G114" s="23"/>
      <c r="H114" s="23"/>
      <c r="I114" s="23"/>
      <c r="J114" s="23"/>
      <c r="K114" s="23"/>
      <c r="L114" s="23"/>
      <c r="M114" s="23"/>
      <c r="N114" s="23"/>
      <c r="O114" s="23"/>
      <c r="P114" s="23"/>
      <c r="Q114" s="23"/>
      <c r="R114" s="23"/>
      <c r="S114" s="23"/>
      <c r="T114" s="23"/>
      <c r="U114" s="23"/>
      <c r="V114" s="23"/>
      <c r="W114" s="23"/>
      <c r="X114" s="23"/>
      <c r="Y114" s="23"/>
      <c r="Z114" s="23"/>
      <c r="AA114" s="23"/>
      <c r="AB114" s="23"/>
      <c r="AC114" s="23"/>
      <c r="AD114" s="23"/>
      <c r="AE114" s="23"/>
      <c r="AF114" s="23"/>
      <c r="AG114" s="23"/>
    </row>
    <row r="115" spans="2:33">
      <c r="B115" s="23"/>
      <c r="C115" s="23"/>
      <c r="D115" s="23"/>
      <c r="E115" s="23"/>
      <c r="F115" s="23"/>
      <c r="G115" s="23"/>
      <c r="H115" s="23"/>
      <c r="I115" s="23"/>
      <c r="J115" s="23"/>
      <c r="K115" s="23"/>
      <c r="L115" s="23"/>
      <c r="M115" s="23"/>
      <c r="N115" s="23"/>
      <c r="O115" s="23"/>
      <c r="P115" s="23"/>
      <c r="Q115" s="23"/>
      <c r="R115" s="23"/>
      <c r="S115" s="23"/>
      <c r="T115" s="23"/>
      <c r="U115" s="23"/>
      <c r="V115" s="23"/>
      <c r="W115" s="23"/>
      <c r="X115" s="23"/>
      <c r="Y115" s="23"/>
      <c r="Z115" s="23"/>
      <c r="AA115" s="23"/>
      <c r="AB115" s="23"/>
      <c r="AC115" s="23"/>
      <c r="AD115" s="23"/>
      <c r="AE115" s="23"/>
      <c r="AF115" s="23"/>
      <c r="AG115" s="23"/>
    </row>
    <row r="116" spans="2:33">
      <c r="B116" s="23"/>
      <c r="C116" s="23"/>
      <c r="D116" s="23"/>
      <c r="E116" s="23"/>
      <c r="F116" s="23"/>
      <c r="G116" s="23"/>
      <c r="H116" s="23"/>
      <c r="I116" s="23"/>
      <c r="J116" s="23"/>
      <c r="K116" s="23"/>
      <c r="L116" s="23"/>
      <c r="M116" s="23"/>
      <c r="N116" s="23"/>
      <c r="O116" s="23"/>
      <c r="P116" s="23"/>
      <c r="Q116" s="23"/>
      <c r="R116" s="23"/>
      <c r="S116" s="23"/>
      <c r="T116" s="23"/>
      <c r="U116" s="23"/>
      <c r="V116" s="23"/>
      <c r="W116" s="23"/>
      <c r="X116" s="23"/>
      <c r="Y116" s="23"/>
      <c r="Z116" s="23"/>
      <c r="AA116" s="23"/>
      <c r="AB116" s="23"/>
      <c r="AC116" s="23"/>
      <c r="AD116" s="23"/>
      <c r="AE116" s="23"/>
      <c r="AF116" s="23"/>
      <c r="AG116" s="23"/>
    </row>
    <row r="117" spans="2:33">
      <c r="B117" s="23"/>
      <c r="C117" s="23"/>
      <c r="D117" s="23"/>
      <c r="E117" s="23"/>
      <c r="F117" s="23"/>
      <c r="G117" s="23"/>
      <c r="H117" s="23"/>
      <c r="I117" s="23"/>
      <c r="J117" s="23"/>
      <c r="K117" s="23"/>
      <c r="L117" s="23"/>
      <c r="M117" s="23"/>
      <c r="N117" s="23"/>
      <c r="O117" s="23"/>
      <c r="P117" s="23"/>
      <c r="Q117" s="23"/>
      <c r="R117" s="23"/>
      <c r="S117" s="23"/>
      <c r="T117" s="23"/>
      <c r="U117" s="23"/>
      <c r="V117" s="23"/>
      <c r="W117" s="23"/>
      <c r="X117" s="23"/>
      <c r="Y117" s="23"/>
      <c r="Z117" s="23"/>
      <c r="AA117" s="23"/>
      <c r="AB117" s="23"/>
      <c r="AC117" s="23"/>
      <c r="AD117" s="23"/>
      <c r="AE117" s="23"/>
      <c r="AF117" s="23"/>
      <c r="AG117" s="23"/>
    </row>
    <row r="118" spans="2:33">
      <c r="B118" s="23"/>
      <c r="C118" s="23"/>
      <c r="D118" s="23"/>
      <c r="E118" s="23"/>
      <c r="F118" s="23"/>
      <c r="G118" s="23"/>
      <c r="H118" s="23"/>
      <c r="I118" s="23"/>
      <c r="J118" s="23"/>
      <c r="K118" s="23"/>
      <c r="L118" s="23"/>
      <c r="M118" s="23"/>
      <c r="N118" s="23"/>
      <c r="O118" s="23"/>
      <c r="P118" s="23"/>
      <c r="Q118" s="23"/>
      <c r="R118" s="23"/>
      <c r="S118" s="23"/>
      <c r="T118" s="23"/>
      <c r="U118" s="23"/>
      <c r="V118" s="23"/>
      <c r="W118" s="23"/>
      <c r="X118" s="23"/>
      <c r="Y118" s="23"/>
      <c r="Z118" s="23"/>
      <c r="AA118" s="23"/>
      <c r="AB118" s="23"/>
      <c r="AC118" s="23"/>
      <c r="AD118" s="23"/>
      <c r="AE118" s="23"/>
      <c r="AF118" s="23"/>
      <c r="AG118" s="23"/>
    </row>
    <row r="119" spans="2:33">
      <c r="B119" s="23"/>
      <c r="C119" s="23"/>
      <c r="D119" s="23"/>
      <c r="E119" s="23"/>
      <c r="F119" s="23"/>
      <c r="G119" s="23"/>
      <c r="H119" s="23"/>
      <c r="I119" s="23"/>
      <c r="J119" s="23"/>
      <c r="K119" s="23"/>
      <c r="L119" s="23"/>
      <c r="M119" s="23"/>
      <c r="N119" s="23"/>
      <c r="O119" s="23"/>
      <c r="P119" s="23"/>
      <c r="Q119" s="23"/>
      <c r="R119" s="23"/>
      <c r="S119" s="23"/>
      <c r="T119" s="23"/>
      <c r="U119" s="23"/>
      <c r="V119" s="23"/>
      <c r="W119" s="23"/>
      <c r="X119" s="23"/>
      <c r="Y119" s="23"/>
      <c r="Z119" s="23"/>
      <c r="AA119" s="23"/>
      <c r="AB119" s="23"/>
      <c r="AC119" s="23"/>
      <c r="AD119" s="23"/>
      <c r="AE119" s="23"/>
      <c r="AF119" s="23"/>
      <c r="AG119" s="23"/>
    </row>
    <row r="120" spans="2:33">
      <c r="B120" s="23"/>
      <c r="C120" s="23"/>
      <c r="D120" s="23"/>
      <c r="E120" s="23"/>
      <c r="F120" s="23"/>
      <c r="G120" s="23"/>
      <c r="H120" s="23"/>
      <c r="I120" s="23"/>
      <c r="J120" s="23"/>
      <c r="K120" s="23"/>
      <c r="L120" s="23"/>
      <c r="M120" s="23"/>
      <c r="N120" s="23"/>
      <c r="O120" s="23"/>
      <c r="P120" s="23"/>
      <c r="Q120" s="23"/>
      <c r="R120" s="23"/>
      <c r="S120" s="23"/>
      <c r="T120" s="23"/>
      <c r="U120" s="23"/>
      <c r="V120" s="23"/>
      <c r="W120" s="23"/>
      <c r="X120" s="23"/>
      <c r="Y120" s="23"/>
      <c r="Z120" s="23"/>
      <c r="AA120" s="23"/>
      <c r="AB120" s="23"/>
      <c r="AC120" s="23"/>
      <c r="AD120" s="23"/>
      <c r="AE120" s="23"/>
      <c r="AF120" s="23"/>
      <c r="AG120" s="23"/>
    </row>
    <row r="121" spans="2:33">
      <c r="B121" s="23"/>
      <c r="C121" s="23"/>
      <c r="D121" s="23"/>
      <c r="E121" s="23"/>
      <c r="F121" s="23"/>
      <c r="G121" s="23"/>
      <c r="H121" s="23"/>
      <c r="I121" s="23"/>
      <c r="J121" s="23"/>
      <c r="K121" s="23"/>
      <c r="L121" s="23"/>
      <c r="M121" s="23"/>
      <c r="N121" s="23"/>
      <c r="O121" s="23"/>
      <c r="P121" s="23"/>
      <c r="Q121" s="23"/>
      <c r="R121" s="23"/>
      <c r="S121" s="23"/>
      <c r="T121" s="23"/>
      <c r="U121" s="23"/>
      <c r="V121" s="23"/>
      <c r="W121" s="23"/>
      <c r="X121" s="23"/>
      <c r="Y121" s="23"/>
      <c r="Z121" s="23"/>
      <c r="AA121" s="23"/>
      <c r="AB121" s="23"/>
      <c r="AC121" s="23"/>
      <c r="AD121" s="23"/>
      <c r="AE121" s="23"/>
      <c r="AF121" s="23"/>
      <c r="AG121" s="23"/>
    </row>
    <row r="122" spans="2:33">
      <c r="B122" s="23"/>
      <c r="C122" s="23"/>
      <c r="D122" s="23"/>
      <c r="E122" s="23"/>
      <c r="F122" s="23"/>
      <c r="G122" s="23"/>
      <c r="H122" s="23"/>
      <c r="I122" s="23"/>
      <c r="J122" s="23"/>
      <c r="K122" s="23"/>
      <c r="L122" s="23"/>
      <c r="M122" s="23"/>
      <c r="N122" s="23"/>
      <c r="O122" s="23"/>
      <c r="P122" s="23"/>
      <c r="Q122" s="23"/>
      <c r="R122" s="23"/>
      <c r="S122" s="23"/>
      <c r="T122" s="23"/>
      <c r="U122" s="23"/>
      <c r="V122" s="23"/>
      <c r="W122" s="23"/>
      <c r="X122" s="23"/>
      <c r="Y122" s="23"/>
      <c r="Z122" s="23"/>
      <c r="AA122" s="23"/>
      <c r="AB122" s="23"/>
      <c r="AC122" s="23"/>
      <c r="AD122" s="23"/>
      <c r="AE122" s="23"/>
      <c r="AF122" s="23"/>
      <c r="AG122" s="23"/>
    </row>
    <row r="123" spans="2:33">
      <c r="B123" s="23"/>
      <c r="C123" s="23"/>
      <c r="D123" s="23"/>
      <c r="E123" s="23"/>
      <c r="F123" s="23"/>
      <c r="G123" s="23"/>
      <c r="H123" s="23"/>
      <c r="I123" s="23"/>
      <c r="J123" s="23"/>
      <c r="K123" s="23"/>
      <c r="L123" s="23"/>
      <c r="M123" s="23"/>
      <c r="N123" s="23"/>
      <c r="O123" s="23"/>
      <c r="P123" s="23"/>
      <c r="Q123" s="23"/>
      <c r="R123" s="23"/>
      <c r="S123" s="23"/>
      <c r="T123" s="23"/>
      <c r="U123" s="23"/>
      <c r="V123" s="23"/>
      <c r="W123" s="23"/>
      <c r="X123" s="23"/>
      <c r="Y123" s="23"/>
      <c r="Z123" s="23"/>
      <c r="AA123" s="23"/>
      <c r="AB123" s="23"/>
      <c r="AC123" s="23"/>
      <c r="AD123" s="23"/>
      <c r="AE123" s="23"/>
      <c r="AF123" s="23"/>
      <c r="AG123" s="23"/>
    </row>
    <row r="124" spans="2:33">
      <c r="B124" s="23"/>
      <c r="C124" s="23"/>
      <c r="D124" s="23"/>
      <c r="E124" s="23"/>
      <c r="F124" s="23"/>
      <c r="G124" s="23"/>
      <c r="H124" s="23"/>
      <c r="I124" s="23"/>
      <c r="J124" s="23"/>
      <c r="K124" s="23"/>
      <c r="L124" s="23"/>
      <c r="M124" s="23"/>
      <c r="N124" s="23"/>
      <c r="O124" s="23"/>
      <c r="P124" s="23"/>
      <c r="Q124" s="23"/>
      <c r="R124" s="23"/>
      <c r="S124" s="23"/>
      <c r="T124" s="23"/>
      <c r="U124" s="23"/>
      <c r="V124" s="23"/>
      <c r="W124" s="23"/>
      <c r="X124" s="23"/>
      <c r="Y124" s="23"/>
      <c r="Z124" s="23"/>
      <c r="AA124" s="23"/>
      <c r="AB124" s="23"/>
      <c r="AC124" s="23"/>
      <c r="AD124" s="23"/>
      <c r="AE124" s="23"/>
      <c r="AF124" s="23"/>
      <c r="AG124" s="23"/>
    </row>
    <row r="125" spans="2:33">
      <c r="B125" s="23"/>
      <c r="C125" s="23"/>
      <c r="D125" s="23"/>
      <c r="E125" s="23"/>
      <c r="F125" s="23"/>
      <c r="G125" s="23"/>
      <c r="H125" s="23"/>
      <c r="I125" s="23"/>
      <c r="J125" s="23"/>
      <c r="K125" s="23"/>
      <c r="L125" s="23"/>
      <c r="M125" s="23"/>
      <c r="N125" s="23"/>
      <c r="O125" s="23"/>
      <c r="P125" s="23"/>
      <c r="Q125" s="23"/>
      <c r="R125" s="23"/>
      <c r="S125" s="23"/>
      <c r="T125" s="23"/>
      <c r="U125" s="23"/>
      <c r="V125" s="23"/>
      <c r="W125" s="23"/>
      <c r="X125" s="23"/>
      <c r="Y125" s="23"/>
      <c r="Z125" s="23"/>
      <c r="AA125" s="23"/>
      <c r="AB125" s="23"/>
      <c r="AC125" s="23"/>
      <c r="AD125" s="23"/>
      <c r="AE125" s="23"/>
      <c r="AF125" s="23"/>
      <c r="AG125" s="23"/>
    </row>
  </sheetData>
  <sheetProtection password="DE0E" sheet="1" objects="1" scenarios="1" formatColumns="0"/>
  <mergeCells count="3">
    <mergeCell ref="O2:P2"/>
    <mergeCell ref="S2:T2"/>
    <mergeCell ref="B2:M2"/>
  </mergeCells>
  <phoneticPr fontId="6" type="noConversion"/>
  <conditionalFormatting sqref="E15:E34 G15:G34 I15:I34 K15:K34 M15:M34 O15:O34 Q15:Q34 S15:S34 U15:U34 W15:W34 Y15:Y34 AA15:AA34 AC15:AC34">
    <cfRule type="expression" dxfId="19" priority="152">
      <formula>$AF15&lt;=D$82</formula>
    </cfRule>
  </conditionalFormatting>
  <conditionalFormatting sqref="E35:E54 G35:G54 I35:I54 K35:K54">
    <cfRule type="expression" dxfId="18" priority="165">
      <formula>$AF35&gt;=D$82</formula>
    </cfRule>
  </conditionalFormatting>
  <conditionalFormatting sqref="E36:E54 I36:I54">
    <cfRule type="expression" dxfId="17" priority="169">
      <formula>$AF36&gt;$D$82</formula>
    </cfRule>
  </conditionalFormatting>
  <conditionalFormatting sqref="E36:E54 I35:I54">
    <cfRule type="expression" dxfId="16" priority="171">
      <formula>$AF35&gt;=$D$82</formula>
    </cfRule>
  </conditionalFormatting>
  <conditionalFormatting sqref="M35:M54">
    <cfRule type="expression" dxfId="15" priority="173" stopIfTrue="1">
      <formula>$AF35&gt;=$L$82</formula>
    </cfRule>
  </conditionalFormatting>
  <conditionalFormatting sqref="O35:O54">
    <cfRule type="expression" dxfId="14" priority="174" stopIfTrue="1">
      <formula>$AF35&gt;=$N$82</formula>
    </cfRule>
  </conditionalFormatting>
  <conditionalFormatting sqref="Q35:Q54">
    <cfRule type="expression" dxfId="13" priority="175" stopIfTrue="1">
      <formula>$AF35&gt;=$P$82</formula>
    </cfRule>
  </conditionalFormatting>
  <conditionalFormatting sqref="AA35:AA54 Y35:Y54 W35:W54 U35:U54 S35:S54 AC35:AC54">
    <cfRule type="expression" dxfId="12" priority="176" stopIfTrue="1">
      <formula>$AF35&gt;=R$82</formula>
    </cfRule>
  </conditionalFormatting>
  <conditionalFormatting sqref="U15:U34 S15:S34">
    <cfRule type="expression" dxfId="11" priority="182">
      <formula>$AF15&lt;=J$82</formula>
    </cfRule>
  </conditionalFormatting>
  <conditionalFormatting sqref="B4:AB12">
    <cfRule type="expression" dxfId="10" priority="1" stopIfTrue="1">
      <formula>$AK$3&gt;12</formula>
    </cfRule>
  </conditionalFormatting>
  <dataValidations xWindow="1271" yWindow="357" count="4">
    <dataValidation allowBlank="1" showInputMessage="1" showErrorMessage="1" promptTitle="Discount Rate" prompt="This is &quot; i &quot;, the periodic interest rate, that results in the discounted inflows equalling the discounted outflows" sqref="F9:AB9" xr:uid="{00000000-0002-0000-0500-000000000000}"/>
    <dataValidation allowBlank="1" showInputMessage="1" showErrorMessage="1" promptTitle="Discount Factor" prompt="This is the discount factor, or 1 / (1+i)^n, calculating how much the future amount loses in value." sqref="D8:AB8" xr:uid="{00000000-0002-0000-0500-000001000000}"/>
    <dataValidation allowBlank="1" showInputMessage="1" showErrorMessage="1" promptTitle="Discounted values" prompt=" The &quot;nominal&quot; cashflow figures are discounted to their present value by dividing the nominal amounts by the discount factor.  The sum of the discounted inflows is equal to the discounted outflows." sqref="D11:AB12" xr:uid="{00000000-0002-0000-0500-000002000000}"/>
    <dataValidation allowBlank="1" showInputMessage="1" showErrorMessage="1" promptTitle="Nominal Cashflow" prompt="These are the cashflow figures from the RepSched-Advanced sheet" sqref="C6 D4:AB6" xr:uid="{00000000-0002-0000-0500-000003000000}"/>
  </dataValidations>
  <pageMargins left="0.7" right="0.7"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odelSchedule">
    <tabColor theme="5" tint="0.39997558519241921"/>
  </sheetPr>
  <dimension ref="A1:AA213"/>
  <sheetViews>
    <sheetView zoomScale="80" zoomScaleNormal="80" zoomScalePageLayoutView="80" workbookViewId="0">
      <pane xSplit="2" ySplit="14" topLeftCell="C15" activePane="bottomRight" state="frozen"/>
      <selection pane="topRight" activeCell="C1" sqref="C1"/>
      <selection pane="bottomLeft" activeCell="A15" sqref="A15"/>
      <selection pane="bottomRight"/>
    </sheetView>
  </sheetViews>
  <sheetFormatPr baseColWidth="10" defaultColWidth="9.19921875" defaultRowHeight="12"/>
  <cols>
    <col min="1" max="1" width="6.3984375" style="607" customWidth="1"/>
    <col min="2" max="2" width="11.3984375" style="607" customWidth="1"/>
    <col min="3" max="3" width="14" style="607" customWidth="1"/>
    <col min="4" max="4" width="13" style="607" customWidth="1"/>
    <col min="5" max="5" width="12" style="607" customWidth="1"/>
    <col min="6" max="6" width="13.3984375" style="607" customWidth="1"/>
    <col min="7" max="7" width="10.3984375" style="607" customWidth="1"/>
    <col min="8" max="8" width="11.3984375" style="607" customWidth="1"/>
    <col min="9" max="9" width="10.19921875" style="607" customWidth="1"/>
    <col min="10" max="10" width="13" style="607" customWidth="1"/>
    <col min="11" max="11" width="13.3984375" style="607" customWidth="1"/>
    <col min="12" max="12" width="15.3984375" style="607" customWidth="1"/>
    <col min="13" max="13" width="13.19921875" style="607" customWidth="1"/>
    <col min="14" max="14" width="13.796875" style="607" customWidth="1"/>
    <col min="15" max="15" width="28.3984375" style="607" customWidth="1"/>
    <col min="16" max="16" width="135.796875" style="607" customWidth="1"/>
    <col min="17" max="17" width="15.3984375" style="607" customWidth="1"/>
    <col min="18" max="18" width="13.3984375" style="607" customWidth="1"/>
    <col min="19" max="20" width="9.19921875" style="607"/>
    <col min="21" max="21" width="14.796875" style="607" customWidth="1"/>
    <col min="22" max="16384" width="9.19921875" style="607"/>
  </cols>
  <sheetData>
    <row r="1" spans="1:27" ht="21.75" customHeight="1" thickBot="1">
      <c r="B1" s="702" t="s">
        <v>21</v>
      </c>
      <c r="F1" s="786" t="s">
        <v>764</v>
      </c>
      <c r="K1" s="1034" t="s">
        <v>830</v>
      </c>
      <c r="L1" s="1035"/>
      <c r="M1" s="714" t="e">
        <f>'Pricing - Advanced'!J20</f>
        <v>#NUM!</v>
      </c>
      <c r="N1" s="1028" t="e">
        <f>"Note: The APR indicates the cost for you to borrow "&amp;CurrSymbol&amp;"1.00 for one year.  In this case, it would cost you "&amp;TEXT(M1*100,"00.0")&amp;" cents to borrow "&amp;CurrSymbol&amp;"1.00 and keep the entire "&amp;CurrSymbol&amp;"1.00 for one full year.  The APR is an essential figure for you to compare the true cost of different loans."</f>
        <v>#NUM!</v>
      </c>
      <c r="O1" s="1029"/>
    </row>
    <row r="2" spans="1:27" ht="5.25" customHeight="1" thickBot="1">
      <c r="N2" s="1030"/>
      <c r="O2" s="1031"/>
    </row>
    <row r="3" spans="1:27" ht="22" thickBot="1">
      <c r="A3" s="1041" t="s">
        <v>824</v>
      </c>
      <c r="B3" s="1042"/>
      <c r="C3" s="1038"/>
      <c r="D3" s="1039"/>
      <c r="E3" s="608"/>
      <c r="F3" s="682" t="s">
        <v>766</v>
      </c>
      <c r="G3" s="1022"/>
      <c r="H3" s="1022"/>
      <c r="I3" s="1022"/>
      <c r="K3" s="1024" t="s">
        <v>827</v>
      </c>
      <c r="L3" s="1025"/>
      <c r="M3" s="733">
        <f>F198</f>
        <v>0</v>
      </c>
      <c r="N3" s="1030"/>
      <c r="O3" s="1031"/>
    </row>
    <row r="4" spans="1:27" ht="16" thickBot="1">
      <c r="A4"/>
      <c r="B4"/>
      <c r="C4"/>
      <c r="D4"/>
      <c r="E4" s="608"/>
      <c r="F4" s="682" t="s">
        <v>765</v>
      </c>
      <c r="G4" s="1022"/>
      <c r="H4" s="1022"/>
      <c r="I4" s="1022"/>
      <c r="K4" s="1024" t="s">
        <v>768</v>
      </c>
      <c r="L4" s="1025"/>
      <c r="M4" s="733">
        <f>G198</f>
        <v>0</v>
      </c>
      <c r="N4" s="1030"/>
      <c r="O4" s="1031"/>
    </row>
    <row r="5" spans="1:27" ht="15">
      <c r="A5" s="1036" t="s">
        <v>765</v>
      </c>
      <c r="B5" s="1037"/>
      <c r="C5" s="1047"/>
      <c r="D5" s="1048"/>
      <c r="E5" s="608"/>
      <c r="F5" s="682" t="s">
        <v>767</v>
      </c>
      <c r="G5" s="1023"/>
      <c r="H5" s="1023"/>
      <c r="I5" s="1023"/>
      <c r="K5" s="1024" t="s">
        <v>828</v>
      </c>
      <c r="L5" s="1025"/>
      <c r="M5" s="733">
        <f>H198</f>
        <v>0</v>
      </c>
      <c r="N5" s="1030"/>
      <c r="O5" s="1031"/>
    </row>
    <row r="6" spans="1:27" ht="15">
      <c r="A6" s="1036" t="s">
        <v>767</v>
      </c>
      <c r="B6" s="1037"/>
      <c r="C6" s="1023"/>
      <c r="D6" s="1040"/>
      <c r="E6" s="608"/>
      <c r="F6" s="682" t="s">
        <v>825</v>
      </c>
      <c r="G6" s="1023"/>
      <c r="H6" s="1023"/>
      <c r="I6" s="1023"/>
      <c r="K6" s="1024" t="s">
        <v>829</v>
      </c>
      <c r="L6" s="1025"/>
      <c r="M6" s="733">
        <f>I198</f>
        <v>0</v>
      </c>
      <c r="N6" s="1030"/>
      <c r="O6" s="1031"/>
    </row>
    <row r="7" spans="1:27" ht="20" thickBot="1">
      <c r="A7" s="1036" t="s">
        <v>770</v>
      </c>
      <c r="B7" s="1037"/>
      <c r="C7" s="1049"/>
      <c r="D7" s="1050"/>
      <c r="E7" s="608"/>
      <c r="K7" s="1026" t="s">
        <v>769</v>
      </c>
      <c r="L7" s="1027"/>
      <c r="M7" s="734">
        <f>SUM(M3:M6)</f>
        <v>0</v>
      </c>
      <c r="N7" s="1032"/>
      <c r="O7" s="1033"/>
    </row>
    <row r="8" spans="1:27" ht="16" thickBot="1">
      <c r="A8" s="1036" t="s">
        <v>826</v>
      </c>
      <c r="B8" s="1037"/>
      <c r="C8" s="1051"/>
      <c r="D8" s="1052"/>
      <c r="E8" s="608"/>
      <c r="F8" s="1036" t="s">
        <v>259</v>
      </c>
      <c r="G8" s="1037"/>
      <c r="H8" s="787">
        <f>cost_1</f>
        <v>0</v>
      </c>
      <c r="K8" s="1024" t="s">
        <v>785</v>
      </c>
      <c r="L8" s="1025"/>
      <c r="M8" s="717">
        <f>S11/365*12</f>
        <v>1.0191780821917809</v>
      </c>
      <c r="N8" s="608"/>
    </row>
    <row r="9" spans="1:27" ht="16" thickBot="1">
      <c r="E9" s="608"/>
      <c r="F9" s="1036" t="s">
        <v>791</v>
      </c>
      <c r="G9" s="1037"/>
      <c r="H9" s="716">
        <f>B15</f>
        <v>40343</v>
      </c>
      <c r="K9" s="1024" t="s">
        <v>786</v>
      </c>
      <c r="L9" s="1025"/>
      <c r="M9" s="693">
        <f>M7/M8</f>
        <v>0</v>
      </c>
      <c r="N9" s="1018" t="s">
        <v>839</v>
      </c>
      <c r="O9" s="1019"/>
    </row>
    <row r="10" spans="1:27" ht="20" thickBot="1">
      <c r="B10" s="683" t="s">
        <v>823</v>
      </c>
      <c r="C10" s="1045"/>
      <c r="D10" s="1046"/>
      <c r="E10" s="608"/>
      <c r="F10" s="1036" t="s">
        <v>790</v>
      </c>
      <c r="G10" s="1037"/>
      <c r="H10" s="716">
        <f>INDEX(B15:E198,MATCH(0,E15:E198,0),1)</f>
        <v>40373</v>
      </c>
      <c r="I10" s="785" t="str">
        <f>TEXT(H10-H9,"0")&amp;" Days"</f>
        <v>30 Days</v>
      </c>
      <c r="K10" s="1024" t="s">
        <v>840</v>
      </c>
      <c r="L10" s="1025"/>
      <c r="M10" s="693">
        <f>R201</f>
        <v>9.6774193548387094E-5</v>
      </c>
      <c r="N10" s="1020"/>
      <c r="O10" s="1021"/>
    </row>
    <row r="11" spans="1:27">
      <c r="E11" s="608"/>
      <c r="N11" s="608"/>
      <c r="R11" s="607" t="s">
        <v>792</v>
      </c>
      <c r="S11" s="607">
        <f>H10-H9+1</f>
        <v>31</v>
      </c>
      <c r="T11" s="607" t="s">
        <v>139</v>
      </c>
    </row>
    <row r="12" spans="1:27" ht="7.5" customHeight="1">
      <c r="AA12" s="608"/>
    </row>
    <row r="13" spans="1:27" ht="20" thickBot="1">
      <c r="A13" s="609"/>
      <c r="B13" s="610"/>
      <c r="C13" s="1043" t="s">
        <v>787</v>
      </c>
      <c r="D13" s="1043"/>
      <c r="E13" s="1043"/>
      <c r="F13" s="1044" t="s">
        <v>771</v>
      </c>
      <c r="G13" s="1044"/>
      <c r="H13" s="1044"/>
      <c r="I13" s="1044"/>
      <c r="J13" s="1043" t="s">
        <v>798</v>
      </c>
      <c r="K13" s="1043"/>
      <c r="L13" s="1043"/>
      <c r="M13" s="1043"/>
      <c r="N13" s="690"/>
      <c r="T13" s="1017" t="s">
        <v>1110</v>
      </c>
      <c r="U13" s="1017"/>
    </row>
    <row r="14" spans="1:27" s="619" customFormat="1" ht="50.25" customHeight="1" thickBot="1">
      <c r="A14" s="611" t="s">
        <v>180</v>
      </c>
      <c r="B14" s="612" t="s">
        <v>124</v>
      </c>
      <c r="C14" s="613" t="s">
        <v>772</v>
      </c>
      <c r="D14" s="719" t="s">
        <v>774</v>
      </c>
      <c r="E14" s="645" t="s">
        <v>773</v>
      </c>
      <c r="F14" s="614" t="s">
        <v>775</v>
      </c>
      <c r="G14" s="615" t="s">
        <v>776</v>
      </c>
      <c r="H14" s="691" t="s">
        <v>777</v>
      </c>
      <c r="I14" s="616" t="s">
        <v>649</v>
      </c>
      <c r="J14" s="617" t="s">
        <v>727</v>
      </c>
      <c r="K14" s="617" t="s">
        <v>788</v>
      </c>
      <c r="L14" s="617" t="s">
        <v>789</v>
      </c>
      <c r="M14" s="646" t="s">
        <v>778</v>
      </c>
      <c r="N14" s="636" t="s">
        <v>799</v>
      </c>
      <c r="O14" s="618" t="s">
        <v>779</v>
      </c>
      <c r="R14" s="619" t="s">
        <v>841</v>
      </c>
      <c r="T14" s="619" t="s">
        <v>780</v>
      </c>
      <c r="U14" s="619" t="s">
        <v>781</v>
      </c>
      <c r="X14" s="619" t="s">
        <v>32</v>
      </c>
    </row>
    <row r="15" spans="1:27" ht="16" thickTop="1">
      <c r="A15" s="620">
        <v>0</v>
      </c>
      <c r="B15" s="621">
        <f>'Rep Schedule - Advanced'!E6</f>
        <v>40343</v>
      </c>
      <c r="C15" s="769">
        <f>'Rep Schedule - Advanced'!G6</f>
        <v>1E-4</v>
      </c>
      <c r="D15" s="770">
        <f>'Rep Schedule - Advanced'!H6</f>
        <v>0</v>
      </c>
      <c r="E15" s="644">
        <f>'Rep Schedule - Advanced'!J6</f>
        <v>1E-4</v>
      </c>
      <c r="F15" s="771">
        <f>'Rep Schedule - Advanced'!K6</f>
        <v>0</v>
      </c>
      <c r="G15" s="770">
        <f>'Rep Schedule - Advanced'!N6</f>
        <v>0</v>
      </c>
      <c r="H15" s="772">
        <f>'Rep Schedule - Advanced'!R6</f>
        <v>0</v>
      </c>
      <c r="I15" s="773">
        <f>'Rep Schedule - Advanced'!U6</f>
        <v>0</v>
      </c>
      <c r="J15" s="774">
        <f>'Rep Schedule - Advanced'!X6</f>
        <v>0</v>
      </c>
      <c r="K15" s="774">
        <f>'Rep Schedule - Advanced'!Y6</f>
        <v>0</v>
      </c>
      <c r="L15" s="774">
        <f>'Rep Schedule - Advanced'!Z6</f>
        <v>0</v>
      </c>
      <c r="M15" s="775">
        <f>'Rep Schedule - Advanced'!AB6</f>
        <v>0</v>
      </c>
      <c r="N15" s="701">
        <f>D15+F15+G15+H15+I15+J15-L15</f>
        <v>0</v>
      </c>
      <c r="O15" s="788" t="s">
        <v>772</v>
      </c>
      <c r="T15" s="622">
        <f>C15-D15-SUM(F15:I15)</f>
        <v>1E-4</v>
      </c>
      <c r="U15" s="623">
        <f>T15-J15+L15</f>
        <v>1E-4</v>
      </c>
      <c r="X15" s="715" t="str">
        <f>'Rep Schedule - Advanced'!AN6</f>
        <v>x</v>
      </c>
    </row>
    <row r="16" spans="1:27" ht="15">
      <c r="A16" s="624">
        <v>1</v>
      </c>
      <c r="B16" s="621">
        <f>'Rep Schedule - Advanced'!E7</f>
        <v>40373</v>
      </c>
      <c r="C16" s="769">
        <f>'Rep Schedule - Advanced'!G7</f>
        <v>0</v>
      </c>
      <c r="D16" s="770">
        <f>'Rep Schedule - Advanced'!H7</f>
        <v>0</v>
      </c>
      <c r="E16" s="644">
        <f>'Rep Schedule - Advanced'!J7</f>
        <v>0</v>
      </c>
      <c r="F16" s="771">
        <f>'Rep Schedule - Advanced'!K7</f>
        <v>0</v>
      </c>
      <c r="G16" s="770">
        <f>'Rep Schedule - Advanced'!N7</f>
        <v>0</v>
      </c>
      <c r="H16" s="772">
        <f>'Rep Schedule - Advanced'!R7</f>
        <v>0</v>
      </c>
      <c r="I16" s="773">
        <f>'Rep Schedule - Advanced'!U7</f>
        <v>0</v>
      </c>
      <c r="J16" s="774">
        <f>'Rep Schedule - Advanced'!X7</f>
        <v>0</v>
      </c>
      <c r="K16" s="774">
        <f>'Rep Schedule - Advanced'!Y7</f>
        <v>0</v>
      </c>
      <c r="L16" s="774">
        <f>'Rep Schedule - Advanced'!Z7</f>
        <v>0</v>
      </c>
      <c r="M16" s="775">
        <f>'Rep Schedule - Advanced'!AB7</f>
        <v>0</v>
      </c>
      <c r="N16" s="701">
        <f>D16+F16+G16+H16+I16+J16-L16</f>
        <v>0</v>
      </c>
      <c r="O16" s="789" t="str">
        <f>"Annuity "&amp;A16</f>
        <v>Annuity 1</v>
      </c>
      <c r="R16" s="607">
        <f>(B16-B15)*E15</f>
        <v>3.0000000000000001E-3</v>
      </c>
      <c r="T16" s="622">
        <f t="shared" ref="T16:T79" si="0">C16-D16-SUM(F16:I16)</f>
        <v>0</v>
      </c>
      <c r="U16" s="623">
        <f t="shared" ref="U16:U79" si="1">T16-J16+L16</f>
        <v>0</v>
      </c>
      <c r="X16" s="715" t="str">
        <f>'Rep Schedule - Advanced'!AN7</f>
        <v>x</v>
      </c>
    </row>
    <row r="17" spans="1:24" ht="15">
      <c r="A17" s="624">
        <f>A16+1</f>
        <v>2</v>
      </c>
      <c r="B17" s="621">
        <f>'Rep Schedule - Advanced'!E8</f>
        <v>40404</v>
      </c>
      <c r="C17" s="769">
        <f>'Rep Schedule - Advanced'!G8</f>
        <v>0</v>
      </c>
      <c r="D17" s="770">
        <f>'Rep Schedule - Advanced'!H8</f>
        <v>0</v>
      </c>
      <c r="E17" s="644">
        <f>'Rep Schedule - Advanced'!J8</f>
        <v>0</v>
      </c>
      <c r="F17" s="771">
        <f>'Rep Schedule - Advanced'!K8</f>
        <v>0</v>
      </c>
      <c r="G17" s="770">
        <f>'Rep Schedule - Advanced'!N8</f>
        <v>0</v>
      </c>
      <c r="H17" s="772">
        <f>'Rep Schedule - Advanced'!R8</f>
        <v>0</v>
      </c>
      <c r="I17" s="773">
        <f>'Rep Schedule - Advanced'!U8</f>
        <v>0</v>
      </c>
      <c r="J17" s="774">
        <f>'Rep Schedule - Advanced'!X8</f>
        <v>0</v>
      </c>
      <c r="K17" s="774">
        <f>'Rep Schedule - Advanced'!Y8</f>
        <v>0</v>
      </c>
      <c r="L17" s="774">
        <f>'Rep Schedule - Advanced'!Z8</f>
        <v>0</v>
      </c>
      <c r="M17" s="775">
        <f>'Rep Schedule - Advanced'!AB8</f>
        <v>0</v>
      </c>
      <c r="N17" s="701">
        <f t="shared" ref="N17:N80" si="2">D17+F17+G17+H17+I17+J17-L17</f>
        <v>0</v>
      </c>
      <c r="O17" s="789" t="str">
        <f t="shared" ref="O17:O80" si="3">"Annuity "&amp;A17</f>
        <v>Annuity 2</v>
      </c>
      <c r="R17" s="607">
        <f>(B17-B16)*E16</f>
        <v>0</v>
      </c>
      <c r="T17" s="622">
        <f t="shared" si="0"/>
        <v>0</v>
      </c>
      <c r="U17" s="623">
        <f t="shared" si="1"/>
        <v>0</v>
      </c>
      <c r="X17" s="715" t="b">
        <f>'Rep Schedule - Advanced'!AN8</f>
        <v>1</v>
      </c>
    </row>
    <row r="18" spans="1:24" ht="15">
      <c r="A18" s="624">
        <f t="shared" ref="A18:A81" si="4">A17+1</f>
        <v>3</v>
      </c>
      <c r="B18" s="621">
        <f>'Rep Schedule - Advanced'!E9</f>
        <v>40435</v>
      </c>
      <c r="C18" s="769">
        <f>'Rep Schedule - Advanced'!G9</f>
        <v>0</v>
      </c>
      <c r="D18" s="770">
        <f>'Rep Schedule - Advanced'!H9</f>
        <v>0</v>
      </c>
      <c r="E18" s="644">
        <f>'Rep Schedule - Advanced'!J9</f>
        <v>0</v>
      </c>
      <c r="F18" s="771">
        <f>'Rep Schedule - Advanced'!K9</f>
        <v>0</v>
      </c>
      <c r="G18" s="770">
        <f>'Rep Schedule - Advanced'!N9</f>
        <v>0</v>
      </c>
      <c r="H18" s="772">
        <f>'Rep Schedule - Advanced'!R9</f>
        <v>0</v>
      </c>
      <c r="I18" s="773">
        <f>'Rep Schedule - Advanced'!U9</f>
        <v>0</v>
      </c>
      <c r="J18" s="774">
        <f>'Rep Schedule - Advanced'!X9</f>
        <v>0</v>
      </c>
      <c r="K18" s="774">
        <f>'Rep Schedule - Advanced'!Y9</f>
        <v>0</v>
      </c>
      <c r="L18" s="774">
        <f>'Rep Schedule - Advanced'!Z9</f>
        <v>0</v>
      </c>
      <c r="M18" s="775">
        <f>'Rep Schedule - Advanced'!AB9</f>
        <v>0</v>
      </c>
      <c r="N18" s="701">
        <f t="shared" si="2"/>
        <v>0</v>
      </c>
      <c r="O18" s="789" t="str">
        <f t="shared" si="3"/>
        <v>Annuity 3</v>
      </c>
      <c r="R18" s="607">
        <f>(B18-B17)*E17</f>
        <v>0</v>
      </c>
      <c r="T18" s="622">
        <f t="shared" si="0"/>
        <v>0</v>
      </c>
      <c r="U18" s="623">
        <f t="shared" si="1"/>
        <v>0</v>
      </c>
      <c r="X18" s="715" t="b">
        <f>'Rep Schedule - Advanced'!AN9</f>
        <v>1</v>
      </c>
    </row>
    <row r="19" spans="1:24" ht="15">
      <c r="A19" s="624">
        <f t="shared" si="4"/>
        <v>4</v>
      </c>
      <c r="B19" s="621">
        <f>'Rep Schedule - Advanced'!E10</f>
        <v>40465</v>
      </c>
      <c r="C19" s="769">
        <f>'Rep Schedule - Advanced'!G10</f>
        <v>0</v>
      </c>
      <c r="D19" s="770">
        <f>'Rep Schedule - Advanced'!H10</f>
        <v>0</v>
      </c>
      <c r="E19" s="644">
        <f>'Rep Schedule - Advanced'!J10</f>
        <v>0</v>
      </c>
      <c r="F19" s="771">
        <f>'Rep Schedule - Advanced'!K10</f>
        <v>0</v>
      </c>
      <c r="G19" s="770">
        <f>'Rep Schedule - Advanced'!N10</f>
        <v>0</v>
      </c>
      <c r="H19" s="772">
        <f>'Rep Schedule - Advanced'!R10</f>
        <v>0</v>
      </c>
      <c r="I19" s="773">
        <f>'Rep Schedule - Advanced'!U10</f>
        <v>0</v>
      </c>
      <c r="J19" s="774">
        <f>'Rep Schedule - Advanced'!X10</f>
        <v>0</v>
      </c>
      <c r="K19" s="774">
        <f>'Rep Schedule - Advanced'!Y10</f>
        <v>0</v>
      </c>
      <c r="L19" s="774">
        <f>'Rep Schedule - Advanced'!Z10</f>
        <v>0</v>
      </c>
      <c r="M19" s="775">
        <f>'Rep Schedule - Advanced'!AB10</f>
        <v>0</v>
      </c>
      <c r="N19" s="701">
        <f t="shared" si="2"/>
        <v>0</v>
      </c>
      <c r="O19" s="789" t="str">
        <f t="shared" si="3"/>
        <v>Annuity 4</v>
      </c>
      <c r="R19" s="607">
        <f t="shared" ref="R19:R39" si="5">(B19-B18)*E18</f>
        <v>0</v>
      </c>
      <c r="T19" s="622">
        <f t="shared" si="0"/>
        <v>0</v>
      </c>
      <c r="U19" s="623">
        <f t="shared" si="1"/>
        <v>0</v>
      </c>
      <c r="X19" s="715" t="b">
        <f>'Rep Schedule - Advanced'!AN10</f>
        <v>1</v>
      </c>
    </row>
    <row r="20" spans="1:24" ht="15">
      <c r="A20" s="624">
        <f t="shared" si="4"/>
        <v>5</v>
      </c>
      <c r="B20" s="621">
        <f>'Rep Schedule - Advanced'!E11</f>
        <v>40496</v>
      </c>
      <c r="C20" s="769">
        <f>'Rep Schedule - Advanced'!G11</f>
        <v>0</v>
      </c>
      <c r="D20" s="770">
        <f>'Rep Schedule - Advanced'!H11</f>
        <v>0</v>
      </c>
      <c r="E20" s="644">
        <f>'Rep Schedule - Advanced'!J11</f>
        <v>0</v>
      </c>
      <c r="F20" s="771">
        <f>'Rep Schedule - Advanced'!K11</f>
        <v>0</v>
      </c>
      <c r="G20" s="770">
        <f>'Rep Schedule - Advanced'!N11</f>
        <v>0</v>
      </c>
      <c r="H20" s="772">
        <f>'Rep Schedule - Advanced'!R11</f>
        <v>0</v>
      </c>
      <c r="I20" s="773">
        <f>'Rep Schedule - Advanced'!U11</f>
        <v>0</v>
      </c>
      <c r="J20" s="774">
        <f>'Rep Schedule - Advanced'!X11</f>
        <v>0</v>
      </c>
      <c r="K20" s="774">
        <f>'Rep Schedule - Advanced'!Y11</f>
        <v>0</v>
      </c>
      <c r="L20" s="774">
        <f>'Rep Schedule - Advanced'!Z11</f>
        <v>0</v>
      </c>
      <c r="M20" s="775">
        <f>'Rep Schedule - Advanced'!AB11</f>
        <v>0</v>
      </c>
      <c r="N20" s="701">
        <f t="shared" si="2"/>
        <v>0</v>
      </c>
      <c r="O20" s="789" t="str">
        <f t="shared" si="3"/>
        <v>Annuity 5</v>
      </c>
      <c r="R20" s="607">
        <f t="shared" si="5"/>
        <v>0</v>
      </c>
      <c r="T20" s="622">
        <f t="shared" si="0"/>
        <v>0</v>
      </c>
      <c r="U20" s="623">
        <f t="shared" si="1"/>
        <v>0</v>
      </c>
      <c r="X20" s="715" t="b">
        <f>'Rep Schedule - Advanced'!AN11</f>
        <v>1</v>
      </c>
    </row>
    <row r="21" spans="1:24" ht="15">
      <c r="A21" s="624">
        <f t="shared" si="4"/>
        <v>6</v>
      </c>
      <c r="B21" s="621">
        <f>'Rep Schedule - Advanced'!E12</f>
        <v>40526</v>
      </c>
      <c r="C21" s="769">
        <f>'Rep Schedule - Advanced'!G12</f>
        <v>0</v>
      </c>
      <c r="D21" s="770">
        <f>'Rep Schedule - Advanced'!H12</f>
        <v>0</v>
      </c>
      <c r="E21" s="644">
        <f>'Rep Schedule - Advanced'!J12</f>
        <v>0</v>
      </c>
      <c r="F21" s="771">
        <f>'Rep Schedule - Advanced'!K12</f>
        <v>0</v>
      </c>
      <c r="G21" s="770">
        <f>'Rep Schedule - Advanced'!N12</f>
        <v>0</v>
      </c>
      <c r="H21" s="772">
        <f>'Rep Schedule - Advanced'!R12</f>
        <v>0</v>
      </c>
      <c r="I21" s="773">
        <f>'Rep Schedule - Advanced'!U12</f>
        <v>0</v>
      </c>
      <c r="J21" s="774">
        <f>'Rep Schedule - Advanced'!X12</f>
        <v>0</v>
      </c>
      <c r="K21" s="774">
        <f>'Rep Schedule - Advanced'!Y12</f>
        <v>0</v>
      </c>
      <c r="L21" s="774">
        <f>'Rep Schedule - Advanced'!Z12</f>
        <v>0</v>
      </c>
      <c r="M21" s="775">
        <f>'Rep Schedule - Advanced'!AB12</f>
        <v>0</v>
      </c>
      <c r="N21" s="701">
        <f t="shared" si="2"/>
        <v>0</v>
      </c>
      <c r="O21" s="789" t="str">
        <f t="shared" si="3"/>
        <v>Annuity 6</v>
      </c>
      <c r="R21" s="607">
        <f t="shared" si="5"/>
        <v>0</v>
      </c>
      <c r="T21" s="622">
        <f t="shared" si="0"/>
        <v>0</v>
      </c>
      <c r="U21" s="623">
        <f t="shared" si="1"/>
        <v>0</v>
      </c>
      <c r="X21" s="715" t="b">
        <f>'Rep Schedule - Advanced'!AN12</f>
        <v>1</v>
      </c>
    </row>
    <row r="22" spans="1:24" ht="15">
      <c r="A22" s="624">
        <f t="shared" si="4"/>
        <v>7</v>
      </c>
      <c r="B22" s="621">
        <f>'Rep Schedule - Advanced'!E13</f>
        <v>40557</v>
      </c>
      <c r="C22" s="769">
        <f>'Rep Schedule - Advanced'!G13</f>
        <v>0</v>
      </c>
      <c r="D22" s="770">
        <f>'Rep Schedule - Advanced'!H13</f>
        <v>0</v>
      </c>
      <c r="E22" s="644">
        <f>'Rep Schedule - Advanced'!J13</f>
        <v>0</v>
      </c>
      <c r="F22" s="771">
        <f>'Rep Schedule - Advanced'!K13</f>
        <v>0</v>
      </c>
      <c r="G22" s="770">
        <f>'Rep Schedule - Advanced'!N13</f>
        <v>0</v>
      </c>
      <c r="H22" s="772">
        <f>'Rep Schedule - Advanced'!R13</f>
        <v>0</v>
      </c>
      <c r="I22" s="773">
        <f>'Rep Schedule - Advanced'!U13</f>
        <v>0</v>
      </c>
      <c r="J22" s="774">
        <f>'Rep Schedule - Advanced'!X13</f>
        <v>0</v>
      </c>
      <c r="K22" s="774">
        <f>'Rep Schedule - Advanced'!Y13</f>
        <v>0</v>
      </c>
      <c r="L22" s="774">
        <f>'Rep Schedule - Advanced'!Z13</f>
        <v>0</v>
      </c>
      <c r="M22" s="775">
        <f>'Rep Schedule - Advanced'!AB13</f>
        <v>0</v>
      </c>
      <c r="N22" s="701">
        <f t="shared" si="2"/>
        <v>0</v>
      </c>
      <c r="O22" s="789" t="str">
        <f t="shared" si="3"/>
        <v>Annuity 7</v>
      </c>
      <c r="R22" s="607">
        <f t="shared" si="5"/>
        <v>0</v>
      </c>
      <c r="T22" s="622">
        <f t="shared" si="0"/>
        <v>0</v>
      </c>
      <c r="U22" s="623">
        <f t="shared" si="1"/>
        <v>0</v>
      </c>
      <c r="X22" s="715" t="b">
        <f>'Rep Schedule - Advanced'!AN13</f>
        <v>1</v>
      </c>
    </row>
    <row r="23" spans="1:24" ht="15">
      <c r="A23" s="624">
        <f t="shared" si="4"/>
        <v>8</v>
      </c>
      <c r="B23" s="621">
        <f>'Rep Schedule - Advanced'!E14</f>
        <v>40588</v>
      </c>
      <c r="C23" s="769">
        <f>'Rep Schedule - Advanced'!G14</f>
        <v>0</v>
      </c>
      <c r="D23" s="770">
        <f>'Rep Schedule - Advanced'!H14</f>
        <v>0</v>
      </c>
      <c r="E23" s="644">
        <f>'Rep Schedule - Advanced'!J14</f>
        <v>0</v>
      </c>
      <c r="F23" s="771">
        <f>'Rep Schedule - Advanced'!K14</f>
        <v>0</v>
      </c>
      <c r="G23" s="770">
        <f>'Rep Schedule - Advanced'!N14</f>
        <v>0</v>
      </c>
      <c r="H23" s="772">
        <f>'Rep Schedule - Advanced'!R14</f>
        <v>0</v>
      </c>
      <c r="I23" s="773">
        <f>'Rep Schedule - Advanced'!U14</f>
        <v>0</v>
      </c>
      <c r="J23" s="774">
        <f>'Rep Schedule - Advanced'!X14</f>
        <v>0</v>
      </c>
      <c r="K23" s="774">
        <f>'Rep Schedule - Advanced'!Y14</f>
        <v>0</v>
      </c>
      <c r="L23" s="774">
        <f>'Rep Schedule - Advanced'!Z14</f>
        <v>0</v>
      </c>
      <c r="M23" s="775">
        <f>'Rep Schedule - Advanced'!AB14</f>
        <v>0</v>
      </c>
      <c r="N23" s="701">
        <f t="shared" si="2"/>
        <v>0</v>
      </c>
      <c r="O23" s="789" t="str">
        <f t="shared" si="3"/>
        <v>Annuity 8</v>
      </c>
      <c r="R23" s="607">
        <f t="shared" si="5"/>
        <v>0</v>
      </c>
      <c r="T23" s="622">
        <f t="shared" si="0"/>
        <v>0</v>
      </c>
      <c r="U23" s="623">
        <f t="shared" si="1"/>
        <v>0</v>
      </c>
      <c r="X23" s="715" t="b">
        <f>'Rep Schedule - Advanced'!AN14</f>
        <v>1</v>
      </c>
    </row>
    <row r="24" spans="1:24" ht="15">
      <c r="A24" s="624">
        <f t="shared" si="4"/>
        <v>9</v>
      </c>
      <c r="B24" s="621">
        <f>'Rep Schedule - Advanced'!E15</f>
        <v>40616</v>
      </c>
      <c r="C24" s="769">
        <f>'Rep Schedule - Advanced'!G15</f>
        <v>0</v>
      </c>
      <c r="D24" s="770">
        <f>'Rep Schedule - Advanced'!H15</f>
        <v>0</v>
      </c>
      <c r="E24" s="644">
        <f>'Rep Schedule - Advanced'!J15</f>
        <v>0</v>
      </c>
      <c r="F24" s="771">
        <f>'Rep Schedule - Advanced'!K15</f>
        <v>0</v>
      </c>
      <c r="G24" s="770">
        <f>'Rep Schedule - Advanced'!N15</f>
        <v>0</v>
      </c>
      <c r="H24" s="772">
        <f>'Rep Schedule - Advanced'!R15</f>
        <v>0</v>
      </c>
      <c r="I24" s="773">
        <f>'Rep Schedule - Advanced'!U15</f>
        <v>0</v>
      </c>
      <c r="J24" s="774">
        <f>'Rep Schedule - Advanced'!X15</f>
        <v>0</v>
      </c>
      <c r="K24" s="774">
        <f>'Rep Schedule - Advanced'!Y15</f>
        <v>0</v>
      </c>
      <c r="L24" s="774">
        <f>'Rep Schedule - Advanced'!Z15</f>
        <v>0</v>
      </c>
      <c r="M24" s="775">
        <f>'Rep Schedule - Advanced'!AB15</f>
        <v>0</v>
      </c>
      <c r="N24" s="701">
        <f t="shared" si="2"/>
        <v>0</v>
      </c>
      <c r="O24" s="789" t="str">
        <f t="shared" si="3"/>
        <v>Annuity 9</v>
      </c>
      <c r="R24" s="607">
        <f t="shared" si="5"/>
        <v>0</v>
      </c>
      <c r="T24" s="622">
        <f t="shared" si="0"/>
        <v>0</v>
      </c>
      <c r="U24" s="623">
        <f t="shared" si="1"/>
        <v>0</v>
      </c>
      <c r="X24" s="715" t="b">
        <f>'Rep Schedule - Advanced'!AN15</f>
        <v>1</v>
      </c>
    </row>
    <row r="25" spans="1:24" ht="15">
      <c r="A25" s="624">
        <f t="shared" si="4"/>
        <v>10</v>
      </c>
      <c r="B25" s="621">
        <f>'Rep Schedule - Advanced'!E16</f>
        <v>40647</v>
      </c>
      <c r="C25" s="769">
        <f>'Rep Schedule - Advanced'!G16</f>
        <v>0</v>
      </c>
      <c r="D25" s="770">
        <f>'Rep Schedule - Advanced'!H16</f>
        <v>0</v>
      </c>
      <c r="E25" s="644">
        <f>'Rep Schedule - Advanced'!J16</f>
        <v>0</v>
      </c>
      <c r="F25" s="771">
        <f>'Rep Schedule - Advanced'!K16</f>
        <v>0</v>
      </c>
      <c r="G25" s="770">
        <f>'Rep Schedule - Advanced'!N16</f>
        <v>0</v>
      </c>
      <c r="H25" s="772">
        <f>'Rep Schedule - Advanced'!R16</f>
        <v>0</v>
      </c>
      <c r="I25" s="773">
        <f>'Rep Schedule - Advanced'!U16</f>
        <v>0</v>
      </c>
      <c r="J25" s="774">
        <f>'Rep Schedule - Advanced'!X16</f>
        <v>0</v>
      </c>
      <c r="K25" s="774">
        <f>'Rep Schedule - Advanced'!Y16</f>
        <v>0</v>
      </c>
      <c r="L25" s="774">
        <f>'Rep Schedule - Advanced'!Z16</f>
        <v>0</v>
      </c>
      <c r="M25" s="775">
        <f>'Rep Schedule - Advanced'!AB16</f>
        <v>0</v>
      </c>
      <c r="N25" s="701">
        <f t="shared" si="2"/>
        <v>0</v>
      </c>
      <c r="O25" s="789" t="str">
        <f t="shared" si="3"/>
        <v>Annuity 10</v>
      </c>
      <c r="R25" s="607">
        <f t="shared" si="5"/>
        <v>0</v>
      </c>
      <c r="T25" s="622">
        <f t="shared" si="0"/>
        <v>0</v>
      </c>
      <c r="U25" s="623">
        <f t="shared" si="1"/>
        <v>0</v>
      </c>
      <c r="X25" s="715" t="b">
        <f>'Rep Schedule - Advanced'!AN16</f>
        <v>1</v>
      </c>
    </row>
    <row r="26" spans="1:24" ht="15">
      <c r="A26" s="624">
        <f t="shared" si="4"/>
        <v>11</v>
      </c>
      <c r="B26" s="621">
        <f>'Rep Schedule - Advanced'!E17</f>
        <v>40677</v>
      </c>
      <c r="C26" s="769">
        <f>'Rep Schedule - Advanced'!G17</f>
        <v>0</v>
      </c>
      <c r="D26" s="770">
        <f>'Rep Schedule - Advanced'!H17</f>
        <v>0</v>
      </c>
      <c r="E26" s="644">
        <f>'Rep Schedule - Advanced'!J17</f>
        <v>0</v>
      </c>
      <c r="F26" s="771">
        <f>'Rep Schedule - Advanced'!K17</f>
        <v>0</v>
      </c>
      <c r="G26" s="770">
        <f>'Rep Schedule - Advanced'!N17</f>
        <v>0</v>
      </c>
      <c r="H26" s="772">
        <f>'Rep Schedule - Advanced'!R17</f>
        <v>0</v>
      </c>
      <c r="I26" s="773">
        <f>'Rep Schedule - Advanced'!U17</f>
        <v>0</v>
      </c>
      <c r="J26" s="774">
        <f>'Rep Schedule - Advanced'!X17</f>
        <v>0</v>
      </c>
      <c r="K26" s="774">
        <f>'Rep Schedule - Advanced'!Y17</f>
        <v>0</v>
      </c>
      <c r="L26" s="774">
        <f>'Rep Schedule - Advanced'!Z17</f>
        <v>0</v>
      </c>
      <c r="M26" s="775">
        <f>'Rep Schedule - Advanced'!AB17</f>
        <v>0</v>
      </c>
      <c r="N26" s="701">
        <f t="shared" si="2"/>
        <v>0</v>
      </c>
      <c r="O26" s="789" t="str">
        <f t="shared" si="3"/>
        <v>Annuity 11</v>
      </c>
      <c r="R26" s="607">
        <f t="shared" si="5"/>
        <v>0</v>
      </c>
      <c r="T26" s="622">
        <f t="shared" si="0"/>
        <v>0</v>
      </c>
      <c r="U26" s="623">
        <f t="shared" si="1"/>
        <v>0</v>
      </c>
      <c r="X26" s="715" t="b">
        <f>'Rep Schedule - Advanced'!AN17</f>
        <v>1</v>
      </c>
    </row>
    <row r="27" spans="1:24" ht="16" thickBot="1">
      <c r="A27" s="624">
        <f t="shared" si="4"/>
        <v>12</v>
      </c>
      <c r="B27" s="621">
        <f>'Rep Schedule - Advanced'!E18</f>
        <v>40708</v>
      </c>
      <c r="C27" s="769">
        <f>'Rep Schedule - Advanced'!G18</f>
        <v>0</v>
      </c>
      <c r="D27" s="770">
        <f>'Rep Schedule - Advanced'!H18</f>
        <v>0</v>
      </c>
      <c r="E27" s="644">
        <f>'Rep Schedule - Advanced'!J18</f>
        <v>0</v>
      </c>
      <c r="F27" s="771">
        <f>'Rep Schedule - Advanced'!K18</f>
        <v>0</v>
      </c>
      <c r="G27" s="770">
        <f>'Rep Schedule - Advanced'!N18</f>
        <v>0</v>
      </c>
      <c r="H27" s="772">
        <f>'Rep Schedule - Advanced'!R18</f>
        <v>0</v>
      </c>
      <c r="I27" s="773">
        <f>'Rep Schedule - Advanced'!U18</f>
        <v>0</v>
      </c>
      <c r="J27" s="774">
        <f>'Rep Schedule - Advanced'!X18</f>
        <v>0</v>
      </c>
      <c r="K27" s="774">
        <f>'Rep Schedule - Advanced'!Y18</f>
        <v>0</v>
      </c>
      <c r="L27" s="774">
        <f>'Rep Schedule - Advanced'!Z18</f>
        <v>0</v>
      </c>
      <c r="M27" s="775">
        <f>'Rep Schedule - Advanced'!AB18</f>
        <v>0</v>
      </c>
      <c r="N27" s="701">
        <f t="shared" si="2"/>
        <v>0</v>
      </c>
      <c r="O27" s="789" t="str">
        <f t="shared" si="3"/>
        <v>Annuity 12</v>
      </c>
      <c r="R27" s="607">
        <f t="shared" si="5"/>
        <v>0</v>
      </c>
      <c r="T27" s="622">
        <f t="shared" si="0"/>
        <v>0</v>
      </c>
      <c r="U27" s="623">
        <f t="shared" si="1"/>
        <v>0</v>
      </c>
      <c r="X27" s="715" t="b">
        <f>'Rep Schedule - Advanced'!AN18</f>
        <v>1</v>
      </c>
    </row>
    <row r="28" spans="1:24" ht="15" hidden="1">
      <c r="A28" s="624">
        <f t="shared" si="4"/>
        <v>13</v>
      </c>
      <c r="B28" s="621">
        <f>'Rep Schedule - Advanced'!E19</f>
        <v>40738</v>
      </c>
      <c r="C28" s="769">
        <f>'Rep Schedule - Advanced'!G19</f>
        <v>0</v>
      </c>
      <c r="D28" s="770">
        <f>'Rep Schedule - Advanced'!H19</f>
        <v>0</v>
      </c>
      <c r="E28" s="644">
        <f>'Rep Schedule - Advanced'!J19</f>
        <v>0</v>
      </c>
      <c r="F28" s="771">
        <f>'Rep Schedule - Advanced'!K19</f>
        <v>0</v>
      </c>
      <c r="G28" s="770">
        <f>'Rep Schedule - Advanced'!N19</f>
        <v>0</v>
      </c>
      <c r="H28" s="772">
        <f>'Rep Schedule - Advanced'!R19</f>
        <v>0</v>
      </c>
      <c r="I28" s="773">
        <f>'Rep Schedule - Advanced'!U19</f>
        <v>0</v>
      </c>
      <c r="J28" s="774">
        <f>'Rep Schedule - Advanced'!X19</f>
        <v>0</v>
      </c>
      <c r="K28" s="774">
        <f>'Rep Schedule - Advanced'!Y19</f>
        <v>0</v>
      </c>
      <c r="L28" s="774">
        <f>'Rep Schedule - Advanced'!Z19</f>
        <v>0</v>
      </c>
      <c r="M28" s="775">
        <f>'Rep Schedule - Advanced'!AB19</f>
        <v>0</v>
      </c>
      <c r="N28" s="701">
        <f t="shared" si="2"/>
        <v>0</v>
      </c>
      <c r="O28" s="789" t="str">
        <f t="shared" si="3"/>
        <v>Annuity 13</v>
      </c>
      <c r="R28" s="607">
        <f t="shared" si="5"/>
        <v>0</v>
      </c>
      <c r="T28" s="622">
        <f t="shared" si="0"/>
        <v>0</v>
      </c>
      <c r="U28" s="623">
        <f t="shared" si="1"/>
        <v>0</v>
      </c>
      <c r="X28" s="715" t="b">
        <f>'Rep Schedule - Advanced'!AN19</f>
        <v>1</v>
      </c>
    </row>
    <row r="29" spans="1:24" ht="15" hidden="1">
      <c r="A29" s="624">
        <f t="shared" si="4"/>
        <v>14</v>
      </c>
      <c r="B29" s="621">
        <f>'Rep Schedule - Advanced'!E20</f>
        <v>40769</v>
      </c>
      <c r="C29" s="769">
        <f>'Rep Schedule - Advanced'!G20</f>
        <v>0</v>
      </c>
      <c r="D29" s="770">
        <f>'Rep Schedule - Advanced'!H20</f>
        <v>0</v>
      </c>
      <c r="E29" s="644">
        <f>'Rep Schedule - Advanced'!J20</f>
        <v>0</v>
      </c>
      <c r="F29" s="771">
        <f>'Rep Schedule - Advanced'!K20</f>
        <v>0</v>
      </c>
      <c r="G29" s="770">
        <f>'Rep Schedule - Advanced'!N20</f>
        <v>0</v>
      </c>
      <c r="H29" s="772">
        <f>'Rep Schedule - Advanced'!R20</f>
        <v>0</v>
      </c>
      <c r="I29" s="773">
        <f>'Rep Schedule - Advanced'!U20</f>
        <v>0</v>
      </c>
      <c r="J29" s="774">
        <f>'Rep Schedule - Advanced'!X20</f>
        <v>0</v>
      </c>
      <c r="K29" s="774">
        <f>'Rep Schedule - Advanced'!Y20</f>
        <v>0</v>
      </c>
      <c r="L29" s="774">
        <f>'Rep Schedule - Advanced'!Z20</f>
        <v>0</v>
      </c>
      <c r="M29" s="775">
        <f>'Rep Schedule - Advanced'!AB20</f>
        <v>0</v>
      </c>
      <c r="N29" s="701">
        <f t="shared" si="2"/>
        <v>0</v>
      </c>
      <c r="O29" s="789" t="str">
        <f t="shared" si="3"/>
        <v>Annuity 14</v>
      </c>
      <c r="R29" s="607">
        <f t="shared" si="5"/>
        <v>0</v>
      </c>
      <c r="T29" s="622">
        <f t="shared" si="0"/>
        <v>0</v>
      </c>
      <c r="U29" s="623">
        <f t="shared" si="1"/>
        <v>0</v>
      </c>
      <c r="X29" s="715" t="b">
        <f>'Rep Schedule - Advanced'!AN20</f>
        <v>1</v>
      </c>
    </row>
    <row r="30" spans="1:24" ht="15" hidden="1">
      <c r="A30" s="624">
        <f t="shared" si="4"/>
        <v>15</v>
      </c>
      <c r="B30" s="621">
        <f>'Rep Schedule - Advanced'!E21</f>
        <v>40800</v>
      </c>
      <c r="C30" s="769">
        <f>'Rep Schedule - Advanced'!G21</f>
        <v>0</v>
      </c>
      <c r="D30" s="770">
        <f>'Rep Schedule - Advanced'!H21</f>
        <v>0</v>
      </c>
      <c r="E30" s="644">
        <f>'Rep Schedule - Advanced'!J21</f>
        <v>0</v>
      </c>
      <c r="F30" s="771">
        <f>'Rep Schedule - Advanced'!K21</f>
        <v>0</v>
      </c>
      <c r="G30" s="770">
        <f>'Rep Schedule - Advanced'!N21</f>
        <v>0</v>
      </c>
      <c r="H30" s="772">
        <f>'Rep Schedule - Advanced'!R21</f>
        <v>0</v>
      </c>
      <c r="I30" s="773">
        <f>'Rep Schedule - Advanced'!U21</f>
        <v>0</v>
      </c>
      <c r="J30" s="774">
        <f>'Rep Schedule - Advanced'!X21</f>
        <v>0</v>
      </c>
      <c r="K30" s="774">
        <f>'Rep Schedule - Advanced'!Y21</f>
        <v>0</v>
      </c>
      <c r="L30" s="774">
        <f>'Rep Schedule - Advanced'!Z21</f>
        <v>0</v>
      </c>
      <c r="M30" s="775">
        <f>'Rep Schedule - Advanced'!AB21</f>
        <v>0</v>
      </c>
      <c r="N30" s="701">
        <f t="shared" si="2"/>
        <v>0</v>
      </c>
      <c r="O30" s="789" t="str">
        <f t="shared" si="3"/>
        <v>Annuity 15</v>
      </c>
      <c r="R30" s="607">
        <f t="shared" si="5"/>
        <v>0</v>
      </c>
      <c r="T30" s="622">
        <f t="shared" si="0"/>
        <v>0</v>
      </c>
      <c r="U30" s="623">
        <f t="shared" si="1"/>
        <v>0</v>
      </c>
      <c r="X30" s="715" t="b">
        <f>'Rep Schedule - Advanced'!AN21</f>
        <v>1</v>
      </c>
    </row>
    <row r="31" spans="1:24" ht="15" hidden="1">
      <c r="A31" s="624">
        <f t="shared" si="4"/>
        <v>16</v>
      </c>
      <c r="B31" s="621">
        <f>'Rep Schedule - Advanced'!E22</f>
        <v>40830</v>
      </c>
      <c r="C31" s="769">
        <f>'Rep Schedule - Advanced'!G22</f>
        <v>0</v>
      </c>
      <c r="D31" s="770">
        <f>'Rep Schedule - Advanced'!H22</f>
        <v>0</v>
      </c>
      <c r="E31" s="644">
        <f>'Rep Schedule - Advanced'!J22</f>
        <v>0</v>
      </c>
      <c r="F31" s="771">
        <f>'Rep Schedule - Advanced'!K22</f>
        <v>0</v>
      </c>
      <c r="G31" s="770">
        <f>'Rep Schedule - Advanced'!N22</f>
        <v>0</v>
      </c>
      <c r="H31" s="772">
        <f>'Rep Schedule - Advanced'!R22</f>
        <v>0</v>
      </c>
      <c r="I31" s="773">
        <f>'Rep Schedule - Advanced'!U22</f>
        <v>0</v>
      </c>
      <c r="J31" s="774">
        <f>'Rep Schedule - Advanced'!X22</f>
        <v>0</v>
      </c>
      <c r="K31" s="774">
        <f>'Rep Schedule - Advanced'!Y22</f>
        <v>0</v>
      </c>
      <c r="L31" s="774">
        <f>'Rep Schedule - Advanced'!Z22</f>
        <v>0</v>
      </c>
      <c r="M31" s="775">
        <f>'Rep Schedule - Advanced'!AB22</f>
        <v>0</v>
      </c>
      <c r="N31" s="701">
        <f t="shared" si="2"/>
        <v>0</v>
      </c>
      <c r="O31" s="789" t="str">
        <f t="shared" si="3"/>
        <v>Annuity 16</v>
      </c>
      <c r="R31" s="607">
        <f t="shared" si="5"/>
        <v>0</v>
      </c>
      <c r="T31" s="622">
        <f t="shared" si="0"/>
        <v>0</v>
      </c>
      <c r="U31" s="623">
        <f t="shared" si="1"/>
        <v>0</v>
      </c>
      <c r="X31" s="715" t="b">
        <f>'Rep Schedule - Advanced'!AN22</f>
        <v>1</v>
      </c>
    </row>
    <row r="32" spans="1:24" ht="15" hidden="1">
      <c r="A32" s="624">
        <f t="shared" si="4"/>
        <v>17</v>
      </c>
      <c r="B32" s="621">
        <f>'Rep Schedule - Advanced'!E23</f>
        <v>40861</v>
      </c>
      <c r="C32" s="769">
        <f>'Rep Schedule - Advanced'!G23</f>
        <v>0</v>
      </c>
      <c r="D32" s="770">
        <f>'Rep Schedule - Advanced'!H23</f>
        <v>0</v>
      </c>
      <c r="E32" s="644">
        <f>'Rep Schedule - Advanced'!J23</f>
        <v>0</v>
      </c>
      <c r="F32" s="771">
        <f>'Rep Schedule - Advanced'!K23</f>
        <v>0</v>
      </c>
      <c r="G32" s="770">
        <f>'Rep Schedule - Advanced'!N23</f>
        <v>0</v>
      </c>
      <c r="H32" s="772">
        <f>'Rep Schedule - Advanced'!R23</f>
        <v>0</v>
      </c>
      <c r="I32" s="773">
        <f>'Rep Schedule - Advanced'!U23</f>
        <v>0</v>
      </c>
      <c r="J32" s="774">
        <f>'Rep Schedule - Advanced'!X23</f>
        <v>0</v>
      </c>
      <c r="K32" s="774">
        <f>'Rep Schedule - Advanced'!Y23</f>
        <v>0</v>
      </c>
      <c r="L32" s="774">
        <f>'Rep Schedule - Advanced'!Z23</f>
        <v>0</v>
      </c>
      <c r="M32" s="775">
        <f>'Rep Schedule - Advanced'!AB23</f>
        <v>0</v>
      </c>
      <c r="N32" s="701">
        <f t="shared" si="2"/>
        <v>0</v>
      </c>
      <c r="O32" s="789" t="str">
        <f t="shared" si="3"/>
        <v>Annuity 17</v>
      </c>
      <c r="R32" s="607">
        <f t="shared" si="5"/>
        <v>0</v>
      </c>
      <c r="T32" s="622">
        <f t="shared" si="0"/>
        <v>0</v>
      </c>
      <c r="U32" s="623">
        <f t="shared" si="1"/>
        <v>0</v>
      </c>
      <c r="X32" s="715" t="b">
        <f>'Rep Schedule - Advanced'!AN23</f>
        <v>1</v>
      </c>
    </row>
    <row r="33" spans="1:24" ht="15" hidden="1">
      <c r="A33" s="624">
        <f t="shared" si="4"/>
        <v>18</v>
      </c>
      <c r="B33" s="621">
        <f>'Rep Schedule - Advanced'!E24</f>
        <v>40891</v>
      </c>
      <c r="C33" s="769">
        <f>'Rep Schedule - Advanced'!G24</f>
        <v>0</v>
      </c>
      <c r="D33" s="770">
        <f>'Rep Schedule - Advanced'!H24</f>
        <v>0</v>
      </c>
      <c r="E33" s="644">
        <f>'Rep Schedule - Advanced'!J24</f>
        <v>0</v>
      </c>
      <c r="F33" s="771">
        <f>'Rep Schedule - Advanced'!K24</f>
        <v>0</v>
      </c>
      <c r="G33" s="770">
        <f>'Rep Schedule - Advanced'!N24</f>
        <v>0</v>
      </c>
      <c r="H33" s="772">
        <f>'Rep Schedule - Advanced'!R24</f>
        <v>0</v>
      </c>
      <c r="I33" s="773">
        <f>'Rep Schedule - Advanced'!U24</f>
        <v>0</v>
      </c>
      <c r="J33" s="774">
        <f>'Rep Schedule - Advanced'!X24</f>
        <v>0</v>
      </c>
      <c r="K33" s="774">
        <f>'Rep Schedule - Advanced'!Y24</f>
        <v>0</v>
      </c>
      <c r="L33" s="774">
        <f>'Rep Schedule - Advanced'!Z24</f>
        <v>0</v>
      </c>
      <c r="M33" s="775">
        <f>'Rep Schedule - Advanced'!AB24</f>
        <v>0</v>
      </c>
      <c r="N33" s="701">
        <f t="shared" si="2"/>
        <v>0</v>
      </c>
      <c r="O33" s="789" t="str">
        <f t="shared" si="3"/>
        <v>Annuity 18</v>
      </c>
      <c r="R33" s="607">
        <f t="shared" si="5"/>
        <v>0</v>
      </c>
      <c r="T33" s="622">
        <f t="shared" si="0"/>
        <v>0</v>
      </c>
      <c r="U33" s="623">
        <f t="shared" si="1"/>
        <v>0</v>
      </c>
      <c r="X33" s="715" t="b">
        <f>'Rep Schedule - Advanced'!AN24</f>
        <v>1</v>
      </c>
    </row>
    <row r="34" spans="1:24" ht="15" hidden="1">
      <c r="A34" s="624">
        <f t="shared" si="4"/>
        <v>19</v>
      </c>
      <c r="B34" s="621">
        <f>'Rep Schedule - Advanced'!E25</f>
        <v>40922</v>
      </c>
      <c r="C34" s="769">
        <f>'Rep Schedule - Advanced'!G25</f>
        <v>0</v>
      </c>
      <c r="D34" s="770">
        <f>'Rep Schedule - Advanced'!H25</f>
        <v>0</v>
      </c>
      <c r="E34" s="644">
        <f>'Rep Schedule - Advanced'!J25</f>
        <v>0</v>
      </c>
      <c r="F34" s="771">
        <f>'Rep Schedule - Advanced'!K25</f>
        <v>0</v>
      </c>
      <c r="G34" s="770">
        <f>'Rep Schedule - Advanced'!N25</f>
        <v>0</v>
      </c>
      <c r="H34" s="772">
        <f>'Rep Schedule - Advanced'!R25</f>
        <v>0</v>
      </c>
      <c r="I34" s="773">
        <f>'Rep Schedule - Advanced'!U25</f>
        <v>0</v>
      </c>
      <c r="J34" s="774">
        <f>'Rep Schedule - Advanced'!X25</f>
        <v>0</v>
      </c>
      <c r="K34" s="774">
        <f>'Rep Schedule - Advanced'!Y25</f>
        <v>0</v>
      </c>
      <c r="L34" s="774">
        <f>'Rep Schedule - Advanced'!Z25</f>
        <v>0</v>
      </c>
      <c r="M34" s="775">
        <f>'Rep Schedule - Advanced'!AB25</f>
        <v>0</v>
      </c>
      <c r="N34" s="701">
        <f t="shared" si="2"/>
        <v>0</v>
      </c>
      <c r="O34" s="789" t="str">
        <f t="shared" si="3"/>
        <v>Annuity 19</v>
      </c>
      <c r="R34" s="607">
        <f t="shared" si="5"/>
        <v>0</v>
      </c>
      <c r="T34" s="622">
        <f t="shared" si="0"/>
        <v>0</v>
      </c>
      <c r="U34" s="623">
        <f t="shared" si="1"/>
        <v>0</v>
      </c>
      <c r="X34" s="715" t="b">
        <f>'Rep Schedule - Advanced'!AN25</f>
        <v>1</v>
      </c>
    </row>
    <row r="35" spans="1:24" ht="15" hidden="1">
      <c r="A35" s="624">
        <f t="shared" si="4"/>
        <v>20</v>
      </c>
      <c r="B35" s="621">
        <f>'Rep Schedule - Advanced'!E26</f>
        <v>40953</v>
      </c>
      <c r="C35" s="769">
        <f>'Rep Schedule - Advanced'!G26</f>
        <v>0</v>
      </c>
      <c r="D35" s="770">
        <f>'Rep Schedule - Advanced'!H26</f>
        <v>0</v>
      </c>
      <c r="E35" s="644">
        <f>'Rep Schedule - Advanced'!J26</f>
        <v>0</v>
      </c>
      <c r="F35" s="771">
        <f>'Rep Schedule - Advanced'!K26</f>
        <v>0</v>
      </c>
      <c r="G35" s="770">
        <f>'Rep Schedule - Advanced'!N26</f>
        <v>0</v>
      </c>
      <c r="H35" s="772">
        <f>'Rep Schedule - Advanced'!R26</f>
        <v>0</v>
      </c>
      <c r="I35" s="773">
        <f>'Rep Schedule - Advanced'!U26</f>
        <v>0</v>
      </c>
      <c r="J35" s="774">
        <f>'Rep Schedule - Advanced'!X26</f>
        <v>0</v>
      </c>
      <c r="K35" s="774">
        <f>'Rep Schedule - Advanced'!Y26</f>
        <v>0</v>
      </c>
      <c r="L35" s="774">
        <f>'Rep Schedule - Advanced'!Z26</f>
        <v>0</v>
      </c>
      <c r="M35" s="775">
        <f>'Rep Schedule - Advanced'!AB26</f>
        <v>0</v>
      </c>
      <c r="N35" s="701">
        <f t="shared" si="2"/>
        <v>0</v>
      </c>
      <c r="O35" s="789" t="str">
        <f t="shared" si="3"/>
        <v>Annuity 20</v>
      </c>
      <c r="R35" s="607">
        <f t="shared" si="5"/>
        <v>0</v>
      </c>
      <c r="T35" s="622">
        <f t="shared" si="0"/>
        <v>0</v>
      </c>
      <c r="U35" s="623">
        <f t="shared" si="1"/>
        <v>0</v>
      </c>
      <c r="X35" s="715" t="b">
        <f>'Rep Schedule - Advanced'!AN26</f>
        <v>1</v>
      </c>
    </row>
    <row r="36" spans="1:24" ht="15" hidden="1">
      <c r="A36" s="624">
        <f t="shared" si="4"/>
        <v>21</v>
      </c>
      <c r="B36" s="621">
        <f>'Rep Schedule - Advanced'!E27</f>
        <v>40982</v>
      </c>
      <c r="C36" s="769">
        <f>'Rep Schedule - Advanced'!G27</f>
        <v>0</v>
      </c>
      <c r="D36" s="770">
        <f>'Rep Schedule - Advanced'!H27</f>
        <v>0</v>
      </c>
      <c r="E36" s="644">
        <f>'Rep Schedule - Advanced'!J27</f>
        <v>0</v>
      </c>
      <c r="F36" s="771">
        <f>'Rep Schedule - Advanced'!K27</f>
        <v>0</v>
      </c>
      <c r="G36" s="770">
        <f>'Rep Schedule - Advanced'!N27</f>
        <v>0</v>
      </c>
      <c r="H36" s="772">
        <f>'Rep Schedule - Advanced'!R27</f>
        <v>0</v>
      </c>
      <c r="I36" s="773">
        <f>'Rep Schedule - Advanced'!U27</f>
        <v>0</v>
      </c>
      <c r="J36" s="774">
        <f>'Rep Schedule - Advanced'!X27</f>
        <v>0</v>
      </c>
      <c r="K36" s="774">
        <f>'Rep Schedule - Advanced'!Y27</f>
        <v>0</v>
      </c>
      <c r="L36" s="774">
        <f>'Rep Schedule - Advanced'!Z27</f>
        <v>0</v>
      </c>
      <c r="M36" s="775">
        <f>'Rep Schedule - Advanced'!AB27</f>
        <v>0</v>
      </c>
      <c r="N36" s="701">
        <f t="shared" si="2"/>
        <v>0</v>
      </c>
      <c r="O36" s="789" t="str">
        <f t="shared" si="3"/>
        <v>Annuity 21</v>
      </c>
      <c r="R36" s="607">
        <f t="shared" si="5"/>
        <v>0</v>
      </c>
      <c r="T36" s="622">
        <f t="shared" si="0"/>
        <v>0</v>
      </c>
      <c r="U36" s="623">
        <f t="shared" si="1"/>
        <v>0</v>
      </c>
      <c r="X36" s="715" t="b">
        <f>'Rep Schedule - Advanced'!AN27</f>
        <v>1</v>
      </c>
    </row>
    <row r="37" spans="1:24" ht="15" hidden="1">
      <c r="A37" s="624">
        <f t="shared" si="4"/>
        <v>22</v>
      </c>
      <c r="B37" s="621">
        <f>'Rep Schedule - Advanced'!E28</f>
        <v>41013</v>
      </c>
      <c r="C37" s="769">
        <f>'Rep Schedule - Advanced'!G28</f>
        <v>0</v>
      </c>
      <c r="D37" s="770">
        <f>'Rep Schedule - Advanced'!H28</f>
        <v>0</v>
      </c>
      <c r="E37" s="644">
        <f>'Rep Schedule - Advanced'!J28</f>
        <v>0</v>
      </c>
      <c r="F37" s="771">
        <f>'Rep Schedule - Advanced'!K28</f>
        <v>0</v>
      </c>
      <c r="G37" s="770">
        <f>'Rep Schedule - Advanced'!N28</f>
        <v>0</v>
      </c>
      <c r="H37" s="772">
        <f>'Rep Schedule - Advanced'!R28</f>
        <v>0</v>
      </c>
      <c r="I37" s="773">
        <f>'Rep Schedule - Advanced'!U28</f>
        <v>0</v>
      </c>
      <c r="J37" s="774">
        <f>'Rep Schedule - Advanced'!X28</f>
        <v>0</v>
      </c>
      <c r="K37" s="774">
        <f>'Rep Schedule - Advanced'!Y28</f>
        <v>0</v>
      </c>
      <c r="L37" s="774">
        <f>'Rep Schedule - Advanced'!Z28</f>
        <v>0</v>
      </c>
      <c r="M37" s="775">
        <f>'Rep Schedule - Advanced'!AB28</f>
        <v>0</v>
      </c>
      <c r="N37" s="701">
        <f t="shared" si="2"/>
        <v>0</v>
      </c>
      <c r="O37" s="789" t="str">
        <f t="shared" si="3"/>
        <v>Annuity 22</v>
      </c>
      <c r="R37" s="607">
        <f t="shared" si="5"/>
        <v>0</v>
      </c>
      <c r="T37" s="622">
        <f t="shared" si="0"/>
        <v>0</v>
      </c>
      <c r="U37" s="623">
        <f t="shared" si="1"/>
        <v>0</v>
      </c>
      <c r="X37" s="715" t="b">
        <f>'Rep Schedule - Advanced'!AN28</f>
        <v>1</v>
      </c>
    </row>
    <row r="38" spans="1:24" ht="15" hidden="1">
      <c r="A38" s="624">
        <f t="shared" si="4"/>
        <v>23</v>
      </c>
      <c r="B38" s="621">
        <f>'Rep Schedule - Advanced'!E29</f>
        <v>41043</v>
      </c>
      <c r="C38" s="769">
        <f>'Rep Schedule - Advanced'!G29</f>
        <v>0</v>
      </c>
      <c r="D38" s="770">
        <f>'Rep Schedule - Advanced'!H29</f>
        <v>0</v>
      </c>
      <c r="E38" s="644">
        <f>'Rep Schedule - Advanced'!J29</f>
        <v>0</v>
      </c>
      <c r="F38" s="771">
        <f>'Rep Schedule - Advanced'!K29</f>
        <v>0</v>
      </c>
      <c r="G38" s="770">
        <f>'Rep Schedule - Advanced'!N29</f>
        <v>0</v>
      </c>
      <c r="H38" s="772">
        <f>'Rep Schedule - Advanced'!R29</f>
        <v>0</v>
      </c>
      <c r="I38" s="773">
        <f>'Rep Schedule - Advanced'!U29</f>
        <v>0</v>
      </c>
      <c r="J38" s="774">
        <f>'Rep Schedule - Advanced'!X29</f>
        <v>0</v>
      </c>
      <c r="K38" s="774">
        <f>'Rep Schedule - Advanced'!Y29</f>
        <v>0</v>
      </c>
      <c r="L38" s="774">
        <f>'Rep Schedule - Advanced'!Z29</f>
        <v>0</v>
      </c>
      <c r="M38" s="775">
        <f>'Rep Schedule - Advanced'!AB29</f>
        <v>0</v>
      </c>
      <c r="N38" s="701">
        <f t="shared" si="2"/>
        <v>0</v>
      </c>
      <c r="O38" s="789" t="str">
        <f t="shared" si="3"/>
        <v>Annuity 23</v>
      </c>
      <c r="R38" s="607">
        <f t="shared" si="5"/>
        <v>0</v>
      </c>
      <c r="T38" s="622">
        <f t="shared" si="0"/>
        <v>0</v>
      </c>
      <c r="U38" s="623">
        <f t="shared" si="1"/>
        <v>0</v>
      </c>
      <c r="X38" s="715" t="b">
        <f>'Rep Schedule - Advanced'!AN29</f>
        <v>1</v>
      </c>
    </row>
    <row r="39" spans="1:24" ht="15" hidden="1">
      <c r="A39" s="624">
        <f t="shared" si="4"/>
        <v>24</v>
      </c>
      <c r="B39" s="621">
        <f>'Rep Schedule - Advanced'!E30</f>
        <v>41074</v>
      </c>
      <c r="C39" s="769">
        <f>'Rep Schedule - Advanced'!G30</f>
        <v>0</v>
      </c>
      <c r="D39" s="770">
        <f>'Rep Schedule - Advanced'!H30</f>
        <v>0</v>
      </c>
      <c r="E39" s="644">
        <f>'Rep Schedule - Advanced'!J30</f>
        <v>0</v>
      </c>
      <c r="F39" s="771">
        <f>'Rep Schedule - Advanced'!K30</f>
        <v>0</v>
      </c>
      <c r="G39" s="770">
        <f>'Rep Schedule - Advanced'!N30</f>
        <v>0</v>
      </c>
      <c r="H39" s="772">
        <f>'Rep Schedule - Advanced'!R30</f>
        <v>0</v>
      </c>
      <c r="I39" s="773">
        <f>'Rep Schedule - Advanced'!U30</f>
        <v>0</v>
      </c>
      <c r="J39" s="774">
        <f>'Rep Schedule - Advanced'!X30</f>
        <v>0</v>
      </c>
      <c r="K39" s="774">
        <f>'Rep Schedule - Advanced'!Y30</f>
        <v>0</v>
      </c>
      <c r="L39" s="774">
        <f>'Rep Schedule - Advanced'!Z30</f>
        <v>0</v>
      </c>
      <c r="M39" s="775">
        <f>'Rep Schedule - Advanced'!AB30</f>
        <v>0</v>
      </c>
      <c r="N39" s="701">
        <f t="shared" si="2"/>
        <v>0</v>
      </c>
      <c r="O39" s="789" t="str">
        <f t="shared" si="3"/>
        <v>Annuity 24</v>
      </c>
      <c r="R39" s="607">
        <f t="shared" si="5"/>
        <v>0</v>
      </c>
      <c r="T39" s="622">
        <f t="shared" si="0"/>
        <v>0</v>
      </c>
      <c r="U39" s="623">
        <f t="shared" si="1"/>
        <v>0</v>
      </c>
      <c r="X39" s="715" t="b">
        <f>'Rep Schedule - Advanced'!AN30</f>
        <v>1</v>
      </c>
    </row>
    <row r="40" spans="1:24" ht="15" hidden="1">
      <c r="A40" s="624">
        <f t="shared" si="4"/>
        <v>25</v>
      </c>
      <c r="B40" s="621">
        <f>'Rep Schedule - Advanced'!E31</f>
        <v>41104</v>
      </c>
      <c r="C40" s="769">
        <f>'Rep Schedule - Advanced'!G31</f>
        <v>0</v>
      </c>
      <c r="D40" s="770">
        <f>'Rep Schedule - Advanced'!H31</f>
        <v>0</v>
      </c>
      <c r="E40" s="644">
        <f>'Rep Schedule - Advanced'!J31</f>
        <v>0</v>
      </c>
      <c r="F40" s="771">
        <f>'Rep Schedule - Advanced'!K31</f>
        <v>0</v>
      </c>
      <c r="G40" s="770">
        <f>'Rep Schedule - Advanced'!N31</f>
        <v>0</v>
      </c>
      <c r="H40" s="772">
        <f>'Rep Schedule - Advanced'!R31</f>
        <v>0</v>
      </c>
      <c r="I40" s="773">
        <f>'Rep Schedule - Advanced'!U31</f>
        <v>0</v>
      </c>
      <c r="J40" s="774">
        <f>'Rep Schedule - Advanced'!X31</f>
        <v>0</v>
      </c>
      <c r="K40" s="774">
        <f>'Rep Schedule - Advanced'!Y31</f>
        <v>0</v>
      </c>
      <c r="L40" s="774">
        <f>'Rep Schedule - Advanced'!Z31</f>
        <v>0</v>
      </c>
      <c r="M40" s="775">
        <f>'Rep Schedule - Advanced'!AB31</f>
        <v>0</v>
      </c>
      <c r="N40" s="701">
        <f t="shared" si="2"/>
        <v>0</v>
      </c>
      <c r="O40" s="789" t="str">
        <f t="shared" si="3"/>
        <v>Annuity 25</v>
      </c>
      <c r="R40" s="607">
        <f t="shared" ref="R40:R103" si="6">(B40-B39)*E39</f>
        <v>0</v>
      </c>
      <c r="T40" s="622">
        <f t="shared" si="0"/>
        <v>0</v>
      </c>
      <c r="U40" s="623">
        <f t="shared" si="1"/>
        <v>0</v>
      </c>
      <c r="X40" s="715" t="b">
        <f>'Rep Schedule - Advanced'!AN31</f>
        <v>1</v>
      </c>
    </row>
    <row r="41" spans="1:24" ht="15" hidden="1">
      <c r="A41" s="624">
        <f t="shared" si="4"/>
        <v>26</v>
      </c>
      <c r="B41" s="621">
        <f>'Rep Schedule - Advanced'!E32</f>
        <v>41135</v>
      </c>
      <c r="C41" s="769">
        <f>'Rep Schedule - Advanced'!G32</f>
        <v>0</v>
      </c>
      <c r="D41" s="770">
        <f>'Rep Schedule - Advanced'!H32</f>
        <v>0</v>
      </c>
      <c r="E41" s="644">
        <f>'Rep Schedule - Advanced'!J32</f>
        <v>0</v>
      </c>
      <c r="F41" s="771">
        <f>'Rep Schedule - Advanced'!K32</f>
        <v>0</v>
      </c>
      <c r="G41" s="770">
        <f>'Rep Schedule - Advanced'!N32</f>
        <v>0</v>
      </c>
      <c r="H41" s="772">
        <f>'Rep Schedule - Advanced'!R32</f>
        <v>0</v>
      </c>
      <c r="I41" s="773">
        <f>'Rep Schedule - Advanced'!U32</f>
        <v>0</v>
      </c>
      <c r="J41" s="774">
        <f>'Rep Schedule - Advanced'!X32</f>
        <v>0</v>
      </c>
      <c r="K41" s="774">
        <f>'Rep Schedule - Advanced'!Y32</f>
        <v>0</v>
      </c>
      <c r="L41" s="774">
        <f>'Rep Schedule - Advanced'!Z32</f>
        <v>0</v>
      </c>
      <c r="M41" s="775">
        <f>'Rep Schedule - Advanced'!AB32</f>
        <v>0</v>
      </c>
      <c r="N41" s="701">
        <f t="shared" si="2"/>
        <v>0</v>
      </c>
      <c r="O41" s="789" t="str">
        <f t="shared" si="3"/>
        <v>Annuity 26</v>
      </c>
      <c r="R41" s="607">
        <f t="shared" si="6"/>
        <v>0</v>
      </c>
      <c r="T41" s="622">
        <f t="shared" si="0"/>
        <v>0</v>
      </c>
      <c r="U41" s="623">
        <f t="shared" si="1"/>
        <v>0</v>
      </c>
      <c r="X41" s="715" t="b">
        <f>'Rep Schedule - Advanced'!AN32</f>
        <v>1</v>
      </c>
    </row>
    <row r="42" spans="1:24" ht="15" hidden="1">
      <c r="A42" s="624">
        <f t="shared" si="4"/>
        <v>27</v>
      </c>
      <c r="B42" s="621">
        <f>'Rep Schedule - Advanced'!E33</f>
        <v>41166</v>
      </c>
      <c r="C42" s="769">
        <f>'Rep Schedule - Advanced'!G33</f>
        <v>0</v>
      </c>
      <c r="D42" s="770">
        <f>'Rep Schedule - Advanced'!H33</f>
        <v>0</v>
      </c>
      <c r="E42" s="644">
        <f>'Rep Schedule - Advanced'!J33</f>
        <v>0</v>
      </c>
      <c r="F42" s="771">
        <f>'Rep Schedule - Advanced'!K33</f>
        <v>0</v>
      </c>
      <c r="G42" s="770">
        <f>'Rep Schedule - Advanced'!N33</f>
        <v>0</v>
      </c>
      <c r="H42" s="772">
        <f>'Rep Schedule - Advanced'!R33</f>
        <v>0</v>
      </c>
      <c r="I42" s="773">
        <f>'Rep Schedule - Advanced'!U33</f>
        <v>0</v>
      </c>
      <c r="J42" s="774">
        <f>'Rep Schedule - Advanced'!X33</f>
        <v>0</v>
      </c>
      <c r="K42" s="774">
        <f>'Rep Schedule - Advanced'!Y33</f>
        <v>0</v>
      </c>
      <c r="L42" s="774">
        <f>'Rep Schedule - Advanced'!Z33</f>
        <v>0</v>
      </c>
      <c r="M42" s="775">
        <f>'Rep Schedule - Advanced'!AB33</f>
        <v>0</v>
      </c>
      <c r="N42" s="701">
        <f t="shared" si="2"/>
        <v>0</v>
      </c>
      <c r="O42" s="789" t="str">
        <f t="shared" si="3"/>
        <v>Annuity 27</v>
      </c>
      <c r="R42" s="607">
        <f t="shared" si="6"/>
        <v>0</v>
      </c>
      <c r="T42" s="622">
        <f t="shared" si="0"/>
        <v>0</v>
      </c>
      <c r="U42" s="623">
        <f t="shared" si="1"/>
        <v>0</v>
      </c>
      <c r="X42" s="715" t="b">
        <f>'Rep Schedule - Advanced'!AN33</f>
        <v>1</v>
      </c>
    </row>
    <row r="43" spans="1:24" ht="15" hidden="1">
      <c r="A43" s="624">
        <f t="shared" si="4"/>
        <v>28</v>
      </c>
      <c r="B43" s="621">
        <f>'Rep Schedule - Advanced'!E34</f>
        <v>41196</v>
      </c>
      <c r="C43" s="769">
        <f>'Rep Schedule - Advanced'!G34</f>
        <v>0</v>
      </c>
      <c r="D43" s="770">
        <f>'Rep Schedule - Advanced'!H34</f>
        <v>0</v>
      </c>
      <c r="E43" s="644">
        <f>'Rep Schedule - Advanced'!J34</f>
        <v>0</v>
      </c>
      <c r="F43" s="771">
        <f>'Rep Schedule - Advanced'!K34</f>
        <v>0</v>
      </c>
      <c r="G43" s="770">
        <f>'Rep Schedule - Advanced'!N34</f>
        <v>0</v>
      </c>
      <c r="H43" s="772">
        <f>'Rep Schedule - Advanced'!R34</f>
        <v>0</v>
      </c>
      <c r="I43" s="773">
        <f>'Rep Schedule - Advanced'!U34</f>
        <v>0</v>
      </c>
      <c r="J43" s="774">
        <f>'Rep Schedule - Advanced'!X34</f>
        <v>0</v>
      </c>
      <c r="K43" s="774">
        <f>'Rep Schedule - Advanced'!Y34</f>
        <v>0</v>
      </c>
      <c r="L43" s="774">
        <f>'Rep Schedule - Advanced'!Z34</f>
        <v>0</v>
      </c>
      <c r="M43" s="775">
        <f>'Rep Schedule - Advanced'!AB34</f>
        <v>0</v>
      </c>
      <c r="N43" s="701">
        <f t="shared" si="2"/>
        <v>0</v>
      </c>
      <c r="O43" s="789" t="str">
        <f t="shared" si="3"/>
        <v>Annuity 28</v>
      </c>
      <c r="R43" s="607">
        <f t="shared" si="6"/>
        <v>0</v>
      </c>
      <c r="T43" s="622">
        <f t="shared" si="0"/>
        <v>0</v>
      </c>
      <c r="U43" s="623">
        <f t="shared" si="1"/>
        <v>0</v>
      </c>
      <c r="X43" s="715" t="b">
        <f>'Rep Schedule - Advanced'!AN34</f>
        <v>1</v>
      </c>
    </row>
    <row r="44" spans="1:24" ht="15" hidden="1">
      <c r="A44" s="624">
        <f t="shared" si="4"/>
        <v>29</v>
      </c>
      <c r="B44" s="621">
        <f>'Rep Schedule - Advanced'!E35</f>
        <v>41227</v>
      </c>
      <c r="C44" s="769">
        <f>'Rep Schedule - Advanced'!G35</f>
        <v>0</v>
      </c>
      <c r="D44" s="770">
        <f>'Rep Schedule - Advanced'!H35</f>
        <v>0</v>
      </c>
      <c r="E44" s="644">
        <f>'Rep Schedule - Advanced'!J35</f>
        <v>0</v>
      </c>
      <c r="F44" s="771">
        <f>'Rep Schedule - Advanced'!K35</f>
        <v>0</v>
      </c>
      <c r="G44" s="770">
        <f>'Rep Schedule - Advanced'!N35</f>
        <v>0</v>
      </c>
      <c r="H44" s="772">
        <f>'Rep Schedule - Advanced'!R35</f>
        <v>0</v>
      </c>
      <c r="I44" s="773">
        <f>'Rep Schedule - Advanced'!U35</f>
        <v>0</v>
      </c>
      <c r="J44" s="774">
        <f>'Rep Schedule - Advanced'!X35</f>
        <v>0</v>
      </c>
      <c r="K44" s="774">
        <f>'Rep Schedule - Advanced'!Y35</f>
        <v>0</v>
      </c>
      <c r="L44" s="774">
        <f>'Rep Schedule - Advanced'!Z35</f>
        <v>0</v>
      </c>
      <c r="M44" s="775">
        <f>'Rep Schedule - Advanced'!AB35</f>
        <v>0</v>
      </c>
      <c r="N44" s="701">
        <f t="shared" si="2"/>
        <v>0</v>
      </c>
      <c r="O44" s="789" t="str">
        <f t="shared" si="3"/>
        <v>Annuity 29</v>
      </c>
      <c r="R44" s="607">
        <f t="shared" si="6"/>
        <v>0</v>
      </c>
      <c r="T44" s="622">
        <f t="shared" si="0"/>
        <v>0</v>
      </c>
      <c r="U44" s="623">
        <f t="shared" si="1"/>
        <v>0</v>
      </c>
      <c r="X44" s="715" t="b">
        <f>'Rep Schedule - Advanced'!AN35</f>
        <v>1</v>
      </c>
    </row>
    <row r="45" spans="1:24" ht="15" hidden="1">
      <c r="A45" s="624">
        <f t="shared" si="4"/>
        <v>30</v>
      </c>
      <c r="B45" s="621">
        <f>'Rep Schedule - Advanced'!E36</f>
        <v>41257</v>
      </c>
      <c r="C45" s="769">
        <f>'Rep Schedule - Advanced'!G36</f>
        <v>0</v>
      </c>
      <c r="D45" s="770">
        <f>'Rep Schedule - Advanced'!H36</f>
        <v>0</v>
      </c>
      <c r="E45" s="644">
        <f>'Rep Schedule - Advanced'!J36</f>
        <v>0</v>
      </c>
      <c r="F45" s="771">
        <f>'Rep Schedule - Advanced'!K36</f>
        <v>0</v>
      </c>
      <c r="G45" s="770">
        <f>'Rep Schedule - Advanced'!N36</f>
        <v>0</v>
      </c>
      <c r="H45" s="772">
        <f>'Rep Schedule - Advanced'!R36</f>
        <v>0</v>
      </c>
      <c r="I45" s="773">
        <f>'Rep Schedule - Advanced'!U36</f>
        <v>0</v>
      </c>
      <c r="J45" s="774">
        <f>'Rep Schedule - Advanced'!X36</f>
        <v>0</v>
      </c>
      <c r="K45" s="774">
        <f>'Rep Schedule - Advanced'!Y36</f>
        <v>0</v>
      </c>
      <c r="L45" s="774">
        <f>'Rep Schedule - Advanced'!Z36</f>
        <v>0</v>
      </c>
      <c r="M45" s="775">
        <f>'Rep Schedule - Advanced'!AB36</f>
        <v>0</v>
      </c>
      <c r="N45" s="701">
        <f t="shared" si="2"/>
        <v>0</v>
      </c>
      <c r="O45" s="789" t="str">
        <f t="shared" si="3"/>
        <v>Annuity 30</v>
      </c>
      <c r="R45" s="607">
        <f t="shared" si="6"/>
        <v>0</v>
      </c>
      <c r="T45" s="622">
        <f t="shared" si="0"/>
        <v>0</v>
      </c>
      <c r="U45" s="623">
        <f t="shared" si="1"/>
        <v>0</v>
      </c>
      <c r="X45" s="715" t="b">
        <f>'Rep Schedule - Advanced'!AN36</f>
        <v>1</v>
      </c>
    </row>
    <row r="46" spans="1:24" ht="15" hidden="1">
      <c r="A46" s="624">
        <f t="shared" si="4"/>
        <v>31</v>
      </c>
      <c r="B46" s="621">
        <f>'Rep Schedule - Advanced'!E37</f>
        <v>41288</v>
      </c>
      <c r="C46" s="769">
        <f>'Rep Schedule - Advanced'!G37</f>
        <v>0</v>
      </c>
      <c r="D46" s="770">
        <f>'Rep Schedule - Advanced'!H37</f>
        <v>0</v>
      </c>
      <c r="E46" s="644">
        <f>'Rep Schedule - Advanced'!J37</f>
        <v>0</v>
      </c>
      <c r="F46" s="771">
        <f>'Rep Schedule - Advanced'!K37</f>
        <v>0</v>
      </c>
      <c r="G46" s="770">
        <f>'Rep Schedule - Advanced'!N37</f>
        <v>0</v>
      </c>
      <c r="H46" s="772">
        <f>'Rep Schedule - Advanced'!R37</f>
        <v>0</v>
      </c>
      <c r="I46" s="773">
        <f>'Rep Schedule - Advanced'!U37</f>
        <v>0</v>
      </c>
      <c r="J46" s="774">
        <f>'Rep Schedule - Advanced'!X37</f>
        <v>0</v>
      </c>
      <c r="K46" s="774">
        <f>'Rep Schedule - Advanced'!Y37</f>
        <v>0</v>
      </c>
      <c r="L46" s="774">
        <f>'Rep Schedule - Advanced'!Z37</f>
        <v>0</v>
      </c>
      <c r="M46" s="775">
        <f>'Rep Schedule - Advanced'!AB37</f>
        <v>0</v>
      </c>
      <c r="N46" s="701">
        <f t="shared" si="2"/>
        <v>0</v>
      </c>
      <c r="O46" s="789" t="str">
        <f t="shared" si="3"/>
        <v>Annuity 31</v>
      </c>
      <c r="R46" s="607">
        <f t="shared" si="6"/>
        <v>0</v>
      </c>
      <c r="T46" s="622">
        <f t="shared" si="0"/>
        <v>0</v>
      </c>
      <c r="U46" s="623">
        <f t="shared" si="1"/>
        <v>0</v>
      </c>
      <c r="X46" s="715" t="b">
        <f>'Rep Schedule - Advanced'!AN37</f>
        <v>1</v>
      </c>
    </row>
    <row r="47" spans="1:24" ht="15" hidden="1">
      <c r="A47" s="624">
        <f t="shared" si="4"/>
        <v>32</v>
      </c>
      <c r="B47" s="621">
        <f>'Rep Schedule - Advanced'!E38</f>
        <v>41319</v>
      </c>
      <c r="C47" s="769">
        <f>'Rep Schedule - Advanced'!G38</f>
        <v>0</v>
      </c>
      <c r="D47" s="770">
        <f>'Rep Schedule - Advanced'!H38</f>
        <v>0</v>
      </c>
      <c r="E47" s="644">
        <f>'Rep Schedule - Advanced'!J38</f>
        <v>0</v>
      </c>
      <c r="F47" s="771">
        <f>'Rep Schedule - Advanced'!K38</f>
        <v>0</v>
      </c>
      <c r="G47" s="770">
        <f>'Rep Schedule - Advanced'!N38</f>
        <v>0</v>
      </c>
      <c r="H47" s="772">
        <f>'Rep Schedule - Advanced'!R38</f>
        <v>0</v>
      </c>
      <c r="I47" s="773">
        <f>'Rep Schedule - Advanced'!U38</f>
        <v>0</v>
      </c>
      <c r="J47" s="774">
        <f>'Rep Schedule - Advanced'!X38</f>
        <v>0</v>
      </c>
      <c r="K47" s="774">
        <f>'Rep Schedule - Advanced'!Y38</f>
        <v>0</v>
      </c>
      <c r="L47" s="774">
        <f>'Rep Schedule - Advanced'!Z38</f>
        <v>0</v>
      </c>
      <c r="M47" s="775">
        <f>'Rep Schedule - Advanced'!AB38</f>
        <v>0</v>
      </c>
      <c r="N47" s="701">
        <f t="shared" si="2"/>
        <v>0</v>
      </c>
      <c r="O47" s="789" t="str">
        <f t="shared" si="3"/>
        <v>Annuity 32</v>
      </c>
      <c r="R47" s="607">
        <f t="shared" si="6"/>
        <v>0</v>
      </c>
      <c r="T47" s="622">
        <f t="shared" si="0"/>
        <v>0</v>
      </c>
      <c r="U47" s="623">
        <f t="shared" si="1"/>
        <v>0</v>
      </c>
      <c r="X47" s="715" t="b">
        <f>'Rep Schedule - Advanced'!AN38</f>
        <v>1</v>
      </c>
    </row>
    <row r="48" spans="1:24" ht="15" hidden="1">
      <c r="A48" s="624">
        <f t="shared" si="4"/>
        <v>33</v>
      </c>
      <c r="B48" s="621">
        <f>'Rep Schedule - Advanced'!E39</f>
        <v>41347</v>
      </c>
      <c r="C48" s="769">
        <f>'Rep Schedule - Advanced'!G39</f>
        <v>0</v>
      </c>
      <c r="D48" s="770">
        <f>'Rep Schedule - Advanced'!H39</f>
        <v>0</v>
      </c>
      <c r="E48" s="644">
        <f>'Rep Schedule - Advanced'!J39</f>
        <v>0</v>
      </c>
      <c r="F48" s="771">
        <f>'Rep Schedule - Advanced'!K39</f>
        <v>0</v>
      </c>
      <c r="G48" s="770">
        <f>'Rep Schedule - Advanced'!N39</f>
        <v>0</v>
      </c>
      <c r="H48" s="772">
        <f>'Rep Schedule - Advanced'!R39</f>
        <v>0</v>
      </c>
      <c r="I48" s="773">
        <f>'Rep Schedule - Advanced'!U39</f>
        <v>0</v>
      </c>
      <c r="J48" s="774">
        <f>'Rep Schedule - Advanced'!X39</f>
        <v>0</v>
      </c>
      <c r="K48" s="774">
        <f>'Rep Schedule - Advanced'!Y39</f>
        <v>0</v>
      </c>
      <c r="L48" s="774">
        <f>'Rep Schedule - Advanced'!Z39</f>
        <v>0</v>
      </c>
      <c r="M48" s="775">
        <f>'Rep Schedule - Advanced'!AB39</f>
        <v>0</v>
      </c>
      <c r="N48" s="701">
        <f t="shared" si="2"/>
        <v>0</v>
      </c>
      <c r="O48" s="789" t="str">
        <f t="shared" si="3"/>
        <v>Annuity 33</v>
      </c>
      <c r="R48" s="607">
        <f t="shared" si="6"/>
        <v>0</v>
      </c>
      <c r="T48" s="622">
        <f t="shared" si="0"/>
        <v>0</v>
      </c>
      <c r="U48" s="623">
        <f t="shared" si="1"/>
        <v>0</v>
      </c>
      <c r="X48" s="715" t="b">
        <f>'Rep Schedule - Advanced'!AN39</f>
        <v>1</v>
      </c>
    </row>
    <row r="49" spans="1:24" ht="15" hidden="1">
      <c r="A49" s="624">
        <f t="shared" si="4"/>
        <v>34</v>
      </c>
      <c r="B49" s="621">
        <f>'Rep Schedule - Advanced'!E40</f>
        <v>41378</v>
      </c>
      <c r="C49" s="769">
        <f>'Rep Schedule - Advanced'!G40</f>
        <v>0</v>
      </c>
      <c r="D49" s="770">
        <f>'Rep Schedule - Advanced'!H40</f>
        <v>0</v>
      </c>
      <c r="E49" s="644">
        <f>'Rep Schedule - Advanced'!J40</f>
        <v>0</v>
      </c>
      <c r="F49" s="771">
        <f>'Rep Schedule - Advanced'!K40</f>
        <v>0</v>
      </c>
      <c r="G49" s="770">
        <f>'Rep Schedule - Advanced'!N40</f>
        <v>0</v>
      </c>
      <c r="H49" s="772">
        <f>'Rep Schedule - Advanced'!R40</f>
        <v>0</v>
      </c>
      <c r="I49" s="773">
        <f>'Rep Schedule - Advanced'!U40</f>
        <v>0</v>
      </c>
      <c r="J49" s="774">
        <f>'Rep Schedule - Advanced'!X40</f>
        <v>0</v>
      </c>
      <c r="K49" s="774">
        <f>'Rep Schedule - Advanced'!Y40</f>
        <v>0</v>
      </c>
      <c r="L49" s="774">
        <f>'Rep Schedule - Advanced'!Z40</f>
        <v>0</v>
      </c>
      <c r="M49" s="775">
        <f>'Rep Schedule - Advanced'!AB40</f>
        <v>0</v>
      </c>
      <c r="N49" s="701">
        <f t="shared" si="2"/>
        <v>0</v>
      </c>
      <c r="O49" s="789" t="str">
        <f t="shared" si="3"/>
        <v>Annuity 34</v>
      </c>
      <c r="R49" s="607">
        <f t="shared" si="6"/>
        <v>0</v>
      </c>
      <c r="T49" s="622">
        <f t="shared" si="0"/>
        <v>0</v>
      </c>
      <c r="U49" s="623">
        <f t="shared" si="1"/>
        <v>0</v>
      </c>
      <c r="X49" s="715" t="b">
        <f>'Rep Schedule - Advanced'!AN40</f>
        <v>1</v>
      </c>
    </row>
    <row r="50" spans="1:24" ht="15" hidden="1">
      <c r="A50" s="624">
        <f t="shared" si="4"/>
        <v>35</v>
      </c>
      <c r="B50" s="621">
        <f>'Rep Schedule - Advanced'!E41</f>
        <v>41408</v>
      </c>
      <c r="C50" s="769">
        <f>'Rep Schedule - Advanced'!G41</f>
        <v>0</v>
      </c>
      <c r="D50" s="770">
        <f>'Rep Schedule - Advanced'!H41</f>
        <v>0</v>
      </c>
      <c r="E50" s="644">
        <f>'Rep Schedule - Advanced'!J41</f>
        <v>0</v>
      </c>
      <c r="F50" s="771">
        <f>'Rep Schedule - Advanced'!K41</f>
        <v>0</v>
      </c>
      <c r="G50" s="770">
        <f>'Rep Schedule - Advanced'!N41</f>
        <v>0</v>
      </c>
      <c r="H50" s="772">
        <f>'Rep Schedule - Advanced'!R41</f>
        <v>0</v>
      </c>
      <c r="I50" s="773">
        <f>'Rep Schedule - Advanced'!U41</f>
        <v>0</v>
      </c>
      <c r="J50" s="774">
        <f>'Rep Schedule - Advanced'!X41</f>
        <v>0</v>
      </c>
      <c r="K50" s="774">
        <f>'Rep Schedule - Advanced'!Y41</f>
        <v>0</v>
      </c>
      <c r="L50" s="774">
        <f>'Rep Schedule - Advanced'!Z41</f>
        <v>0</v>
      </c>
      <c r="M50" s="775">
        <f>'Rep Schedule - Advanced'!AB41</f>
        <v>0</v>
      </c>
      <c r="N50" s="701">
        <f t="shared" si="2"/>
        <v>0</v>
      </c>
      <c r="O50" s="789" t="str">
        <f t="shared" si="3"/>
        <v>Annuity 35</v>
      </c>
      <c r="R50" s="607">
        <f t="shared" si="6"/>
        <v>0</v>
      </c>
      <c r="T50" s="622">
        <f t="shared" si="0"/>
        <v>0</v>
      </c>
      <c r="U50" s="623">
        <f t="shared" si="1"/>
        <v>0</v>
      </c>
      <c r="X50" s="715" t="b">
        <f>'Rep Schedule - Advanced'!AN41</f>
        <v>1</v>
      </c>
    </row>
    <row r="51" spans="1:24" ht="15" hidden="1">
      <c r="A51" s="624">
        <f t="shared" si="4"/>
        <v>36</v>
      </c>
      <c r="B51" s="621">
        <f>'Rep Schedule - Advanced'!E42</f>
        <v>41439</v>
      </c>
      <c r="C51" s="769">
        <f>'Rep Schedule - Advanced'!G42</f>
        <v>0</v>
      </c>
      <c r="D51" s="770">
        <f>'Rep Schedule - Advanced'!H42</f>
        <v>0</v>
      </c>
      <c r="E51" s="644">
        <f>'Rep Schedule - Advanced'!J42</f>
        <v>0</v>
      </c>
      <c r="F51" s="771">
        <f>'Rep Schedule - Advanced'!K42</f>
        <v>0</v>
      </c>
      <c r="G51" s="770">
        <f>'Rep Schedule - Advanced'!N42</f>
        <v>0</v>
      </c>
      <c r="H51" s="772">
        <f>'Rep Schedule - Advanced'!R42</f>
        <v>0</v>
      </c>
      <c r="I51" s="773">
        <f>'Rep Schedule - Advanced'!U42</f>
        <v>0</v>
      </c>
      <c r="J51" s="774">
        <f>'Rep Schedule - Advanced'!X42</f>
        <v>0</v>
      </c>
      <c r="K51" s="774">
        <f>'Rep Schedule - Advanced'!Y42</f>
        <v>0</v>
      </c>
      <c r="L51" s="774">
        <f>'Rep Schedule - Advanced'!Z42</f>
        <v>0</v>
      </c>
      <c r="M51" s="775">
        <f>'Rep Schedule - Advanced'!AB42</f>
        <v>0</v>
      </c>
      <c r="N51" s="701">
        <f t="shared" si="2"/>
        <v>0</v>
      </c>
      <c r="O51" s="789" t="str">
        <f t="shared" si="3"/>
        <v>Annuity 36</v>
      </c>
      <c r="R51" s="607">
        <f t="shared" si="6"/>
        <v>0</v>
      </c>
      <c r="T51" s="622">
        <f t="shared" si="0"/>
        <v>0</v>
      </c>
      <c r="U51" s="623">
        <f t="shared" si="1"/>
        <v>0</v>
      </c>
      <c r="X51" s="715" t="b">
        <f>'Rep Schedule - Advanced'!AN42</f>
        <v>1</v>
      </c>
    </row>
    <row r="52" spans="1:24" ht="15" hidden="1">
      <c r="A52" s="624">
        <f t="shared" si="4"/>
        <v>37</v>
      </c>
      <c r="B52" s="621">
        <f>'Rep Schedule - Advanced'!E43</f>
        <v>41469</v>
      </c>
      <c r="C52" s="769">
        <f>'Rep Schedule - Advanced'!G43</f>
        <v>0</v>
      </c>
      <c r="D52" s="770">
        <f>'Rep Schedule - Advanced'!H43</f>
        <v>0</v>
      </c>
      <c r="E52" s="644">
        <f>'Rep Schedule - Advanced'!J43</f>
        <v>0</v>
      </c>
      <c r="F52" s="771">
        <f>'Rep Schedule - Advanced'!K43</f>
        <v>0</v>
      </c>
      <c r="G52" s="770">
        <f>'Rep Schedule - Advanced'!N43</f>
        <v>0</v>
      </c>
      <c r="H52" s="772">
        <f>'Rep Schedule - Advanced'!R43</f>
        <v>0</v>
      </c>
      <c r="I52" s="773">
        <f>'Rep Schedule - Advanced'!U43</f>
        <v>0</v>
      </c>
      <c r="J52" s="774">
        <f>'Rep Schedule - Advanced'!X43</f>
        <v>0</v>
      </c>
      <c r="K52" s="774">
        <f>'Rep Schedule - Advanced'!Y43</f>
        <v>0</v>
      </c>
      <c r="L52" s="774">
        <f>'Rep Schedule - Advanced'!Z43</f>
        <v>0</v>
      </c>
      <c r="M52" s="775">
        <f>'Rep Schedule - Advanced'!AB43</f>
        <v>0</v>
      </c>
      <c r="N52" s="701">
        <f t="shared" si="2"/>
        <v>0</v>
      </c>
      <c r="O52" s="789" t="str">
        <f t="shared" si="3"/>
        <v>Annuity 37</v>
      </c>
      <c r="R52" s="607">
        <f t="shared" si="6"/>
        <v>0</v>
      </c>
      <c r="T52" s="622">
        <f t="shared" si="0"/>
        <v>0</v>
      </c>
      <c r="U52" s="623">
        <f t="shared" si="1"/>
        <v>0</v>
      </c>
      <c r="X52" s="715" t="b">
        <f>'Rep Schedule - Advanced'!AN43</f>
        <v>1</v>
      </c>
    </row>
    <row r="53" spans="1:24" ht="15" hidden="1">
      <c r="A53" s="624">
        <f t="shared" si="4"/>
        <v>38</v>
      </c>
      <c r="B53" s="621">
        <f>'Rep Schedule - Advanced'!E44</f>
        <v>41500</v>
      </c>
      <c r="C53" s="769">
        <f>'Rep Schedule - Advanced'!G44</f>
        <v>0</v>
      </c>
      <c r="D53" s="770">
        <f>'Rep Schedule - Advanced'!H44</f>
        <v>0</v>
      </c>
      <c r="E53" s="644">
        <f>'Rep Schedule - Advanced'!J44</f>
        <v>0</v>
      </c>
      <c r="F53" s="771">
        <f>'Rep Schedule - Advanced'!K44</f>
        <v>0</v>
      </c>
      <c r="G53" s="770">
        <f>'Rep Schedule - Advanced'!N44</f>
        <v>0</v>
      </c>
      <c r="H53" s="772">
        <f>'Rep Schedule - Advanced'!R44</f>
        <v>0</v>
      </c>
      <c r="I53" s="773">
        <f>'Rep Schedule - Advanced'!U44</f>
        <v>0</v>
      </c>
      <c r="J53" s="774">
        <f>'Rep Schedule - Advanced'!X44</f>
        <v>0</v>
      </c>
      <c r="K53" s="774">
        <f>'Rep Schedule - Advanced'!Y44</f>
        <v>0</v>
      </c>
      <c r="L53" s="774">
        <f>'Rep Schedule - Advanced'!Z44</f>
        <v>0</v>
      </c>
      <c r="M53" s="775">
        <f>'Rep Schedule - Advanced'!AB44</f>
        <v>0</v>
      </c>
      <c r="N53" s="701">
        <f t="shared" si="2"/>
        <v>0</v>
      </c>
      <c r="O53" s="789" t="str">
        <f t="shared" si="3"/>
        <v>Annuity 38</v>
      </c>
      <c r="R53" s="607">
        <f t="shared" si="6"/>
        <v>0</v>
      </c>
      <c r="T53" s="622">
        <f t="shared" si="0"/>
        <v>0</v>
      </c>
      <c r="U53" s="623">
        <f t="shared" si="1"/>
        <v>0</v>
      </c>
      <c r="X53" s="715" t="b">
        <f>'Rep Schedule - Advanced'!AN44</f>
        <v>1</v>
      </c>
    </row>
    <row r="54" spans="1:24" ht="15" hidden="1">
      <c r="A54" s="624">
        <f t="shared" si="4"/>
        <v>39</v>
      </c>
      <c r="B54" s="621">
        <f>'Rep Schedule - Advanced'!E45</f>
        <v>41531</v>
      </c>
      <c r="C54" s="769">
        <f>'Rep Schedule - Advanced'!G45</f>
        <v>0</v>
      </c>
      <c r="D54" s="770">
        <f>'Rep Schedule - Advanced'!H45</f>
        <v>0</v>
      </c>
      <c r="E54" s="644">
        <f>'Rep Schedule - Advanced'!J45</f>
        <v>0</v>
      </c>
      <c r="F54" s="771">
        <f>'Rep Schedule - Advanced'!K45</f>
        <v>0</v>
      </c>
      <c r="G54" s="770">
        <f>'Rep Schedule - Advanced'!N45</f>
        <v>0</v>
      </c>
      <c r="H54" s="772">
        <f>'Rep Schedule - Advanced'!R45</f>
        <v>0</v>
      </c>
      <c r="I54" s="773">
        <f>'Rep Schedule - Advanced'!U45</f>
        <v>0</v>
      </c>
      <c r="J54" s="774">
        <f>'Rep Schedule - Advanced'!X45</f>
        <v>0</v>
      </c>
      <c r="K54" s="774">
        <f>'Rep Schedule - Advanced'!Y45</f>
        <v>0</v>
      </c>
      <c r="L54" s="774">
        <f>'Rep Schedule - Advanced'!Z45</f>
        <v>0</v>
      </c>
      <c r="M54" s="775">
        <f>'Rep Schedule - Advanced'!AB45</f>
        <v>0</v>
      </c>
      <c r="N54" s="701">
        <f t="shared" si="2"/>
        <v>0</v>
      </c>
      <c r="O54" s="789" t="str">
        <f t="shared" si="3"/>
        <v>Annuity 39</v>
      </c>
      <c r="R54" s="607">
        <f t="shared" si="6"/>
        <v>0</v>
      </c>
      <c r="T54" s="622">
        <f t="shared" si="0"/>
        <v>0</v>
      </c>
      <c r="U54" s="623">
        <f t="shared" si="1"/>
        <v>0</v>
      </c>
      <c r="X54" s="715" t="b">
        <f>'Rep Schedule - Advanced'!AN45</f>
        <v>1</v>
      </c>
    </row>
    <row r="55" spans="1:24" ht="15" hidden="1">
      <c r="A55" s="624">
        <f t="shared" si="4"/>
        <v>40</v>
      </c>
      <c r="B55" s="621">
        <f>'Rep Schedule - Advanced'!E46</f>
        <v>41561</v>
      </c>
      <c r="C55" s="769">
        <f>'Rep Schedule - Advanced'!G46</f>
        <v>0</v>
      </c>
      <c r="D55" s="770">
        <f>'Rep Schedule - Advanced'!H46</f>
        <v>0</v>
      </c>
      <c r="E55" s="644">
        <f>'Rep Schedule - Advanced'!J46</f>
        <v>0</v>
      </c>
      <c r="F55" s="771">
        <f>'Rep Schedule - Advanced'!K46</f>
        <v>0</v>
      </c>
      <c r="G55" s="770">
        <f>'Rep Schedule - Advanced'!N46</f>
        <v>0</v>
      </c>
      <c r="H55" s="772">
        <f>'Rep Schedule - Advanced'!R46</f>
        <v>0</v>
      </c>
      <c r="I55" s="773">
        <f>'Rep Schedule - Advanced'!U46</f>
        <v>0</v>
      </c>
      <c r="J55" s="774">
        <f>'Rep Schedule - Advanced'!X46</f>
        <v>0</v>
      </c>
      <c r="K55" s="774">
        <f>'Rep Schedule - Advanced'!Y46</f>
        <v>0</v>
      </c>
      <c r="L55" s="774">
        <f>'Rep Schedule - Advanced'!Z46</f>
        <v>0</v>
      </c>
      <c r="M55" s="775">
        <f>'Rep Schedule - Advanced'!AB46</f>
        <v>0</v>
      </c>
      <c r="N55" s="701">
        <f t="shared" si="2"/>
        <v>0</v>
      </c>
      <c r="O55" s="789" t="str">
        <f t="shared" si="3"/>
        <v>Annuity 40</v>
      </c>
      <c r="R55" s="607">
        <f t="shared" si="6"/>
        <v>0</v>
      </c>
      <c r="T55" s="622">
        <f t="shared" si="0"/>
        <v>0</v>
      </c>
      <c r="U55" s="623">
        <f t="shared" si="1"/>
        <v>0</v>
      </c>
      <c r="X55" s="715" t="b">
        <f>'Rep Schedule - Advanced'!AN46</f>
        <v>1</v>
      </c>
    </row>
    <row r="56" spans="1:24" ht="15" hidden="1">
      <c r="A56" s="624">
        <f t="shared" si="4"/>
        <v>41</v>
      </c>
      <c r="B56" s="621">
        <f>'Rep Schedule - Advanced'!E47</f>
        <v>41592</v>
      </c>
      <c r="C56" s="769">
        <f>'Rep Schedule - Advanced'!G47</f>
        <v>0</v>
      </c>
      <c r="D56" s="770">
        <f>'Rep Schedule - Advanced'!H47</f>
        <v>0</v>
      </c>
      <c r="E56" s="644">
        <f>'Rep Schedule - Advanced'!J47</f>
        <v>0</v>
      </c>
      <c r="F56" s="771">
        <f>'Rep Schedule - Advanced'!K47</f>
        <v>0</v>
      </c>
      <c r="G56" s="770">
        <f>'Rep Schedule - Advanced'!N47</f>
        <v>0</v>
      </c>
      <c r="H56" s="772">
        <f>'Rep Schedule - Advanced'!R47</f>
        <v>0</v>
      </c>
      <c r="I56" s="773">
        <f>'Rep Schedule - Advanced'!U47</f>
        <v>0</v>
      </c>
      <c r="J56" s="774">
        <f>'Rep Schedule - Advanced'!X47</f>
        <v>0</v>
      </c>
      <c r="K56" s="774">
        <f>'Rep Schedule - Advanced'!Y47</f>
        <v>0</v>
      </c>
      <c r="L56" s="774">
        <f>'Rep Schedule - Advanced'!Z47</f>
        <v>0</v>
      </c>
      <c r="M56" s="775">
        <f>'Rep Schedule - Advanced'!AB47</f>
        <v>0</v>
      </c>
      <c r="N56" s="701">
        <f t="shared" si="2"/>
        <v>0</v>
      </c>
      <c r="O56" s="789" t="str">
        <f t="shared" si="3"/>
        <v>Annuity 41</v>
      </c>
      <c r="R56" s="607">
        <f t="shared" si="6"/>
        <v>0</v>
      </c>
      <c r="T56" s="622">
        <f t="shared" si="0"/>
        <v>0</v>
      </c>
      <c r="U56" s="623">
        <f t="shared" si="1"/>
        <v>0</v>
      </c>
      <c r="X56" s="715" t="b">
        <f>'Rep Schedule - Advanced'!AN47</f>
        <v>1</v>
      </c>
    </row>
    <row r="57" spans="1:24" ht="15" hidden="1">
      <c r="A57" s="624">
        <f t="shared" si="4"/>
        <v>42</v>
      </c>
      <c r="B57" s="621">
        <f>'Rep Schedule - Advanced'!E48</f>
        <v>41622</v>
      </c>
      <c r="C57" s="769">
        <f>'Rep Schedule - Advanced'!G48</f>
        <v>0</v>
      </c>
      <c r="D57" s="770">
        <f>'Rep Schedule - Advanced'!H48</f>
        <v>0</v>
      </c>
      <c r="E57" s="644">
        <f>'Rep Schedule - Advanced'!J48</f>
        <v>0</v>
      </c>
      <c r="F57" s="771">
        <f>'Rep Schedule - Advanced'!K48</f>
        <v>0</v>
      </c>
      <c r="G57" s="770">
        <f>'Rep Schedule - Advanced'!N48</f>
        <v>0</v>
      </c>
      <c r="H57" s="772">
        <f>'Rep Schedule - Advanced'!R48</f>
        <v>0</v>
      </c>
      <c r="I57" s="773">
        <f>'Rep Schedule - Advanced'!U48</f>
        <v>0</v>
      </c>
      <c r="J57" s="774">
        <f>'Rep Schedule - Advanced'!X48</f>
        <v>0</v>
      </c>
      <c r="K57" s="774">
        <f>'Rep Schedule - Advanced'!Y48</f>
        <v>0</v>
      </c>
      <c r="L57" s="774">
        <f>'Rep Schedule - Advanced'!Z48</f>
        <v>0</v>
      </c>
      <c r="M57" s="775">
        <f>'Rep Schedule - Advanced'!AB48</f>
        <v>0</v>
      </c>
      <c r="N57" s="701">
        <f t="shared" si="2"/>
        <v>0</v>
      </c>
      <c r="O57" s="789" t="str">
        <f t="shared" si="3"/>
        <v>Annuity 42</v>
      </c>
      <c r="R57" s="607">
        <f t="shared" si="6"/>
        <v>0</v>
      </c>
      <c r="T57" s="622">
        <f t="shared" si="0"/>
        <v>0</v>
      </c>
      <c r="U57" s="623">
        <f t="shared" si="1"/>
        <v>0</v>
      </c>
      <c r="X57" s="715" t="b">
        <f>'Rep Schedule - Advanced'!AN48</f>
        <v>1</v>
      </c>
    </row>
    <row r="58" spans="1:24" ht="15" hidden="1">
      <c r="A58" s="624">
        <f t="shared" si="4"/>
        <v>43</v>
      </c>
      <c r="B58" s="621">
        <f>'Rep Schedule - Advanced'!E49</f>
        <v>41653</v>
      </c>
      <c r="C58" s="769">
        <f>'Rep Schedule - Advanced'!G49</f>
        <v>0</v>
      </c>
      <c r="D58" s="770">
        <f>'Rep Schedule - Advanced'!H49</f>
        <v>0</v>
      </c>
      <c r="E58" s="644">
        <f>'Rep Schedule - Advanced'!J49</f>
        <v>0</v>
      </c>
      <c r="F58" s="771">
        <f>'Rep Schedule - Advanced'!K49</f>
        <v>0</v>
      </c>
      <c r="G58" s="770">
        <f>'Rep Schedule - Advanced'!N49</f>
        <v>0</v>
      </c>
      <c r="H58" s="772">
        <f>'Rep Schedule - Advanced'!R49</f>
        <v>0</v>
      </c>
      <c r="I58" s="773">
        <f>'Rep Schedule - Advanced'!U49</f>
        <v>0</v>
      </c>
      <c r="J58" s="774">
        <f>'Rep Schedule - Advanced'!X49</f>
        <v>0</v>
      </c>
      <c r="K58" s="774">
        <f>'Rep Schedule - Advanced'!Y49</f>
        <v>0</v>
      </c>
      <c r="L58" s="774">
        <f>'Rep Schedule - Advanced'!Z49</f>
        <v>0</v>
      </c>
      <c r="M58" s="775">
        <f>'Rep Schedule - Advanced'!AB49</f>
        <v>0</v>
      </c>
      <c r="N58" s="701">
        <f t="shared" si="2"/>
        <v>0</v>
      </c>
      <c r="O58" s="789" t="str">
        <f t="shared" si="3"/>
        <v>Annuity 43</v>
      </c>
      <c r="R58" s="607">
        <f t="shared" si="6"/>
        <v>0</v>
      </c>
      <c r="T58" s="622">
        <f t="shared" si="0"/>
        <v>0</v>
      </c>
      <c r="U58" s="623">
        <f t="shared" si="1"/>
        <v>0</v>
      </c>
      <c r="X58" s="715" t="b">
        <f>'Rep Schedule - Advanced'!AN49</f>
        <v>1</v>
      </c>
    </row>
    <row r="59" spans="1:24" ht="15" hidden="1">
      <c r="A59" s="624">
        <f t="shared" si="4"/>
        <v>44</v>
      </c>
      <c r="B59" s="621">
        <f>'Rep Schedule - Advanced'!E50</f>
        <v>41684</v>
      </c>
      <c r="C59" s="769">
        <f>'Rep Schedule - Advanced'!G50</f>
        <v>0</v>
      </c>
      <c r="D59" s="770">
        <f>'Rep Schedule - Advanced'!H50</f>
        <v>0</v>
      </c>
      <c r="E59" s="644">
        <f>'Rep Schedule - Advanced'!J50</f>
        <v>0</v>
      </c>
      <c r="F59" s="771">
        <f>'Rep Schedule - Advanced'!K50</f>
        <v>0</v>
      </c>
      <c r="G59" s="770">
        <f>'Rep Schedule - Advanced'!N50</f>
        <v>0</v>
      </c>
      <c r="H59" s="772">
        <f>'Rep Schedule - Advanced'!R50</f>
        <v>0</v>
      </c>
      <c r="I59" s="773">
        <f>'Rep Schedule - Advanced'!U50</f>
        <v>0</v>
      </c>
      <c r="J59" s="774">
        <f>'Rep Schedule - Advanced'!X50</f>
        <v>0</v>
      </c>
      <c r="K59" s="774">
        <f>'Rep Schedule - Advanced'!Y50</f>
        <v>0</v>
      </c>
      <c r="L59" s="774">
        <f>'Rep Schedule - Advanced'!Z50</f>
        <v>0</v>
      </c>
      <c r="M59" s="775">
        <f>'Rep Schedule - Advanced'!AB50</f>
        <v>0</v>
      </c>
      <c r="N59" s="701">
        <f t="shared" si="2"/>
        <v>0</v>
      </c>
      <c r="O59" s="789" t="str">
        <f t="shared" si="3"/>
        <v>Annuity 44</v>
      </c>
      <c r="R59" s="607">
        <f t="shared" si="6"/>
        <v>0</v>
      </c>
      <c r="T59" s="622">
        <f t="shared" si="0"/>
        <v>0</v>
      </c>
      <c r="U59" s="623">
        <f t="shared" si="1"/>
        <v>0</v>
      </c>
      <c r="X59" s="715" t="b">
        <f>'Rep Schedule - Advanced'!AN50</f>
        <v>1</v>
      </c>
    </row>
    <row r="60" spans="1:24" ht="15" hidden="1">
      <c r="A60" s="624">
        <f t="shared" si="4"/>
        <v>45</v>
      </c>
      <c r="B60" s="621">
        <f>'Rep Schedule - Advanced'!E51</f>
        <v>41712</v>
      </c>
      <c r="C60" s="769">
        <f>'Rep Schedule - Advanced'!G51</f>
        <v>0</v>
      </c>
      <c r="D60" s="770">
        <f>'Rep Schedule - Advanced'!H51</f>
        <v>0</v>
      </c>
      <c r="E60" s="644">
        <f>'Rep Schedule - Advanced'!J51</f>
        <v>0</v>
      </c>
      <c r="F60" s="771">
        <f>'Rep Schedule - Advanced'!K51</f>
        <v>0</v>
      </c>
      <c r="G60" s="770">
        <f>'Rep Schedule - Advanced'!N51</f>
        <v>0</v>
      </c>
      <c r="H60" s="772">
        <f>'Rep Schedule - Advanced'!R51</f>
        <v>0</v>
      </c>
      <c r="I60" s="773">
        <f>'Rep Schedule - Advanced'!U51</f>
        <v>0</v>
      </c>
      <c r="J60" s="774">
        <f>'Rep Schedule - Advanced'!X51</f>
        <v>0</v>
      </c>
      <c r="K60" s="774">
        <f>'Rep Schedule - Advanced'!Y51</f>
        <v>0</v>
      </c>
      <c r="L60" s="774">
        <f>'Rep Schedule - Advanced'!Z51</f>
        <v>0</v>
      </c>
      <c r="M60" s="775">
        <f>'Rep Schedule - Advanced'!AB51</f>
        <v>0</v>
      </c>
      <c r="N60" s="701">
        <f t="shared" si="2"/>
        <v>0</v>
      </c>
      <c r="O60" s="789" t="str">
        <f t="shared" si="3"/>
        <v>Annuity 45</v>
      </c>
      <c r="R60" s="607">
        <f t="shared" si="6"/>
        <v>0</v>
      </c>
      <c r="T60" s="622">
        <f t="shared" si="0"/>
        <v>0</v>
      </c>
      <c r="U60" s="623">
        <f t="shared" si="1"/>
        <v>0</v>
      </c>
      <c r="X60" s="715" t="b">
        <f>'Rep Schedule - Advanced'!AN51</f>
        <v>1</v>
      </c>
    </row>
    <row r="61" spans="1:24" ht="15" hidden="1">
      <c r="A61" s="624">
        <f t="shared" si="4"/>
        <v>46</v>
      </c>
      <c r="B61" s="621">
        <f>'Rep Schedule - Advanced'!E52</f>
        <v>41743</v>
      </c>
      <c r="C61" s="769">
        <f>'Rep Schedule - Advanced'!G52</f>
        <v>0</v>
      </c>
      <c r="D61" s="770">
        <f>'Rep Schedule - Advanced'!H52</f>
        <v>0</v>
      </c>
      <c r="E61" s="644">
        <f>'Rep Schedule - Advanced'!J52</f>
        <v>0</v>
      </c>
      <c r="F61" s="771">
        <f>'Rep Schedule - Advanced'!K52</f>
        <v>0</v>
      </c>
      <c r="G61" s="770">
        <f>'Rep Schedule - Advanced'!N52</f>
        <v>0</v>
      </c>
      <c r="H61" s="772">
        <f>'Rep Schedule - Advanced'!R52</f>
        <v>0</v>
      </c>
      <c r="I61" s="773">
        <f>'Rep Schedule - Advanced'!U52</f>
        <v>0</v>
      </c>
      <c r="J61" s="774">
        <f>'Rep Schedule - Advanced'!X52</f>
        <v>0</v>
      </c>
      <c r="K61" s="774">
        <f>'Rep Schedule - Advanced'!Y52</f>
        <v>0</v>
      </c>
      <c r="L61" s="774">
        <f>'Rep Schedule - Advanced'!Z52</f>
        <v>0</v>
      </c>
      <c r="M61" s="775">
        <f>'Rep Schedule - Advanced'!AB52</f>
        <v>0</v>
      </c>
      <c r="N61" s="701">
        <f t="shared" si="2"/>
        <v>0</v>
      </c>
      <c r="O61" s="789" t="str">
        <f t="shared" si="3"/>
        <v>Annuity 46</v>
      </c>
      <c r="R61" s="607">
        <f t="shared" si="6"/>
        <v>0</v>
      </c>
      <c r="T61" s="622">
        <f t="shared" si="0"/>
        <v>0</v>
      </c>
      <c r="U61" s="623">
        <f t="shared" si="1"/>
        <v>0</v>
      </c>
      <c r="X61" s="715" t="b">
        <f>'Rep Schedule - Advanced'!AN52</f>
        <v>1</v>
      </c>
    </row>
    <row r="62" spans="1:24" ht="15" hidden="1">
      <c r="A62" s="624">
        <f t="shared" si="4"/>
        <v>47</v>
      </c>
      <c r="B62" s="621">
        <f>'Rep Schedule - Advanced'!E53</f>
        <v>41773</v>
      </c>
      <c r="C62" s="769">
        <f>'Rep Schedule - Advanced'!G53</f>
        <v>0</v>
      </c>
      <c r="D62" s="770">
        <f>'Rep Schedule - Advanced'!H53</f>
        <v>0</v>
      </c>
      <c r="E62" s="644">
        <f>'Rep Schedule - Advanced'!J53</f>
        <v>0</v>
      </c>
      <c r="F62" s="771">
        <f>'Rep Schedule - Advanced'!K53</f>
        <v>0</v>
      </c>
      <c r="G62" s="770">
        <f>'Rep Schedule - Advanced'!N53</f>
        <v>0</v>
      </c>
      <c r="H62" s="772">
        <f>'Rep Schedule - Advanced'!R53</f>
        <v>0</v>
      </c>
      <c r="I62" s="773">
        <f>'Rep Schedule - Advanced'!U53</f>
        <v>0</v>
      </c>
      <c r="J62" s="774">
        <f>'Rep Schedule - Advanced'!X53</f>
        <v>0</v>
      </c>
      <c r="K62" s="774">
        <f>'Rep Schedule - Advanced'!Y53</f>
        <v>0</v>
      </c>
      <c r="L62" s="774">
        <f>'Rep Schedule - Advanced'!Z53</f>
        <v>0</v>
      </c>
      <c r="M62" s="775">
        <f>'Rep Schedule - Advanced'!AB53</f>
        <v>0</v>
      </c>
      <c r="N62" s="701">
        <f t="shared" si="2"/>
        <v>0</v>
      </c>
      <c r="O62" s="789" t="str">
        <f t="shared" si="3"/>
        <v>Annuity 47</v>
      </c>
      <c r="R62" s="607">
        <f t="shared" si="6"/>
        <v>0</v>
      </c>
      <c r="T62" s="622">
        <f t="shared" si="0"/>
        <v>0</v>
      </c>
      <c r="U62" s="623">
        <f t="shared" si="1"/>
        <v>0</v>
      </c>
      <c r="X62" s="715" t="b">
        <f>'Rep Schedule - Advanced'!AN53</f>
        <v>1</v>
      </c>
    </row>
    <row r="63" spans="1:24" ht="15" hidden="1">
      <c r="A63" s="624">
        <f t="shared" si="4"/>
        <v>48</v>
      </c>
      <c r="B63" s="621">
        <f>'Rep Schedule - Advanced'!E54</f>
        <v>41804</v>
      </c>
      <c r="C63" s="769">
        <f>'Rep Schedule - Advanced'!G54</f>
        <v>0</v>
      </c>
      <c r="D63" s="770">
        <f>'Rep Schedule - Advanced'!H54</f>
        <v>0</v>
      </c>
      <c r="E63" s="644">
        <f>'Rep Schedule - Advanced'!J54</f>
        <v>0</v>
      </c>
      <c r="F63" s="771">
        <f>'Rep Schedule - Advanced'!K54</f>
        <v>0</v>
      </c>
      <c r="G63" s="770">
        <f>'Rep Schedule - Advanced'!N54</f>
        <v>0</v>
      </c>
      <c r="H63" s="772">
        <f>'Rep Schedule - Advanced'!R54</f>
        <v>0</v>
      </c>
      <c r="I63" s="773">
        <f>'Rep Schedule - Advanced'!U54</f>
        <v>0</v>
      </c>
      <c r="J63" s="774">
        <f>'Rep Schedule - Advanced'!X54</f>
        <v>0</v>
      </c>
      <c r="K63" s="774">
        <f>'Rep Schedule - Advanced'!Y54</f>
        <v>0</v>
      </c>
      <c r="L63" s="774">
        <f>'Rep Schedule - Advanced'!Z54</f>
        <v>0</v>
      </c>
      <c r="M63" s="775">
        <f>'Rep Schedule - Advanced'!AB54</f>
        <v>0</v>
      </c>
      <c r="N63" s="701">
        <f t="shared" si="2"/>
        <v>0</v>
      </c>
      <c r="O63" s="789" t="str">
        <f t="shared" si="3"/>
        <v>Annuity 48</v>
      </c>
      <c r="R63" s="607">
        <f t="shared" si="6"/>
        <v>0</v>
      </c>
      <c r="T63" s="622">
        <f t="shared" si="0"/>
        <v>0</v>
      </c>
      <c r="U63" s="623">
        <f t="shared" si="1"/>
        <v>0</v>
      </c>
      <c r="X63" s="715" t="b">
        <f>'Rep Schedule - Advanced'!AN54</f>
        <v>1</v>
      </c>
    </row>
    <row r="64" spans="1:24" ht="15" hidden="1">
      <c r="A64" s="624">
        <f t="shared" si="4"/>
        <v>49</v>
      </c>
      <c r="B64" s="621">
        <f>'Rep Schedule - Advanced'!E55</f>
        <v>41834</v>
      </c>
      <c r="C64" s="769">
        <f>'Rep Schedule - Advanced'!G55</f>
        <v>0</v>
      </c>
      <c r="D64" s="770">
        <f>'Rep Schedule - Advanced'!H55</f>
        <v>0</v>
      </c>
      <c r="E64" s="644">
        <f>'Rep Schedule - Advanced'!J55</f>
        <v>0</v>
      </c>
      <c r="F64" s="771">
        <f>'Rep Schedule - Advanced'!K55</f>
        <v>0</v>
      </c>
      <c r="G64" s="770">
        <f>'Rep Schedule - Advanced'!N55</f>
        <v>0</v>
      </c>
      <c r="H64" s="772">
        <f>'Rep Schedule - Advanced'!R55</f>
        <v>0</v>
      </c>
      <c r="I64" s="773">
        <f>'Rep Schedule - Advanced'!U55</f>
        <v>0</v>
      </c>
      <c r="J64" s="774">
        <f>'Rep Schedule - Advanced'!X55</f>
        <v>0</v>
      </c>
      <c r="K64" s="774">
        <f>'Rep Schedule - Advanced'!Y55</f>
        <v>0</v>
      </c>
      <c r="L64" s="774">
        <f>'Rep Schedule - Advanced'!Z55</f>
        <v>0</v>
      </c>
      <c r="M64" s="775">
        <f>'Rep Schedule - Advanced'!AB55</f>
        <v>0</v>
      </c>
      <c r="N64" s="701">
        <f t="shared" si="2"/>
        <v>0</v>
      </c>
      <c r="O64" s="789" t="str">
        <f t="shared" si="3"/>
        <v>Annuity 49</v>
      </c>
      <c r="R64" s="607">
        <f t="shared" si="6"/>
        <v>0</v>
      </c>
      <c r="T64" s="622">
        <f t="shared" si="0"/>
        <v>0</v>
      </c>
      <c r="U64" s="623">
        <f t="shared" si="1"/>
        <v>0</v>
      </c>
      <c r="X64" s="715" t="b">
        <f>'Rep Schedule - Advanced'!AN55</f>
        <v>1</v>
      </c>
    </row>
    <row r="65" spans="1:24" ht="15" hidden="1">
      <c r="A65" s="624">
        <f t="shared" si="4"/>
        <v>50</v>
      </c>
      <c r="B65" s="621">
        <f>'Rep Schedule - Advanced'!E56</f>
        <v>41865</v>
      </c>
      <c r="C65" s="769">
        <f>'Rep Schedule - Advanced'!G56</f>
        <v>0</v>
      </c>
      <c r="D65" s="770">
        <f>'Rep Schedule - Advanced'!H56</f>
        <v>0</v>
      </c>
      <c r="E65" s="644">
        <f>'Rep Schedule - Advanced'!J56</f>
        <v>0</v>
      </c>
      <c r="F65" s="771">
        <f>'Rep Schedule - Advanced'!K56</f>
        <v>0</v>
      </c>
      <c r="G65" s="770">
        <f>'Rep Schedule - Advanced'!N56</f>
        <v>0</v>
      </c>
      <c r="H65" s="772">
        <f>'Rep Schedule - Advanced'!R56</f>
        <v>0</v>
      </c>
      <c r="I65" s="773">
        <f>'Rep Schedule - Advanced'!U56</f>
        <v>0</v>
      </c>
      <c r="J65" s="774">
        <f>'Rep Schedule - Advanced'!X56</f>
        <v>0</v>
      </c>
      <c r="K65" s="774">
        <f>'Rep Schedule - Advanced'!Y56</f>
        <v>0</v>
      </c>
      <c r="L65" s="774">
        <f>'Rep Schedule - Advanced'!Z56</f>
        <v>0</v>
      </c>
      <c r="M65" s="775">
        <f>'Rep Schedule - Advanced'!AB56</f>
        <v>0</v>
      </c>
      <c r="N65" s="701">
        <f t="shared" si="2"/>
        <v>0</v>
      </c>
      <c r="O65" s="789" t="str">
        <f t="shared" si="3"/>
        <v>Annuity 50</v>
      </c>
      <c r="R65" s="607">
        <f t="shared" si="6"/>
        <v>0</v>
      </c>
      <c r="T65" s="622">
        <f t="shared" si="0"/>
        <v>0</v>
      </c>
      <c r="U65" s="623">
        <f t="shared" si="1"/>
        <v>0</v>
      </c>
      <c r="X65" s="715" t="b">
        <f>'Rep Schedule - Advanced'!AN56</f>
        <v>1</v>
      </c>
    </row>
    <row r="66" spans="1:24" ht="15" hidden="1">
      <c r="A66" s="624">
        <f t="shared" si="4"/>
        <v>51</v>
      </c>
      <c r="B66" s="621">
        <f>'Rep Schedule - Advanced'!E57</f>
        <v>41896</v>
      </c>
      <c r="C66" s="769">
        <f>'Rep Schedule - Advanced'!G57</f>
        <v>0</v>
      </c>
      <c r="D66" s="770">
        <f>'Rep Schedule - Advanced'!H57</f>
        <v>0</v>
      </c>
      <c r="E66" s="644">
        <f>'Rep Schedule - Advanced'!J57</f>
        <v>0</v>
      </c>
      <c r="F66" s="771">
        <f>'Rep Schedule - Advanced'!K57</f>
        <v>0</v>
      </c>
      <c r="G66" s="770">
        <f>'Rep Schedule - Advanced'!N57</f>
        <v>0</v>
      </c>
      <c r="H66" s="772">
        <f>'Rep Schedule - Advanced'!R57</f>
        <v>0</v>
      </c>
      <c r="I66" s="773">
        <f>'Rep Schedule - Advanced'!U57</f>
        <v>0</v>
      </c>
      <c r="J66" s="774">
        <f>'Rep Schedule - Advanced'!X57</f>
        <v>0</v>
      </c>
      <c r="K66" s="774">
        <f>'Rep Schedule - Advanced'!Y57</f>
        <v>0</v>
      </c>
      <c r="L66" s="774">
        <f>'Rep Schedule - Advanced'!Z57</f>
        <v>0</v>
      </c>
      <c r="M66" s="775">
        <f>'Rep Schedule - Advanced'!AB57</f>
        <v>0</v>
      </c>
      <c r="N66" s="701">
        <f t="shared" si="2"/>
        <v>0</v>
      </c>
      <c r="O66" s="789" t="str">
        <f t="shared" si="3"/>
        <v>Annuity 51</v>
      </c>
      <c r="R66" s="607">
        <f t="shared" si="6"/>
        <v>0</v>
      </c>
      <c r="T66" s="622">
        <f t="shared" si="0"/>
        <v>0</v>
      </c>
      <c r="U66" s="623">
        <f t="shared" si="1"/>
        <v>0</v>
      </c>
      <c r="X66" s="715" t="b">
        <f>'Rep Schedule - Advanced'!AN57</f>
        <v>1</v>
      </c>
    </row>
    <row r="67" spans="1:24" ht="15" hidden="1">
      <c r="A67" s="624">
        <f t="shared" si="4"/>
        <v>52</v>
      </c>
      <c r="B67" s="621">
        <f>'Rep Schedule - Advanced'!E58</f>
        <v>41926</v>
      </c>
      <c r="C67" s="769">
        <f>'Rep Schedule - Advanced'!G58</f>
        <v>0</v>
      </c>
      <c r="D67" s="770">
        <f>'Rep Schedule - Advanced'!H58</f>
        <v>0</v>
      </c>
      <c r="E67" s="644">
        <f>'Rep Schedule - Advanced'!J58</f>
        <v>0</v>
      </c>
      <c r="F67" s="771">
        <f>'Rep Schedule - Advanced'!K58</f>
        <v>0</v>
      </c>
      <c r="G67" s="770">
        <f>'Rep Schedule - Advanced'!N58</f>
        <v>0</v>
      </c>
      <c r="H67" s="772">
        <f>'Rep Schedule - Advanced'!R58</f>
        <v>0</v>
      </c>
      <c r="I67" s="773">
        <f>'Rep Schedule - Advanced'!U58</f>
        <v>0</v>
      </c>
      <c r="J67" s="774">
        <f>'Rep Schedule - Advanced'!X58</f>
        <v>0</v>
      </c>
      <c r="K67" s="774">
        <f>'Rep Schedule - Advanced'!Y58</f>
        <v>0</v>
      </c>
      <c r="L67" s="774">
        <f>'Rep Schedule - Advanced'!Z58</f>
        <v>0</v>
      </c>
      <c r="M67" s="775">
        <f>'Rep Schedule - Advanced'!AB58</f>
        <v>0</v>
      </c>
      <c r="N67" s="701">
        <f t="shared" si="2"/>
        <v>0</v>
      </c>
      <c r="O67" s="789" t="str">
        <f t="shared" si="3"/>
        <v>Annuity 52</v>
      </c>
      <c r="R67" s="607">
        <f t="shared" si="6"/>
        <v>0</v>
      </c>
      <c r="T67" s="622">
        <f t="shared" si="0"/>
        <v>0</v>
      </c>
      <c r="U67" s="623">
        <f t="shared" si="1"/>
        <v>0</v>
      </c>
      <c r="X67" s="715" t="b">
        <f>'Rep Schedule - Advanced'!AN58</f>
        <v>1</v>
      </c>
    </row>
    <row r="68" spans="1:24" ht="15" hidden="1">
      <c r="A68" s="624">
        <f t="shared" si="4"/>
        <v>53</v>
      </c>
      <c r="B68" s="621">
        <f>'Rep Schedule - Advanced'!E59</f>
        <v>41957</v>
      </c>
      <c r="C68" s="769">
        <f>'Rep Schedule - Advanced'!G59</f>
        <v>0</v>
      </c>
      <c r="D68" s="770">
        <f>'Rep Schedule - Advanced'!H59</f>
        <v>0</v>
      </c>
      <c r="E68" s="644">
        <f>'Rep Schedule - Advanced'!J59</f>
        <v>0</v>
      </c>
      <c r="F68" s="771">
        <f>'Rep Schedule - Advanced'!K59</f>
        <v>0</v>
      </c>
      <c r="G68" s="770">
        <f>'Rep Schedule - Advanced'!N59</f>
        <v>0</v>
      </c>
      <c r="H68" s="772">
        <f>'Rep Schedule - Advanced'!R59</f>
        <v>0</v>
      </c>
      <c r="I68" s="773">
        <f>'Rep Schedule - Advanced'!U59</f>
        <v>0</v>
      </c>
      <c r="J68" s="774">
        <f>'Rep Schedule - Advanced'!X59</f>
        <v>0</v>
      </c>
      <c r="K68" s="774">
        <f>'Rep Schedule - Advanced'!Y59</f>
        <v>0</v>
      </c>
      <c r="L68" s="774">
        <f>'Rep Schedule - Advanced'!Z59</f>
        <v>0</v>
      </c>
      <c r="M68" s="775">
        <f>'Rep Schedule - Advanced'!AB59</f>
        <v>0</v>
      </c>
      <c r="N68" s="701">
        <f t="shared" si="2"/>
        <v>0</v>
      </c>
      <c r="O68" s="789" t="str">
        <f t="shared" si="3"/>
        <v>Annuity 53</v>
      </c>
      <c r="R68" s="607">
        <f t="shared" si="6"/>
        <v>0</v>
      </c>
      <c r="T68" s="622">
        <f t="shared" si="0"/>
        <v>0</v>
      </c>
      <c r="U68" s="623">
        <f t="shared" si="1"/>
        <v>0</v>
      </c>
      <c r="X68" s="715" t="b">
        <f>'Rep Schedule - Advanced'!AN59</f>
        <v>1</v>
      </c>
    </row>
    <row r="69" spans="1:24" ht="15" hidden="1">
      <c r="A69" s="624">
        <f t="shared" si="4"/>
        <v>54</v>
      </c>
      <c r="B69" s="621">
        <f>'Rep Schedule - Advanced'!E60</f>
        <v>41987</v>
      </c>
      <c r="C69" s="769">
        <f>'Rep Schedule - Advanced'!G60</f>
        <v>0</v>
      </c>
      <c r="D69" s="770">
        <f>'Rep Schedule - Advanced'!H60</f>
        <v>0</v>
      </c>
      <c r="E69" s="644">
        <f>'Rep Schedule - Advanced'!J60</f>
        <v>0</v>
      </c>
      <c r="F69" s="771">
        <f>'Rep Schedule - Advanced'!K60</f>
        <v>0</v>
      </c>
      <c r="G69" s="770">
        <f>'Rep Schedule - Advanced'!N60</f>
        <v>0</v>
      </c>
      <c r="H69" s="772">
        <f>'Rep Schedule - Advanced'!R60</f>
        <v>0</v>
      </c>
      <c r="I69" s="773">
        <f>'Rep Schedule - Advanced'!U60</f>
        <v>0</v>
      </c>
      <c r="J69" s="774">
        <f>'Rep Schedule - Advanced'!X60</f>
        <v>0</v>
      </c>
      <c r="K69" s="774">
        <f>'Rep Schedule - Advanced'!Y60</f>
        <v>0</v>
      </c>
      <c r="L69" s="774">
        <f>'Rep Schedule - Advanced'!Z60</f>
        <v>0</v>
      </c>
      <c r="M69" s="775">
        <f>'Rep Schedule - Advanced'!AB60</f>
        <v>0</v>
      </c>
      <c r="N69" s="701">
        <f t="shared" si="2"/>
        <v>0</v>
      </c>
      <c r="O69" s="789" t="str">
        <f t="shared" si="3"/>
        <v>Annuity 54</v>
      </c>
      <c r="R69" s="607">
        <f t="shared" si="6"/>
        <v>0</v>
      </c>
      <c r="T69" s="622">
        <f t="shared" si="0"/>
        <v>0</v>
      </c>
      <c r="U69" s="623">
        <f t="shared" si="1"/>
        <v>0</v>
      </c>
      <c r="X69" s="715" t="b">
        <f>'Rep Schedule - Advanced'!AN60</f>
        <v>1</v>
      </c>
    </row>
    <row r="70" spans="1:24" ht="15" hidden="1">
      <c r="A70" s="624">
        <f t="shared" si="4"/>
        <v>55</v>
      </c>
      <c r="B70" s="621">
        <f>'Rep Schedule - Advanced'!E61</f>
        <v>42018</v>
      </c>
      <c r="C70" s="769">
        <f>'Rep Schedule - Advanced'!G61</f>
        <v>0</v>
      </c>
      <c r="D70" s="770">
        <f>'Rep Schedule - Advanced'!H61</f>
        <v>0</v>
      </c>
      <c r="E70" s="644">
        <f>'Rep Schedule - Advanced'!J61</f>
        <v>0</v>
      </c>
      <c r="F70" s="771">
        <f>'Rep Schedule - Advanced'!K61</f>
        <v>0</v>
      </c>
      <c r="G70" s="770">
        <f>'Rep Schedule - Advanced'!N61</f>
        <v>0</v>
      </c>
      <c r="H70" s="772">
        <f>'Rep Schedule - Advanced'!R61</f>
        <v>0</v>
      </c>
      <c r="I70" s="773">
        <f>'Rep Schedule - Advanced'!U61</f>
        <v>0</v>
      </c>
      <c r="J70" s="774">
        <f>'Rep Schedule - Advanced'!X61</f>
        <v>0</v>
      </c>
      <c r="K70" s="774">
        <f>'Rep Schedule - Advanced'!Y61</f>
        <v>0</v>
      </c>
      <c r="L70" s="774">
        <f>'Rep Schedule - Advanced'!Z61</f>
        <v>0</v>
      </c>
      <c r="M70" s="775">
        <f>'Rep Schedule - Advanced'!AB61</f>
        <v>0</v>
      </c>
      <c r="N70" s="701">
        <f t="shared" si="2"/>
        <v>0</v>
      </c>
      <c r="O70" s="789" t="str">
        <f t="shared" si="3"/>
        <v>Annuity 55</v>
      </c>
      <c r="R70" s="607">
        <f t="shared" si="6"/>
        <v>0</v>
      </c>
      <c r="T70" s="622">
        <f t="shared" si="0"/>
        <v>0</v>
      </c>
      <c r="U70" s="623">
        <f t="shared" si="1"/>
        <v>0</v>
      </c>
      <c r="X70" s="715" t="b">
        <f>'Rep Schedule - Advanced'!AN61</f>
        <v>1</v>
      </c>
    </row>
    <row r="71" spans="1:24" ht="15" hidden="1">
      <c r="A71" s="624">
        <f t="shared" si="4"/>
        <v>56</v>
      </c>
      <c r="B71" s="621">
        <f>'Rep Schedule - Advanced'!E62</f>
        <v>42049</v>
      </c>
      <c r="C71" s="769">
        <f>'Rep Schedule - Advanced'!G62</f>
        <v>0</v>
      </c>
      <c r="D71" s="770">
        <f>'Rep Schedule - Advanced'!H62</f>
        <v>0</v>
      </c>
      <c r="E71" s="644">
        <f>'Rep Schedule - Advanced'!J62</f>
        <v>0</v>
      </c>
      <c r="F71" s="771">
        <f>'Rep Schedule - Advanced'!K62</f>
        <v>0</v>
      </c>
      <c r="G71" s="770">
        <f>'Rep Schedule - Advanced'!N62</f>
        <v>0</v>
      </c>
      <c r="H71" s="772">
        <f>'Rep Schedule - Advanced'!R62</f>
        <v>0</v>
      </c>
      <c r="I71" s="773">
        <f>'Rep Schedule - Advanced'!U62</f>
        <v>0</v>
      </c>
      <c r="J71" s="774">
        <f>'Rep Schedule - Advanced'!X62</f>
        <v>0</v>
      </c>
      <c r="K71" s="774">
        <f>'Rep Schedule - Advanced'!Y62</f>
        <v>0</v>
      </c>
      <c r="L71" s="774">
        <f>'Rep Schedule - Advanced'!Z62</f>
        <v>0</v>
      </c>
      <c r="M71" s="775">
        <f>'Rep Schedule - Advanced'!AB62</f>
        <v>0</v>
      </c>
      <c r="N71" s="701">
        <f t="shared" si="2"/>
        <v>0</v>
      </c>
      <c r="O71" s="789" t="str">
        <f t="shared" si="3"/>
        <v>Annuity 56</v>
      </c>
      <c r="R71" s="607">
        <f t="shared" si="6"/>
        <v>0</v>
      </c>
      <c r="T71" s="622">
        <f t="shared" si="0"/>
        <v>0</v>
      </c>
      <c r="U71" s="623">
        <f t="shared" si="1"/>
        <v>0</v>
      </c>
      <c r="X71" s="715" t="b">
        <f>'Rep Schedule - Advanced'!AN62</f>
        <v>1</v>
      </c>
    </row>
    <row r="72" spans="1:24" ht="15" hidden="1">
      <c r="A72" s="624">
        <f t="shared" si="4"/>
        <v>57</v>
      </c>
      <c r="B72" s="621">
        <f>'Rep Schedule - Advanced'!E63</f>
        <v>42077</v>
      </c>
      <c r="C72" s="769">
        <f>'Rep Schedule - Advanced'!G63</f>
        <v>0</v>
      </c>
      <c r="D72" s="770">
        <f>'Rep Schedule - Advanced'!H63</f>
        <v>0</v>
      </c>
      <c r="E72" s="644">
        <f>'Rep Schedule - Advanced'!J63</f>
        <v>0</v>
      </c>
      <c r="F72" s="771">
        <f>'Rep Schedule - Advanced'!K63</f>
        <v>0</v>
      </c>
      <c r="G72" s="770">
        <f>'Rep Schedule - Advanced'!N63</f>
        <v>0</v>
      </c>
      <c r="H72" s="772">
        <f>'Rep Schedule - Advanced'!R63</f>
        <v>0</v>
      </c>
      <c r="I72" s="773">
        <f>'Rep Schedule - Advanced'!U63</f>
        <v>0</v>
      </c>
      <c r="J72" s="774">
        <f>'Rep Schedule - Advanced'!X63</f>
        <v>0</v>
      </c>
      <c r="K72" s="774">
        <f>'Rep Schedule - Advanced'!Y63</f>
        <v>0</v>
      </c>
      <c r="L72" s="774">
        <f>'Rep Schedule - Advanced'!Z63</f>
        <v>0</v>
      </c>
      <c r="M72" s="775">
        <f>'Rep Schedule - Advanced'!AB63</f>
        <v>0</v>
      </c>
      <c r="N72" s="701">
        <f t="shared" si="2"/>
        <v>0</v>
      </c>
      <c r="O72" s="789" t="str">
        <f t="shared" si="3"/>
        <v>Annuity 57</v>
      </c>
      <c r="R72" s="607">
        <f t="shared" si="6"/>
        <v>0</v>
      </c>
      <c r="T72" s="622">
        <f t="shared" si="0"/>
        <v>0</v>
      </c>
      <c r="U72" s="623">
        <f t="shared" si="1"/>
        <v>0</v>
      </c>
      <c r="X72" s="715" t="b">
        <f>'Rep Schedule - Advanced'!AN63</f>
        <v>1</v>
      </c>
    </row>
    <row r="73" spans="1:24" ht="15" hidden="1">
      <c r="A73" s="624">
        <f t="shared" si="4"/>
        <v>58</v>
      </c>
      <c r="B73" s="621">
        <f>'Rep Schedule - Advanced'!E64</f>
        <v>42108</v>
      </c>
      <c r="C73" s="769">
        <f>'Rep Schedule - Advanced'!G64</f>
        <v>0</v>
      </c>
      <c r="D73" s="770">
        <f>'Rep Schedule - Advanced'!H64</f>
        <v>0</v>
      </c>
      <c r="E73" s="644">
        <f>'Rep Schedule - Advanced'!J64</f>
        <v>0</v>
      </c>
      <c r="F73" s="771">
        <f>'Rep Schedule - Advanced'!K64</f>
        <v>0</v>
      </c>
      <c r="G73" s="770">
        <f>'Rep Schedule - Advanced'!N64</f>
        <v>0</v>
      </c>
      <c r="H73" s="772">
        <f>'Rep Schedule - Advanced'!R64</f>
        <v>0</v>
      </c>
      <c r="I73" s="773">
        <f>'Rep Schedule - Advanced'!U64</f>
        <v>0</v>
      </c>
      <c r="J73" s="774">
        <f>'Rep Schedule - Advanced'!X64</f>
        <v>0</v>
      </c>
      <c r="K73" s="774">
        <f>'Rep Schedule - Advanced'!Y64</f>
        <v>0</v>
      </c>
      <c r="L73" s="774">
        <f>'Rep Schedule - Advanced'!Z64</f>
        <v>0</v>
      </c>
      <c r="M73" s="775">
        <f>'Rep Schedule - Advanced'!AB64</f>
        <v>0</v>
      </c>
      <c r="N73" s="701">
        <f t="shared" si="2"/>
        <v>0</v>
      </c>
      <c r="O73" s="789" t="str">
        <f t="shared" si="3"/>
        <v>Annuity 58</v>
      </c>
      <c r="R73" s="607">
        <f t="shared" si="6"/>
        <v>0</v>
      </c>
      <c r="T73" s="622">
        <f t="shared" si="0"/>
        <v>0</v>
      </c>
      <c r="U73" s="623">
        <f t="shared" si="1"/>
        <v>0</v>
      </c>
      <c r="X73" s="715" t="b">
        <f>'Rep Schedule - Advanced'!AN64</f>
        <v>1</v>
      </c>
    </row>
    <row r="74" spans="1:24" ht="15" hidden="1">
      <c r="A74" s="624">
        <f t="shared" si="4"/>
        <v>59</v>
      </c>
      <c r="B74" s="621">
        <f>'Rep Schedule - Advanced'!E65</f>
        <v>42138</v>
      </c>
      <c r="C74" s="769">
        <f>'Rep Schedule - Advanced'!G65</f>
        <v>0</v>
      </c>
      <c r="D74" s="770">
        <f>'Rep Schedule - Advanced'!H65</f>
        <v>0</v>
      </c>
      <c r="E74" s="644">
        <f>'Rep Schedule - Advanced'!J65</f>
        <v>0</v>
      </c>
      <c r="F74" s="771">
        <f>'Rep Schedule - Advanced'!K65</f>
        <v>0</v>
      </c>
      <c r="G74" s="770">
        <f>'Rep Schedule - Advanced'!N65</f>
        <v>0</v>
      </c>
      <c r="H74" s="772">
        <f>'Rep Schedule - Advanced'!R65</f>
        <v>0</v>
      </c>
      <c r="I74" s="773">
        <f>'Rep Schedule - Advanced'!U65</f>
        <v>0</v>
      </c>
      <c r="J74" s="774">
        <f>'Rep Schedule - Advanced'!X65</f>
        <v>0</v>
      </c>
      <c r="K74" s="774">
        <f>'Rep Schedule - Advanced'!Y65</f>
        <v>0</v>
      </c>
      <c r="L74" s="774">
        <f>'Rep Schedule - Advanced'!Z65</f>
        <v>0</v>
      </c>
      <c r="M74" s="775">
        <f>'Rep Schedule - Advanced'!AB65</f>
        <v>0</v>
      </c>
      <c r="N74" s="701">
        <f t="shared" si="2"/>
        <v>0</v>
      </c>
      <c r="O74" s="789" t="str">
        <f t="shared" si="3"/>
        <v>Annuity 59</v>
      </c>
      <c r="R74" s="607">
        <f t="shared" si="6"/>
        <v>0</v>
      </c>
      <c r="T74" s="622">
        <f t="shared" si="0"/>
        <v>0</v>
      </c>
      <c r="U74" s="623">
        <f t="shared" si="1"/>
        <v>0</v>
      </c>
      <c r="X74" s="715" t="b">
        <f>'Rep Schedule - Advanced'!AN65</f>
        <v>1</v>
      </c>
    </row>
    <row r="75" spans="1:24" ht="15" hidden="1">
      <c r="A75" s="624">
        <f t="shared" si="4"/>
        <v>60</v>
      </c>
      <c r="B75" s="621">
        <f>'Rep Schedule - Advanced'!E66</f>
        <v>42169</v>
      </c>
      <c r="C75" s="769">
        <f>'Rep Schedule - Advanced'!G66</f>
        <v>0</v>
      </c>
      <c r="D75" s="770">
        <f>'Rep Schedule - Advanced'!H66</f>
        <v>0</v>
      </c>
      <c r="E75" s="644">
        <f>'Rep Schedule - Advanced'!J66</f>
        <v>0</v>
      </c>
      <c r="F75" s="771">
        <f>'Rep Schedule - Advanced'!K66</f>
        <v>0</v>
      </c>
      <c r="G75" s="770">
        <f>'Rep Schedule - Advanced'!N66</f>
        <v>0</v>
      </c>
      <c r="H75" s="772">
        <f>'Rep Schedule - Advanced'!R66</f>
        <v>0</v>
      </c>
      <c r="I75" s="773">
        <f>'Rep Schedule - Advanced'!U66</f>
        <v>0</v>
      </c>
      <c r="J75" s="774">
        <f>'Rep Schedule - Advanced'!X66</f>
        <v>0</v>
      </c>
      <c r="K75" s="774">
        <f>'Rep Schedule - Advanced'!Y66</f>
        <v>0</v>
      </c>
      <c r="L75" s="774">
        <f>'Rep Schedule - Advanced'!Z66</f>
        <v>0</v>
      </c>
      <c r="M75" s="775">
        <f>'Rep Schedule - Advanced'!AB66</f>
        <v>0</v>
      </c>
      <c r="N75" s="701">
        <f t="shared" si="2"/>
        <v>0</v>
      </c>
      <c r="O75" s="789" t="str">
        <f t="shared" si="3"/>
        <v>Annuity 60</v>
      </c>
      <c r="R75" s="607">
        <f t="shared" si="6"/>
        <v>0</v>
      </c>
      <c r="T75" s="622">
        <f t="shared" si="0"/>
        <v>0</v>
      </c>
      <c r="U75" s="623">
        <f t="shared" si="1"/>
        <v>0</v>
      </c>
      <c r="X75" s="715" t="b">
        <f>'Rep Schedule - Advanced'!AN66</f>
        <v>1</v>
      </c>
    </row>
    <row r="76" spans="1:24" ht="15" hidden="1">
      <c r="A76" s="624">
        <f t="shared" si="4"/>
        <v>61</v>
      </c>
      <c r="B76" s="621">
        <f>'Rep Schedule - Advanced'!E67</f>
        <v>42199</v>
      </c>
      <c r="C76" s="769">
        <f>'Rep Schedule - Advanced'!G67</f>
        <v>0</v>
      </c>
      <c r="D76" s="770">
        <f>'Rep Schedule - Advanced'!H67</f>
        <v>0</v>
      </c>
      <c r="E76" s="644">
        <f>'Rep Schedule - Advanced'!J67</f>
        <v>0</v>
      </c>
      <c r="F76" s="771">
        <f>'Rep Schedule - Advanced'!K67</f>
        <v>0</v>
      </c>
      <c r="G76" s="770">
        <f>'Rep Schedule - Advanced'!N67</f>
        <v>0</v>
      </c>
      <c r="H76" s="772">
        <f>'Rep Schedule - Advanced'!R67</f>
        <v>0</v>
      </c>
      <c r="I76" s="773">
        <f>'Rep Schedule - Advanced'!U67</f>
        <v>0</v>
      </c>
      <c r="J76" s="774">
        <f>'Rep Schedule - Advanced'!X67</f>
        <v>0</v>
      </c>
      <c r="K76" s="774">
        <f>'Rep Schedule - Advanced'!Y67</f>
        <v>0</v>
      </c>
      <c r="L76" s="774">
        <f>'Rep Schedule - Advanced'!Z67</f>
        <v>0</v>
      </c>
      <c r="M76" s="775">
        <f>'Rep Schedule - Advanced'!AB67</f>
        <v>0</v>
      </c>
      <c r="N76" s="701">
        <f t="shared" si="2"/>
        <v>0</v>
      </c>
      <c r="O76" s="789" t="str">
        <f t="shared" si="3"/>
        <v>Annuity 61</v>
      </c>
      <c r="R76" s="607">
        <f t="shared" si="6"/>
        <v>0</v>
      </c>
      <c r="T76" s="622">
        <f t="shared" si="0"/>
        <v>0</v>
      </c>
      <c r="U76" s="623">
        <f t="shared" si="1"/>
        <v>0</v>
      </c>
      <c r="X76" s="715" t="b">
        <f>'Rep Schedule - Advanced'!AN67</f>
        <v>1</v>
      </c>
    </row>
    <row r="77" spans="1:24" ht="15" hidden="1">
      <c r="A77" s="624">
        <f t="shared" si="4"/>
        <v>62</v>
      </c>
      <c r="B77" s="621">
        <f>'Rep Schedule - Advanced'!E68</f>
        <v>42230</v>
      </c>
      <c r="C77" s="769">
        <f>'Rep Schedule - Advanced'!G68</f>
        <v>0</v>
      </c>
      <c r="D77" s="770">
        <f>'Rep Schedule - Advanced'!H68</f>
        <v>0</v>
      </c>
      <c r="E77" s="644">
        <f>'Rep Schedule - Advanced'!J68</f>
        <v>0</v>
      </c>
      <c r="F77" s="771">
        <f>'Rep Schedule - Advanced'!K68</f>
        <v>0</v>
      </c>
      <c r="G77" s="770">
        <f>'Rep Schedule - Advanced'!N68</f>
        <v>0</v>
      </c>
      <c r="H77" s="772">
        <f>'Rep Schedule - Advanced'!R68</f>
        <v>0</v>
      </c>
      <c r="I77" s="773">
        <f>'Rep Schedule - Advanced'!U68</f>
        <v>0</v>
      </c>
      <c r="J77" s="774">
        <f>'Rep Schedule - Advanced'!X68</f>
        <v>0</v>
      </c>
      <c r="K77" s="774">
        <f>'Rep Schedule - Advanced'!Y68</f>
        <v>0</v>
      </c>
      <c r="L77" s="774">
        <f>'Rep Schedule - Advanced'!Z68</f>
        <v>0</v>
      </c>
      <c r="M77" s="775">
        <f>'Rep Schedule - Advanced'!AB68</f>
        <v>0</v>
      </c>
      <c r="N77" s="701">
        <f t="shared" si="2"/>
        <v>0</v>
      </c>
      <c r="O77" s="789" t="str">
        <f t="shared" si="3"/>
        <v>Annuity 62</v>
      </c>
      <c r="R77" s="607">
        <f t="shared" si="6"/>
        <v>0</v>
      </c>
      <c r="T77" s="622">
        <f t="shared" si="0"/>
        <v>0</v>
      </c>
      <c r="U77" s="623">
        <f t="shared" si="1"/>
        <v>0</v>
      </c>
      <c r="X77" s="715" t="b">
        <f>'Rep Schedule - Advanced'!AN68</f>
        <v>1</v>
      </c>
    </row>
    <row r="78" spans="1:24" ht="15" hidden="1">
      <c r="A78" s="624">
        <f t="shared" si="4"/>
        <v>63</v>
      </c>
      <c r="B78" s="621">
        <f>'Rep Schedule - Advanced'!E69</f>
        <v>42261</v>
      </c>
      <c r="C78" s="769">
        <f>'Rep Schedule - Advanced'!G69</f>
        <v>0</v>
      </c>
      <c r="D78" s="770">
        <f>'Rep Schedule - Advanced'!H69</f>
        <v>0</v>
      </c>
      <c r="E78" s="644">
        <f>'Rep Schedule - Advanced'!J69</f>
        <v>0</v>
      </c>
      <c r="F78" s="771">
        <f>'Rep Schedule - Advanced'!K69</f>
        <v>0</v>
      </c>
      <c r="G78" s="770">
        <f>'Rep Schedule - Advanced'!N69</f>
        <v>0</v>
      </c>
      <c r="H78" s="772">
        <f>'Rep Schedule - Advanced'!R69</f>
        <v>0</v>
      </c>
      <c r="I78" s="773">
        <f>'Rep Schedule - Advanced'!U69</f>
        <v>0</v>
      </c>
      <c r="J78" s="774">
        <f>'Rep Schedule - Advanced'!X69</f>
        <v>0</v>
      </c>
      <c r="K78" s="774">
        <f>'Rep Schedule - Advanced'!Y69</f>
        <v>0</v>
      </c>
      <c r="L78" s="774">
        <f>'Rep Schedule - Advanced'!Z69</f>
        <v>0</v>
      </c>
      <c r="M78" s="775">
        <f>'Rep Schedule - Advanced'!AB69</f>
        <v>0</v>
      </c>
      <c r="N78" s="701">
        <f t="shared" si="2"/>
        <v>0</v>
      </c>
      <c r="O78" s="789" t="str">
        <f t="shared" si="3"/>
        <v>Annuity 63</v>
      </c>
      <c r="R78" s="607">
        <f t="shared" si="6"/>
        <v>0</v>
      </c>
      <c r="T78" s="622">
        <f t="shared" si="0"/>
        <v>0</v>
      </c>
      <c r="U78" s="623">
        <f t="shared" si="1"/>
        <v>0</v>
      </c>
      <c r="X78" s="715" t="b">
        <f>'Rep Schedule - Advanced'!AN69</f>
        <v>1</v>
      </c>
    </row>
    <row r="79" spans="1:24" ht="15" hidden="1">
      <c r="A79" s="624">
        <f t="shared" si="4"/>
        <v>64</v>
      </c>
      <c r="B79" s="621">
        <f>'Rep Schedule - Advanced'!E70</f>
        <v>42291</v>
      </c>
      <c r="C79" s="769">
        <f>'Rep Schedule - Advanced'!G70</f>
        <v>0</v>
      </c>
      <c r="D79" s="770">
        <f>'Rep Schedule - Advanced'!H70</f>
        <v>0</v>
      </c>
      <c r="E79" s="644">
        <f>'Rep Schedule - Advanced'!J70</f>
        <v>0</v>
      </c>
      <c r="F79" s="771">
        <f>'Rep Schedule - Advanced'!K70</f>
        <v>0</v>
      </c>
      <c r="G79" s="770">
        <f>'Rep Schedule - Advanced'!N70</f>
        <v>0</v>
      </c>
      <c r="H79" s="772">
        <f>'Rep Schedule - Advanced'!R70</f>
        <v>0</v>
      </c>
      <c r="I79" s="773">
        <f>'Rep Schedule - Advanced'!U70</f>
        <v>0</v>
      </c>
      <c r="J79" s="774">
        <f>'Rep Schedule - Advanced'!X70</f>
        <v>0</v>
      </c>
      <c r="K79" s="774">
        <f>'Rep Schedule - Advanced'!Y70</f>
        <v>0</v>
      </c>
      <c r="L79" s="774">
        <f>'Rep Schedule - Advanced'!Z70</f>
        <v>0</v>
      </c>
      <c r="M79" s="775">
        <f>'Rep Schedule - Advanced'!AB70</f>
        <v>0</v>
      </c>
      <c r="N79" s="701">
        <f t="shared" si="2"/>
        <v>0</v>
      </c>
      <c r="O79" s="789" t="str">
        <f t="shared" si="3"/>
        <v>Annuity 64</v>
      </c>
      <c r="R79" s="607">
        <f t="shared" si="6"/>
        <v>0</v>
      </c>
      <c r="T79" s="622">
        <f t="shared" si="0"/>
        <v>0</v>
      </c>
      <c r="U79" s="623">
        <f t="shared" si="1"/>
        <v>0</v>
      </c>
      <c r="X79" s="715" t="b">
        <f>'Rep Schedule - Advanced'!AN70</f>
        <v>1</v>
      </c>
    </row>
    <row r="80" spans="1:24" ht="15" hidden="1">
      <c r="A80" s="624">
        <f t="shared" si="4"/>
        <v>65</v>
      </c>
      <c r="B80" s="621">
        <f>'Rep Schedule - Advanced'!E71</f>
        <v>42322</v>
      </c>
      <c r="C80" s="769">
        <f>'Rep Schedule - Advanced'!G71</f>
        <v>0</v>
      </c>
      <c r="D80" s="770">
        <f>'Rep Schedule - Advanced'!H71</f>
        <v>0</v>
      </c>
      <c r="E80" s="644">
        <f>'Rep Schedule - Advanced'!J71</f>
        <v>0</v>
      </c>
      <c r="F80" s="771">
        <f>'Rep Schedule - Advanced'!K71</f>
        <v>0</v>
      </c>
      <c r="G80" s="770">
        <f>'Rep Schedule - Advanced'!N71</f>
        <v>0</v>
      </c>
      <c r="H80" s="772">
        <f>'Rep Schedule - Advanced'!R71</f>
        <v>0</v>
      </c>
      <c r="I80" s="773">
        <f>'Rep Schedule - Advanced'!U71</f>
        <v>0</v>
      </c>
      <c r="J80" s="774">
        <f>'Rep Schedule - Advanced'!X71</f>
        <v>0</v>
      </c>
      <c r="K80" s="774">
        <f>'Rep Schedule - Advanced'!Y71</f>
        <v>0</v>
      </c>
      <c r="L80" s="774">
        <f>'Rep Schedule - Advanced'!Z71</f>
        <v>0</v>
      </c>
      <c r="M80" s="775">
        <f>'Rep Schedule - Advanced'!AB71</f>
        <v>0</v>
      </c>
      <c r="N80" s="701">
        <f t="shared" si="2"/>
        <v>0</v>
      </c>
      <c r="O80" s="789" t="str">
        <f t="shared" si="3"/>
        <v>Annuity 65</v>
      </c>
      <c r="R80" s="607">
        <f t="shared" si="6"/>
        <v>0</v>
      </c>
      <c r="T80" s="622">
        <f t="shared" ref="T80:T143" si="7">C80-D80-SUM(F80:I80)</f>
        <v>0</v>
      </c>
      <c r="U80" s="623">
        <f t="shared" ref="U80:U143" si="8">T80-J80+L80</f>
        <v>0</v>
      </c>
      <c r="X80" s="715" t="b">
        <f>'Rep Schedule - Advanced'!AN71</f>
        <v>1</v>
      </c>
    </row>
    <row r="81" spans="1:24" ht="15" hidden="1">
      <c r="A81" s="624">
        <f t="shared" si="4"/>
        <v>66</v>
      </c>
      <c r="B81" s="621">
        <f>'Rep Schedule - Advanced'!E72</f>
        <v>42352</v>
      </c>
      <c r="C81" s="769">
        <f>'Rep Schedule - Advanced'!G72</f>
        <v>0</v>
      </c>
      <c r="D81" s="770">
        <f>'Rep Schedule - Advanced'!H72</f>
        <v>0</v>
      </c>
      <c r="E81" s="644">
        <f>'Rep Schedule - Advanced'!J72</f>
        <v>0</v>
      </c>
      <c r="F81" s="771">
        <f>'Rep Schedule - Advanced'!K72</f>
        <v>0</v>
      </c>
      <c r="G81" s="770">
        <f>'Rep Schedule - Advanced'!N72</f>
        <v>0</v>
      </c>
      <c r="H81" s="772">
        <f>'Rep Schedule - Advanced'!R72</f>
        <v>0</v>
      </c>
      <c r="I81" s="773">
        <f>'Rep Schedule - Advanced'!U72</f>
        <v>0</v>
      </c>
      <c r="J81" s="774">
        <f>'Rep Schedule - Advanced'!X72</f>
        <v>0</v>
      </c>
      <c r="K81" s="774">
        <f>'Rep Schedule - Advanced'!Y72</f>
        <v>0</v>
      </c>
      <c r="L81" s="774">
        <f>'Rep Schedule - Advanced'!Z72</f>
        <v>0</v>
      </c>
      <c r="M81" s="775">
        <f>'Rep Schedule - Advanced'!AB72</f>
        <v>0</v>
      </c>
      <c r="N81" s="701">
        <f t="shared" ref="N81:N144" si="9">D81+F81+G81+H81+I81+J81-L81</f>
        <v>0</v>
      </c>
      <c r="O81" s="789" t="str">
        <f t="shared" ref="O81:O144" si="10">"Annuity "&amp;A81</f>
        <v>Annuity 66</v>
      </c>
      <c r="R81" s="607">
        <f t="shared" si="6"/>
        <v>0</v>
      </c>
      <c r="T81" s="622">
        <f t="shared" si="7"/>
        <v>0</v>
      </c>
      <c r="U81" s="623">
        <f t="shared" si="8"/>
        <v>0</v>
      </c>
      <c r="X81" s="715" t="b">
        <f>'Rep Schedule - Advanced'!AN72</f>
        <v>1</v>
      </c>
    </row>
    <row r="82" spans="1:24" ht="15" hidden="1">
      <c r="A82" s="624">
        <f t="shared" ref="A82:A145" si="11">A81+1</f>
        <v>67</v>
      </c>
      <c r="B82" s="621">
        <f>'Rep Schedule - Advanced'!E73</f>
        <v>42383</v>
      </c>
      <c r="C82" s="769">
        <f>'Rep Schedule - Advanced'!G73</f>
        <v>0</v>
      </c>
      <c r="D82" s="770">
        <f>'Rep Schedule - Advanced'!H73</f>
        <v>0</v>
      </c>
      <c r="E82" s="644">
        <f>'Rep Schedule - Advanced'!J73</f>
        <v>0</v>
      </c>
      <c r="F82" s="771">
        <f>'Rep Schedule - Advanced'!K73</f>
        <v>0</v>
      </c>
      <c r="G82" s="770">
        <f>'Rep Schedule - Advanced'!N73</f>
        <v>0</v>
      </c>
      <c r="H82" s="772">
        <f>'Rep Schedule - Advanced'!R73</f>
        <v>0</v>
      </c>
      <c r="I82" s="773">
        <f>'Rep Schedule - Advanced'!U73</f>
        <v>0</v>
      </c>
      <c r="J82" s="774">
        <f>'Rep Schedule - Advanced'!X73</f>
        <v>0</v>
      </c>
      <c r="K82" s="774">
        <f>'Rep Schedule - Advanced'!Y73</f>
        <v>0</v>
      </c>
      <c r="L82" s="774">
        <f>'Rep Schedule - Advanced'!Z73</f>
        <v>0</v>
      </c>
      <c r="M82" s="775">
        <f>'Rep Schedule - Advanced'!AB73</f>
        <v>0</v>
      </c>
      <c r="N82" s="701">
        <f t="shared" si="9"/>
        <v>0</v>
      </c>
      <c r="O82" s="789" t="str">
        <f t="shared" si="10"/>
        <v>Annuity 67</v>
      </c>
      <c r="R82" s="607">
        <f t="shared" si="6"/>
        <v>0</v>
      </c>
      <c r="T82" s="622">
        <f t="shared" si="7"/>
        <v>0</v>
      </c>
      <c r="U82" s="623">
        <f t="shared" si="8"/>
        <v>0</v>
      </c>
      <c r="X82" s="715" t="b">
        <f>'Rep Schedule - Advanced'!AN73</f>
        <v>1</v>
      </c>
    </row>
    <row r="83" spans="1:24" ht="15" hidden="1">
      <c r="A83" s="624">
        <f t="shared" si="11"/>
        <v>68</v>
      </c>
      <c r="B83" s="621">
        <f>'Rep Schedule - Advanced'!E74</f>
        <v>42414</v>
      </c>
      <c r="C83" s="769">
        <f>'Rep Schedule - Advanced'!G74</f>
        <v>0</v>
      </c>
      <c r="D83" s="770">
        <f>'Rep Schedule - Advanced'!H74</f>
        <v>0</v>
      </c>
      <c r="E83" s="644">
        <f>'Rep Schedule - Advanced'!J74</f>
        <v>0</v>
      </c>
      <c r="F83" s="771">
        <f>'Rep Schedule - Advanced'!K74</f>
        <v>0</v>
      </c>
      <c r="G83" s="770">
        <f>'Rep Schedule - Advanced'!N74</f>
        <v>0</v>
      </c>
      <c r="H83" s="772">
        <f>'Rep Schedule - Advanced'!R74</f>
        <v>0</v>
      </c>
      <c r="I83" s="773">
        <f>'Rep Schedule - Advanced'!U74</f>
        <v>0</v>
      </c>
      <c r="J83" s="774">
        <f>'Rep Schedule - Advanced'!X74</f>
        <v>0</v>
      </c>
      <c r="K83" s="774">
        <f>'Rep Schedule - Advanced'!Y74</f>
        <v>0</v>
      </c>
      <c r="L83" s="774">
        <f>'Rep Schedule - Advanced'!Z74</f>
        <v>0</v>
      </c>
      <c r="M83" s="775">
        <f>'Rep Schedule - Advanced'!AB74</f>
        <v>0</v>
      </c>
      <c r="N83" s="701">
        <f t="shared" si="9"/>
        <v>0</v>
      </c>
      <c r="O83" s="789" t="str">
        <f t="shared" si="10"/>
        <v>Annuity 68</v>
      </c>
      <c r="R83" s="607">
        <f t="shared" si="6"/>
        <v>0</v>
      </c>
      <c r="T83" s="622">
        <f t="shared" si="7"/>
        <v>0</v>
      </c>
      <c r="U83" s="623">
        <f t="shared" si="8"/>
        <v>0</v>
      </c>
      <c r="X83" s="715" t="b">
        <f>'Rep Schedule - Advanced'!AN74</f>
        <v>1</v>
      </c>
    </row>
    <row r="84" spans="1:24" ht="15" hidden="1">
      <c r="A84" s="624">
        <f t="shared" si="11"/>
        <v>69</v>
      </c>
      <c r="B84" s="621">
        <f>'Rep Schedule - Advanced'!E75</f>
        <v>42443</v>
      </c>
      <c r="C84" s="769">
        <f>'Rep Schedule - Advanced'!G75</f>
        <v>0</v>
      </c>
      <c r="D84" s="770">
        <f>'Rep Schedule - Advanced'!H75</f>
        <v>0</v>
      </c>
      <c r="E84" s="644">
        <f>'Rep Schedule - Advanced'!J75</f>
        <v>0</v>
      </c>
      <c r="F84" s="771">
        <f>'Rep Schedule - Advanced'!K75</f>
        <v>0</v>
      </c>
      <c r="G84" s="770">
        <f>'Rep Schedule - Advanced'!N75</f>
        <v>0</v>
      </c>
      <c r="H84" s="772">
        <f>'Rep Schedule - Advanced'!R75</f>
        <v>0</v>
      </c>
      <c r="I84" s="773">
        <f>'Rep Schedule - Advanced'!U75</f>
        <v>0</v>
      </c>
      <c r="J84" s="774">
        <f>'Rep Schedule - Advanced'!X75</f>
        <v>0</v>
      </c>
      <c r="K84" s="774">
        <f>'Rep Schedule - Advanced'!Y75</f>
        <v>0</v>
      </c>
      <c r="L84" s="774">
        <f>'Rep Schedule - Advanced'!Z75</f>
        <v>0</v>
      </c>
      <c r="M84" s="775">
        <f>'Rep Schedule - Advanced'!AB75</f>
        <v>0</v>
      </c>
      <c r="N84" s="701">
        <f t="shared" si="9"/>
        <v>0</v>
      </c>
      <c r="O84" s="789" t="str">
        <f t="shared" si="10"/>
        <v>Annuity 69</v>
      </c>
      <c r="R84" s="607">
        <f t="shared" si="6"/>
        <v>0</v>
      </c>
      <c r="T84" s="622">
        <f t="shared" si="7"/>
        <v>0</v>
      </c>
      <c r="U84" s="623">
        <f t="shared" si="8"/>
        <v>0</v>
      </c>
      <c r="X84" s="715" t="b">
        <f>'Rep Schedule - Advanced'!AN75</f>
        <v>1</v>
      </c>
    </row>
    <row r="85" spans="1:24" ht="15" hidden="1">
      <c r="A85" s="624">
        <f t="shared" si="11"/>
        <v>70</v>
      </c>
      <c r="B85" s="621">
        <f>'Rep Schedule - Advanced'!E76</f>
        <v>42474</v>
      </c>
      <c r="C85" s="769">
        <f>'Rep Schedule - Advanced'!G76</f>
        <v>0</v>
      </c>
      <c r="D85" s="770">
        <f>'Rep Schedule - Advanced'!H76</f>
        <v>0</v>
      </c>
      <c r="E85" s="644">
        <f>'Rep Schedule - Advanced'!J76</f>
        <v>0</v>
      </c>
      <c r="F85" s="771">
        <f>'Rep Schedule - Advanced'!K76</f>
        <v>0</v>
      </c>
      <c r="G85" s="770">
        <f>'Rep Schedule - Advanced'!N76</f>
        <v>0</v>
      </c>
      <c r="H85" s="772">
        <f>'Rep Schedule - Advanced'!R76</f>
        <v>0</v>
      </c>
      <c r="I85" s="773">
        <f>'Rep Schedule - Advanced'!U76</f>
        <v>0</v>
      </c>
      <c r="J85" s="774">
        <f>'Rep Schedule - Advanced'!X76</f>
        <v>0</v>
      </c>
      <c r="K85" s="774">
        <f>'Rep Schedule - Advanced'!Y76</f>
        <v>0</v>
      </c>
      <c r="L85" s="774">
        <f>'Rep Schedule - Advanced'!Z76</f>
        <v>0</v>
      </c>
      <c r="M85" s="775">
        <f>'Rep Schedule - Advanced'!AB76</f>
        <v>0</v>
      </c>
      <c r="N85" s="701">
        <f t="shared" si="9"/>
        <v>0</v>
      </c>
      <c r="O85" s="789" t="str">
        <f t="shared" si="10"/>
        <v>Annuity 70</v>
      </c>
      <c r="R85" s="607">
        <f t="shared" si="6"/>
        <v>0</v>
      </c>
      <c r="T85" s="622">
        <f t="shared" si="7"/>
        <v>0</v>
      </c>
      <c r="U85" s="623">
        <f t="shared" si="8"/>
        <v>0</v>
      </c>
      <c r="X85" s="715" t="b">
        <f>'Rep Schedule - Advanced'!AN76</f>
        <v>1</v>
      </c>
    </row>
    <row r="86" spans="1:24" ht="15" hidden="1">
      <c r="A86" s="624">
        <f t="shared" si="11"/>
        <v>71</v>
      </c>
      <c r="B86" s="621">
        <f>'Rep Schedule - Advanced'!E77</f>
        <v>42504</v>
      </c>
      <c r="C86" s="769">
        <f>'Rep Schedule - Advanced'!G77</f>
        <v>0</v>
      </c>
      <c r="D86" s="770">
        <f>'Rep Schedule - Advanced'!H77</f>
        <v>0</v>
      </c>
      <c r="E86" s="644">
        <f>'Rep Schedule - Advanced'!J77</f>
        <v>0</v>
      </c>
      <c r="F86" s="771">
        <f>'Rep Schedule - Advanced'!K77</f>
        <v>0</v>
      </c>
      <c r="G86" s="770">
        <f>'Rep Schedule - Advanced'!N77</f>
        <v>0</v>
      </c>
      <c r="H86" s="772">
        <f>'Rep Schedule - Advanced'!R77</f>
        <v>0</v>
      </c>
      <c r="I86" s="773">
        <f>'Rep Schedule - Advanced'!U77</f>
        <v>0</v>
      </c>
      <c r="J86" s="774">
        <f>'Rep Schedule - Advanced'!X77</f>
        <v>0</v>
      </c>
      <c r="K86" s="774">
        <f>'Rep Schedule - Advanced'!Y77</f>
        <v>0</v>
      </c>
      <c r="L86" s="774">
        <f>'Rep Schedule - Advanced'!Z77</f>
        <v>0</v>
      </c>
      <c r="M86" s="775">
        <f>'Rep Schedule - Advanced'!AB77</f>
        <v>0</v>
      </c>
      <c r="N86" s="701">
        <f t="shared" si="9"/>
        <v>0</v>
      </c>
      <c r="O86" s="789" t="str">
        <f t="shared" si="10"/>
        <v>Annuity 71</v>
      </c>
      <c r="R86" s="607">
        <f t="shared" si="6"/>
        <v>0</v>
      </c>
      <c r="T86" s="622">
        <f t="shared" si="7"/>
        <v>0</v>
      </c>
      <c r="U86" s="623">
        <f t="shared" si="8"/>
        <v>0</v>
      </c>
      <c r="X86" s="715" t="b">
        <f>'Rep Schedule - Advanced'!AN77</f>
        <v>1</v>
      </c>
    </row>
    <row r="87" spans="1:24" ht="15" hidden="1">
      <c r="A87" s="624">
        <f t="shared" si="11"/>
        <v>72</v>
      </c>
      <c r="B87" s="621">
        <f>'Rep Schedule - Advanced'!E78</f>
        <v>42535</v>
      </c>
      <c r="C87" s="769">
        <f>'Rep Schedule - Advanced'!G78</f>
        <v>0</v>
      </c>
      <c r="D87" s="770">
        <f>'Rep Schedule - Advanced'!H78</f>
        <v>0</v>
      </c>
      <c r="E87" s="644">
        <f>'Rep Schedule - Advanced'!J78</f>
        <v>0</v>
      </c>
      <c r="F87" s="771">
        <f>'Rep Schedule - Advanced'!K78</f>
        <v>0</v>
      </c>
      <c r="G87" s="770">
        <f>'Rep Schedule - Advanced'!N78</f>
        <v>0</v>
      </c>
      <c r="H87" s="772">
        <f>'Rep Schedule - Advanced'!R78</f>
        <v>0</v>
      </c>
      <c r="I87" s="773">
        <f>'Rep Schedule - Advanced'!U78</f>
        <v>0</v>
      </c>
      <c r="J87" s="774">
        <f>'Rep Schedule - Advanced'!X78</f>
        <v>0</v>
      </c>
      <c r="K87" s="774">
        <f>'Rep Schedule - Advanced'!Y78</f>
        <v>0</v>
      </c>
      <c r="L87" s="774">
        <f>'Rep Schedule - Advanced'!Z78</f>
        <v>0</v>
      </c>
      <c r="M87" s="775">
        <f>'Rep Schedule - Advanced'!AB78</f>
        <v>0</v>
      </c>
      <c r="N87" s="701">
        <f t="shared" si="9"/>
        <v>0</v>
      </c>
      <c r="O87" s="789" t="str">
        <f t="shared" si="10"/>
        <v>Annuity 72</v>
      </c>
      <c r="R87" s="607">
        <f t="shared" si="6"/>
        <v>0</v>
      </c>
      <c r="T87" s="622">
        <f t="shared" si="7"/>
        <v>0</v>
      </c>
      <c r="U87" s="623">
        <f t="shared" si="8"/>
        <v>0</v>
      </c>
      <c r="X87" s="715" t="b">
        <f>'Rep Schedule - Advanced'!AN78</f>
        <v>1</v>
      </c>
    </row>
    <row r="88" spans="1:24" ht="15" hidden="1">
      <c r="A88" s="624">
        <f t="shared" si="11"/>
        <v>73</v>
      </c>
      <c r="B88" s="621">
        <f>'Rep Schedule - Advanced'!E79</f>
        <v>42565</v>
      </c>
      <c r="C88" s="769">
        <f>'Rep Schedule - Advanced'!G79</f>
        <v>0</v>
      </c>
      <c r="D88" s="770">
        <f>'Rep Schedule - Advanced'!H79</f>
        <v>0</v>
      </c>
      <c r="E88" s="644">
        <f>'Rep Schedule - Advanced'!J79</f>
        <v>0</v>
      </c>
      <c r="F88" s="771">
        <f>'Rep Schedule - Advanced'!K79</f>
        <v>0</v>
      </c>
      <c r="G88" s="770">
        <f>'Rep Schedule - Advanced'!N79</f>
        <v>0</v>
      </c>
      <c r="H88" s="772">
        <f>'Rep Schedule - Advanced'!R79</f>
        <v>0</v>
      </c>
      <c r="I88" s="773">
        <f>'Rep Schedule - Advanced'!U79</f>
        <v>0</v>
      </c>
      <c r="J88" s="774">
        <f>'Rep Schedule - Advanced'!X79</f>
        <v>0</v>
      </c>
      <c r="K88" s="774">
        <f>'Rep Schedule - Advanced'!Y79</f>
        <v>0</v>
      </c>
      <c r="L88" s="774">
        <f>'Rep Schedule - Advanced'!Z79</f>
        <v>0</v>
      </c>
      <c r="M88" s="775">
        <f>'Rep Schedule - Advanced'!AB79</f>
        <v>0</v>
      </c>
      <c r="N88" s="701">
        <f t="shared" si="9"/>
        <v>0</v>
      </c>
      <c r="O88" s="789" t="str">
        <f t="shared" si="10"/>
        <v>Annuity 73</v>
      </c>
      <c r="R88" s="607">
        <f t="shared" si="6"/>
        <v>0</v>
      </c>
      <c r="T88" s="622">
        <f t="shared" si="7"/>
        <v>0</v>
      </c>
      <c r="U88" s="623">
        <f t="shared" si="8"/>
        <v>0</v>
      </c>
      <c r="X88" s="715" t="b">
        <f>'Rep Schedule - Advanced'!AN79</f>
        <v>1</v>
      </c>
    </row>
    <row r="89" spans="1:24" ht="15" hidden="1">
      <c r="A89" s="624">
        <f t="shared" si="11"/>
        <v>74</v>
      </c>
      <c r="B89" s="621">
        <f>'Rep Schedule - Advanced'!E80</f>
        <v>42596</v>
      </c>
      <c r="C89" s="769">
        <f>'Rep Schedule - Advanced'!G80</f>
        <v>0</v>
      </c>
      <c r="D89" s="770">
        <f>'Rep Schedule - Advanced'!H80</f>
        <v>0</v>
      </c>
      <c r="E89" s="644">
        <f>'Rep Schedule - Advanced'!J80</f>
        <v>0</v>
      </c>
      <c r="F89" s="771">
        <f>'Rep Schedule - Advanced'!K80</f>
        <v>0</v>
      </c>
      <c r="G89" s="770">
        <f>'Rep Schedule - Advanced'!N80</f>
        <v>0</v>
      </c>
      <c r="H89" s="772">
        <f>'Rep Schedule - Advanced'!R80</f>
        <v>0</v>
      </c>
      <c r="I89" s="773">
        <f>'Rep Schedule - Advanced'!U80</f>
        <v>0</v>
      </c>
      <c r="J89" s="774">
        <f>'Rep Schedule - Advanced'!X80</f>
        <v>0</v>
      </c>
      <c r="K89" s="774">
        <f>'Rep Schedule - Advanced'!Y80</f>
        <v>0</v>
      </c>
      <c r="L89" s="774">
        <f>'Rep Schedule - Advanced'!Z80</f>
        <v>0</v>
      </c>
      <c r="M89" s="775">
        <f>'Rep Schedule - Advanced'!AB80</f>
        <v>0</v>
      </c>
      <c r="N89" s="701">
        <f t="shared" si="9"/>
        <v>0</v>
      </c>
      <c r="O89" s="789" t="str">
        <f t="shared" si="10"/>
        <v>Annuity 74</v>
      </c>
      <c r="R89" s="607">
        <f t="shared" si="6"/>
        <v>0</v>
      </c>
      <c r="T89" s="622">
        <f t="shared" si="7"/>
        <v>0</v>
      </c>
      <c r="U89" s="623">
        <f t="shared" si="8"/>
        <v>0</v>
      </c>
      <c r="X89" s="715" t="b">
        <f>'Rep Schedule - Advanced'!AN80</f>
        <v>1</v>
      </c>
    </row>
    <row r="90" spans="1:24" ht="15" hidden="1">
      <c r="A90" s="624">
        <f t="shared" si="11"/>
        <v>75</v>
      </c>
      <c r="B90" s="621">
        <f>'Rep Schedule - Advanced'!E81</f>
        <v>42627</v>
      </c>
      <c r="C90" s="769">
        <f>'Rep Schedule - Advanced'!G81</f>
        <v>0</v>
      </c>
      <c r="D90" s="770">
        <f>'Rep Schedule - Advanced'!H81</f>
        <v>0</v>
      </c>
      <c r="E90" s="644">
        <f>'Rep Schedule - Advanced'!J81</f>
        <v>0</v>
      </c>
      <c r="F90" s="771">
        <f>'Rep Schedule - Advanced'!K81</f>
        <v>0</v>
      </c>
      <c r="G90" s="770">
        <f>'Rep Schedule - Advanced'!N81</f>
        <v>0</v>
      </c>
      <c r="H90" s="772">
        <f>'Rep Schedule - Advanced'!R81</f>
        <v>0</v>
      </c>
      <c r="I90" s="773">
        <f>'Rep Schedule - Advanced'!U81</f>
        <v>0</v>
      </c>
      <c r="J90" s="774">
        <f>'Rep Schedule - Advanced'!X81</f>
        <v>0</v>
      </c>
      <c r="K90" s="774">
        <f>'Rep Schedule - Advanced'!Y81</f>
        <v>0</v>
      </c>
      <c r="L90" s="774">
        <f>'Rep Schedule - Advanced'!Z81</f>
        <v>0</v>
      </c>
      <c r="M90" s="775">
        <f>'Rep Schedule - Advanced'!AB81</f>
        <v>0</v>
      </c>
      <c r="N90" s="701">
        <f t="shared" si="9"/>
        <v>0</v>
      </c>
      <c r="O90" s="789" t="str">
        <f t="shared" si="10"/>
        <v>Annuity 75</v>
      </c>
      <c r="R90" s="607">
        <f t="shared" si="6"/>
        <v>0</v>
      </c>
      <c r="T90" s="622">
        <f t="shared" si="7"/>
        <v>0</v>
      </c>
      <c r="U90" s="623">
        <f t="shared" si="8"/>
        <v>0</v>
      </c>
      <c r="X90" s="715" t="b">
        <f>'Rep Schedule - Advanced'!AN81</f>
        <v>1</v>
      </c>
    </row>
    <row r="91" spans="1:24" ht="15" hidden="1">
      <c r="A91" s="624">
        <f t="shared" si="11"/>
        <v>76</v>
      </c>
      <c r="B91" s="621">
        <f>'Rep Schedule - Advanced'!E82</f>
        <v>42657</v>
      </c>
      <c r="C91" s="769">
        <f>'Rep Schedule - Advanced'!G82</f>
        <v>0</v>
      </c>
      <c r="D91" s="770">
        <f>'Rep Schedule - Advanced'!H82</f>
        <v>0</v>
      </c>
      <c r="E91" s="644">
        <f>'Rep Schedule - Advanced'!J82</f>
        <v>0</v>
      </c>
      <c r="F91" s="771">
        <f>'Rep Schedule - Advanced'!K82</f>
        <v>0</v>
      </c>
      <c r="G91" s="770">
        <f>'Rep Schedule - Advanced'!N82</f>
        <v>0</v>
      </c>
      <c r="H91" s="772">
        <f>'Rep Schedule - Advanced'!R82</f>
        <v>0</v>
      </c>
      <c r="I91" s="773">
        <f>'Rep Schedule - Advanced'!U82</f>
        <v>0</v>
      </c>
      <c r="J91" s="774">
        <f>'Rep Schedule - Advanced'!X82</f>
        <v>0</v>
      </c>
      <c r="K91" s="774">
        <f>'Rep Schedule - Advanced'!Y82</f>
        <v>0</v>
      </c>
      <c r="L91" s="774">
        <f>'Rep Schedule - Advanced'!Z82</f>
        <v>0</v>
      </c>
      <c r="M91" s="775">
        <f>'Rep Schedule - Advanced'!AB82</f>
        <v>0</v>
      </c>
      <c r="N91" s="701">
        <f t="shared" si="9"/>
        <v>0</v>
      </c>
      <c r="O91" s="789" t="str">
        <f t="shared" si="10"/>
        <v>Annuity 76</v>
      </c>
      <c r="R91" s="607">
        <f t="shared" si="6"/>
        <v>0</v>
      </c>
      <c r="T91" s="622">
        <f t="shared" si="7"/>
        <v>0</v>
      </c>
      <c r="U91" s="623">
        <f t="shared" si="8"/>
        <v>0</v>
      </c>
      <c r="X91" s="715" t="b">
        <f>'Rep Schedule - Advanced'!AN82</f>
        <v>1</v>
      </c>
    </row>
    <row r="92" spans="1:24" ht="15" hidden="1">
      <c r="A92" s="624">
        <f t="shared" si="11"/>
        <v>77</v>
      </c>
      <c r="B92" s="621">
        <f>'Rep Schedule - Advanced'!E83</f>
        <v>42688</v>
      </c>
      <c r="C92" s="769">
        <f>'Rep Schedule - Advanced'!G83</f>
        <v>0</v>
      </c>
      <c r="D92" s="770">
        <f>'Rep Schedule - Advanced'!H83</f>
        <v>0</v>
      </c>
      <c r="E92" s="644">
        <f>'Rep Schedule - Advanced'!J83</f>
        <v>0</v>
      </c>
      <c r="F92" s="771">
        <f>'Rep Schedule - Advanced'!K83</f>
        <v>0</v>
      </c>
      <c r="G92" s="770">
        <f>'Rep Schedule - Advanced'!N83</f>
        <v>0</v>
      </c>
      <c r="H92" s="772">
        <f>'Rep Schedule - Advanced'!R83</f>
        <v>0</v>
      </c>
      <c r="I92" s="773">
        <f>'Rep Schedule - Advanced'!U83</f>
        <v>0</v>
      </c>
      <c r="J92" s="774">
        <f>'Rep Schedule - Advanced'!X83</f>
        <v>0</v>
      </c>
      <c r="K92" s="774">
        <f>'Rep Schedule - Advanced'!Y83</f>
        <v>0</v>
      </c>
      <c r="L92" s="774">
        <f>'Rep Schedule - Advanced'!Z83</f>
        <v>0</v>
      </c>
      <c r="M92" s="775">
        <f>'Rep Schedule - Advanced'!AB83</f>
        <v>0</v>
      </c>
      <c r="N92" s="701">
        <f t="shared" si="9"/>
        <v>0</v>
      </c>
      <c r="O92" s="789" t="str">
        <f t="shared" si="10"/>
        <v>Annuity 77</v>
      </c>
      <c r="R92" s="607">
        <f t="shared" si="6"/>
        <v>0</v>
      </c>
      <c r="T92" s="622">
        <f t="shared" si="7"/>
        <v>0</v>
      </c>
      <c r="U92" s="623">
        <f t="shared" si="8"/>
        <v>0</v>
      </c>
      <c r="X92" s="715" t="b">
        <f>'Rep Schedule - Advanced'!AN83</f>
        <v>1</v>
      </c>
    </row>
    <row r="93" spans="1:24" ht="15" hidden="1">
      <c r="A93" s="624">
        <f t="shared" si="11"/>
        <v>78</v>
      </c>
      <c r="B93" s="621">
        <f>'Rep Schedule - Advanced'!E84</f>
        <v>42718</v>
      </c>
      <c r="C93" s="769">
        <f>'Rep Schedule - Advanced'!G84</f>
        <v>0</v>
      </c>
      <c r="D93" s="770">
        <f>'Rep Schedule - Advanced'!H84</f>
        <v>0</v>
      </c>
      <c r="E93" s="644">
        <f>'Rep Schedule - Advanced'!J84</f>
        <v>0</v>
      </c>
      <c r="F93" s="771">
        <f>'Rep Schedule - Advanced'!K84</f>
        <v>0</v>
      </c>
      <c r="G93" s="770">
        <f>'Rep Schedule - Advanced'!N84</f>
        <v>0</v>
      </c>
      <c r="H93" s="772">
        <f>'Rep Schedule - Advanced'!R84</f>
        <v>0</v>
      </c>
      <c r="I93" s="773">
        <f>'Rep Schedule - Advanced'!U84</f>
        <v>0</v>
      </c>
      <c r="J93" s="774">
        <f>'Rep Schedule - Advanced'!X84</f>
        <v>0</v>
      </c>
      <c r="K93" s="774">
        <f>'Rep Schedule - Advanced'!Y84</f>
        <v>0</v>
      </c>
      <c r="L93" s="774">
        <f>'Rep Schedule - Advanced'!Z84</f>
        <v>0</v>
      </c>
      <c r="M93" s="775">
        <f>'Rep Schedule - Advanced'!AB84</f>
        <v>0</v>
      </c>
      <c r="N93" s="701">
        <f t="shared" si="9"/>
        <v>0</v>
      </c>
      <c r="O93" s="789" t="str">
        <f t="shared" si="10"/>
        <v>Annuity 78</v>
      </c>
      <c r="R93" s="607">
        <f t="shared" si="6"/>
        <v>0</v>
      </c>
      <c r="T93" s="622">
        <f t="shared" si="7"/>
        <v>0</v>
      </c>
      <c r="U93" s="623">
        <f t="shared" si="8"/>
        <v>0</v>
      </c>
      <c r="X93" s="715" t="b">
        <f>'Rep Schedule - Advanced'!AN84</f>
        <v>1</v>
      </c>
    </row>
    <row r="94" spans="1:24" ht="15" hidden="1">
      <c r="A94" s="624">
        <f t="shared" si="11"/>
        <v>79</v>
      </c>
      <c r="B94" s="621">
        <f>'Rep Schedule - Advanced'!E85</f>
        <v>42749</v>
      </c>
      <c r="C94" s="769">
        <f>'Rep Schedule - Advanced'!G85</f>
        <v>0</v>
      </c>
      <c r="D94" s="770">
        <f>'Rep Schedule - Advanced'!H85</f>
        <v>0</v>
      </c>
      <c r="E94" s="644">
        <f>'Rep Schedule - Advanced'!J85</f>
        <v>0</v>
      </c>
      <c r="F94" s="771">
        <f>'Rep Schedule - Advanced'!K85</f>
        <v>0</v>
      </c>
      <c r="G94" s="770">
        <f>'Rep Schedule - Advanced'!N85</f>
        <v>0</v>
      </c>
      <c r="H94" s="772">
        <f>'Rep Schedule - Advanced'!R85</f>
        <v>0</v>
      </c>
      <c r="I94" s="773">
        <f>'Rep Schedule - Advanced'!U85</f>
        <v>0</v>
      </c>
      <c r="J94" s="774">
        <f>'Rep Schedule - Advanced'!X85</f>
        <v>0</v>
      </c>
      <c r="K94" s="774">
        <f>'Rep Schedule - Advanced'!Y85</f>
        <v>0</v>
      </c>
      <c r="L94" s="774">
        <f>'Rep Schedule - Advanced'!Z85</f>
        <v>0</v>
      </c>
      <c r="M94" s="775">
        <f>'Rep Schedule - Advanced'!AB85</f>
        <v>0</v>
      </c>
      <c r="N94" s="701">
        <f t="shared" si="9"/>
        <v>0</v>
      </c>
      <c r="O94" s="789" t="str">
        <f t="shared" si="10"/>
        <v>Annuity 79</v>
      </c>
      <c r="R94" s="607">
        <f t="shared" si="6"/>
        <v>0</v>
      </c>
      <c r="T94" s="622">
        <f t="shared" si="7"/>
        <v>0</v>
      </c>
      <c r="U94" s="623">
        <f t="shared" si="8"/>
        <v>0</v>
      </c>
      <c r="X94" s="715" t="b">
        <f>'Rep Schedule - Advanced'!AN85</f>
        <v>1</v>
      </c>
    </row>
    <row r="95" spans="1:24" ht="15" hidden="1">
      <c r="A95" s="624">
        <f t="shared" si="11"/>
        <v>80</v>
      </c>
      <c r="B95" s="621">
        <f>'Rep Schedule - Advanced'!E86</f>
        <v>42780</v>
      </c>
      <c r="C95" s="769">
        <f>'Rep Schedule - Advanced'!G86</f>
        <v>0</v>
      </c>
      <c r="D95" s="770">
        <f>'Rep Schedule - Advanced'!H86</f>
        <v>0</v>
      </c>
      <c r="E95" s="644">
        <f>'Rep Schedule - Advanced'!J86</f>
        <v>0</v>
      </c>
      <c r="F95" s="771">
        <f>'Rep Schedule - Advanced'!K86</f>
        <v>0</v>
      </c>
      <c r="G95" s="770">
        <f>'Rep Schedule - Advanced'!N86</f>
        <v>0</v>
      </c>
      <c r="H95" s="772">
        <f>'Rep Schedule - Advanced'!R86</f>
        <v>0</v>
      </c>
      <c r="I95" s="773">
        <f>'Rep Schedule - Advanced'!U86</f>
        <v>0</v>
      </c>
      <c r="J95" s="774">
        <f>'Rep Schedule - Advanced'!X86</f>
        <v>0</v>
      </c>
      <c r="K95" s="774">
        <f>'Rep Schedule - Advanced'!Y86</f>
        <v>0</v>
      </c>
      <c r="L95" s="774">
        <f>'Rep Schedule - Advanced'!Z86</f>
        <v>0</v>
      </c>
      <c r="M95" s="775">
        <f>'Rep Schedule - Advanced'!AB86</f>
        <v>0</v>
      </c>
      <c r="N95" s="701">
        <f t="shared" si="9"/>
        <v>0</v>
      </c>
      <c r="O95" s="789" t="str">
        <f t="shared" si="10"/>
        <v>Annuity 80</v>
      </c>
      <c r="R95" s="607">
        <f t="shared" si="6"/>
        <v>0</v>
      </c>
      <c r="T95" s="622">
        <f t="shared" si="7"/>
        <v>0</v>
      </c>
      <c r="U95" s="623">
        <f t="shared" si="8"/>
        <v>0</v>
      </c>
      <c r="X95" s="715" t="b">
        <f>'Rep Schedule - Advanced'!AN86</f>
        <v>1</v>
      </c>
    </row>
    <row r="96" spans="1:24" ht="15" hidden="1">
      <c r="A96" s="624">
        <f t="shared" si="11"/>
        <v>81</v>
      </c>
      <c r="B96" s="621">
        <f>'Rep Schedule - Advanced'!E87</f>
        <v>42808</v>
      </c>
      <c r="C96" s="769">
        <f>'Rep Schedule - Advanced'!G87</f>
        <v>0</v>
      </c>
      <c r="D96" s="770">
        <f>'Rep Schedule - Advanced'!H87</f>
        <v>0</v>
      </c>
      <c r="E96" s="644">
        <f>'Rep Schedule - Advanced'!J87</f>
        <v>0</v>
      </c>
      <c r="F96" s="771">
        <f>'Rep Schedule - Advanced'!K87</f>
        <v>0</v>
      </c>
      <c r="G96" s="770">
        <f>'Rep Schedule - Advanced'!N87</f>
        <v>0</v>
      </c>
      <c r="H96" s="772">
        <f>'Rep Schedule - Advanced'!R87</f>
        <v>0</v>
      </c>
      <c r="I96" s="773">
        <f>'Rep Schedule - Advanced'!U87</f>
        <v>0</v>
      </c>
      <c r="J96" s="774">
        <f>'Rep Schedule - Advanced'!X87</f>
        <v>0</v>
      </c>
      <c r="K96" s="774">
        <f>'Rep Schedule - Advanced'!Y87</f>
        <v>0</v>
      </c>
      <c r="L96" s="774">
        <f>'Rep Schedule - Advanced'!Z87</f>
        <v>0</v>
      </c>
      <c r="M96" s="775">
        <f>'Rep Schedule - Advanced'!AB87</f>
        <v>0</v>
      </c>
      <c r="N96" s="701">
        <f t="shared" si="9"/>
        <v>0</v>
      </c>
      <c r="O96" s="789" t="str">
        <f t="shared" si="10"/>
        <v>Annuity 81</v>
      </c>
      <c r="R96" s="607">
        <f t="shared" si="6"/>
        <v>0</v>
      </c>
      <c r="T96" s="622">
        <f t="shared" si="7"/>
        <v>0</v>
      </c>
      <c r="U96" s="623">
        <f t="shared" si="8"/>
        <v>0</v>
      </c>
      <c r="X96" s="715" t="b">
        <f>'Rep Schedule - Advanced'!AN87</f>
        <v>1</v>
      </c>
    </row>
    <row r="97" spans="1:24" ht="15" hidden="1">
      <c r="A97" s="624">
        <f t="shared" si="11"/>
        <v>82</v>
      </c>
      <c r="B97" s="621">
        <f>'Rep Schedule - Advanced'!E88</f>
        <v>42839</v>
      </c>
      <c r="C97" s="769">
        <f>'Rep Schedule - Advanced'!G88</f>
        <v>0</v>
      </c>
      <c r="D97" s="770">
        <f>'Rep Schedule - Advanced'!H88</f>
        <v>0</v>
      </c>
      <c r="E97" s="644">
        <f>'Rep Schedule - Advanced'!J88</f>
        <v>0</v>
      </c>
      <c r="F97" s="771">
        <f>'Rep Schedule - Advanced'!K88</f>
        <v>0</v>
      </c>
      <c r="G97" s="770">
        <f>'Rep Schedule - Advanced'!N88</f>
        <v>0</v>
      </c>
      <c r="H97" s="772">
        <f>'Rep Schedule - Advanced'!R88</f>
        <v>0</v>
      </c>
      <c r="I97" s="773">
        <f>'Rep Schedule - Advanced'!U88</f>
        <v>0</v>
      </c>
      <c r="J97" s="774">
        <f>'Rep Schedule - Advanced'!X88</f>
        <v>0</v>
      </c>
      <c r="K97" s="774">
        <f>'Rep Schedule - Advanced'!Y88</f>
        <v>0</v>
      </c>
      <c r="L97" s="774">
        <f>'Rep Schedule - Advanced'!Z88</f>
        <v>0</v>
      </c>
      <c r="M97" s="775">
        <f>'Rep Schedule - Advanced'!AB88</f>
        <v>0</v>
      </c>
      <c r="N97" s="701">
        <f t="shared" si="9"/>
        <v>0</v>
      </c>
      <c r="O97" s="789" t="str">
        <f t="shared" si="10"/>
        <v>Annuity 82</v>
      </c>
      <c r="R97" s="607">
        <f t="shared" si="6"/>
        <v>0</v>
      </c>
      <c r="T97" s="622">
        <f t="shared" si="7"/>
        <v>0</v>
      </c>
      <c r="U97" s="623">
        <f t="shared" si="8"/>
        <v>0</v>
      </c>
      <c r="X97" s="715" t="b">
        <f>'Rep Schedule - Advanced'!AN88</f>
        <v>1</v>
      </c>
    </row>
    <row r="98" spans="1:24" ht="15" hidden="1">
      <c r="A98" s="624">
        <f t="shared" si="11"/>
        <v>83</v>
      </c>
      <c r="B98" s="621">
        <f>'Rep Schedule - Advanced'!E89</f>
        <v>42869</v>
      </c>
      <c r="C98" s="769">
        <f>'Rep Schedule - Advanced'!G89</f>
        <v>0</v>
      </c>
      <c r="D98" s="770">
        <f>'Rep Schedule - Advanced'!H89</f>
        <v>0</v>
      </c>
      <c r="E98" s="644">
        <f>'Rep Schedule - Advanced'!J89</f>
        <v>0</v>
      </c>
      <c r="F98" s="771">
        <f>'Rep Schedule - Advanced'!K89</f>
        <v>0</v>
      </c>
      <c r="G98" s="770">
        <f>'Rep Schedule - Advanced'!N89</f>
        <v>0</v>
      </c>
      <c r="H98" s="772">
        <f>'Rep Schedule - Advanced'!R89</f>
        <v>0</v>
      </c>
      <c r="I98" s="773">
        <f>'Rep Schedule - Advanced'!U89</f>
        <v>0</v>
      </c>
      <c r="J98" s="774">
        <f>'Rep Schedule - Advanced'!X89</f>
        <v>0</v>
      </c>
      <c r="K98" s="774">
        <f>'Rep Schedule - Advanced'!Y89</f>
        <v>0</v>
      </c>
      <c r="L98" s="774">
        <f>'Rep Schedule - Advanced'!Z89</f>
        <v>0</v>
      </c>
      <c r="M98" s="775">
        <f>'Rep Schedule - Advanced'!AB89</f>
        <v>0</v>
      </c>
      <c r="N98" s="701">
        <f t="shared" si="9"/>
        <v>0</v>
      </c>
      <c r="O98" s="789" t="str">
        <f t="shared" si="10"/>
        <v>Annuity 83</v>
      </c>
      <c r="R98" s="607">
        <f t="shared" si="6"/>
        <v>0</v>
      </c>
      <c r="T98" s="622">
        <f t="shared" si="7"/>
        <v>0</v>
      </c>
      <c r="U98" s="623">
        <f t="shared" si="8"/>
        <v>0</v>
      </c>
      <c r="X98" s="715" t="b">
        <f>'Rep Schedule - Advanced'!AN89</f>
        <v>1</v>
      </c>
    </row>
    <row r="99" spans="1:24" ht="15" hidden="1">
      <c r="A99" s="624">
        <f t="shared" si="11"/>
        <v>84</v>
      </c>
      <c r="B99" s="621">
        <f>'Rep Schedule - Advanced'!E90</f>
        <v>42900</v>
      </c>
      <c r="C99" s="769">
        <f>'Rep Schedule - Advanced'!G90</f>
        <v>0</v>
      </c>
      <c r="D99" s="770">
        <f>'Rep Schedule - Advanced'!H90</f>
        <v>0</v>
      </c>
      <c r="E99" s="644">
        <f>'Rep Schedule - Advanced'!J90</f>
        <v>0</v>
      </c>
      <c r="F99" s="771">
        <f>'Rep Schedule - Advanced'!K90</f>
        <v>0</v>
      </c>
      <c r="G99" s="770">
        <f>'Rep Schedule - Advanced'!N90</f>
        <v>0</v>
      </c>
      <c r="H99" s="772">
        <f>'Rep Schedule - Advanced'!R90</f>
        <v>0</v>
      </c>
      <c r="I99" s="773">
        <f>'Rep Schedule - Advanced'!U90</f>
        <v>0</v>
      </c>
      <c r="J99" s="774">
        <f>'Rep Schedule - Advanced'!X90</f>
        <v>0</v>
      </c>
      <c r="K99" s="774">
        <f>'Rep Schedule - Advanced'!Y90</f>
        <v>0</v>
      </c>
      <c r="L99" s="774">
        <f>'Rep Schedule - Advanced'!Z90</f>
        <v>0</v>
      </c>
      <c r="M99" s="775">
        <f>'Rep Schedule - Advanced'!AB90</f>
        <v>0</v>
      </c>
      <c r="N99" s="701">
        <f t="shared" si="9"/>
        <v>0</v>
      </c>
      <c r="O99" s="789" t="str">
        <f t="shared" si="10"/>
        <v>Annuity 84</v>
      </c>
      <c r="R99" s="607">
        <f t="shared" si="6"/>
        <v>0</v>
      </c>
      <c r="T99" s="622">
        <f t="shared" si="7"/>
        <v>0</v>
      </c>
      <c r="U99" s="623">
        <f t="shared" si="8"/>
        <v>0</v>
      </c>
      <c r="X99" s="715" t="b">
        <f>'Rep Schedule - Advanced'!AN90</f>
        <v>1</v>
      </c>
    </row>
    <row r="100" spans="1:24" ht="15" hidden="1">
      <c r="A100" s="624">
        <f t="shared" si="11"/>
        <v>85</v>
      </c>
      <c r="B100" s="621">
        <f>'Rep Schedule - Advanced'!E91</f>
        <v>42930</v>
      </c>
      <c r="C100" s="769">
        <f>'Rep Schedule - Advanced'!G91</f>
        <v>0</v>
      </c>
      <c r="D100" s="770">
        <f>'Rep Schedule - Advanced'!H91</f>
        <v>0</v>
      </c>
      <c r="E100" s="644">
        <f>'Rep Schedule - Advanced'!J91</f>
        <v>0</v>
      </c>
      <c r="F100" s="771">
        <f>'Rep Schedule - Advanced'!K91</f>
        <v>0</v>
      </c>
      <c r="G100" s="770">
        <f>'Rep Schedule - Advanced'!N91</f>
        <v>0</v>
      </c>
      <c r="H100" s="772">
        <f>'Rep Schedule - Advanced'!R91</f>
        <v>0</v>
      </c>
      <c r="I100" s="773">
        <f>'Rep Schedule - Advanced'!U91</f>
        <v>0</v>
      </c>
      <c r="J100" s="774">
        <f>'Rep Schedule - Advanced'!X91</f>
        <v>0</v>
      </c>
      <c r="K100" s="774">
        <f>'Rep Schedule - Advanced'!Y91</f>
        <v>0</v>
      </c>
      <c r="L100" s="774">
        <f>'Rep Schedule - Advanced'!Z91</f>
        <v>0</v>
      </c>
      <c r="M100" s="775">
        <f>'Rep Schedule - Advanced'!AB91</f>
        <v>0</v>
      </c>
      <c r="N100" s="701">
        <f t="shared" si="9"/>
        <v>0</v>
      </c>
      <c r="O100" s="789" t="str">
        <f t="shared" si="10"/>
        <v>Annuity 85</v>
      </c>
      <c r="R100" s="607">
        <f t="shared" si="6"/>
        <v>0</v>
      </c>
      <c r="T100" s="622">
        <f t="shared" si="7"/>
        <v>0</v>
      </c>
      <c r="U100" s="623">
        <f t="shared" si="8"/>
        <v>0</v>
      </c>
      <c r="X100" s="715" t="b">
        <f>'Rep Schedule - Advanced'!AN91</f>
        <v>1</v>
      </c>
    </row>
    <row r="101" spans="1:24" ht="15" hidden="1">
      <c r="A101" s="624">
        <f t="shared" si="11"/>
        <v>86</v>
      </c>
      <c r="B101" s="621">
        <f>'Rep Schedule - Advanced'!E92</f>
        <v>42961</v>
      </c>
      <c r="C101" s="769">
        <f>'Rep Schedule - Advanced'!G92</f>
        <v>0</v>
      </c>
      <c r="D101" s="770">
        <f>'Rep Schedule - Advanced'!H92</f>
        <v>0</v>
      </c>
      <c r="E101" s="644">
        <f>'Rep Schedule - Advanced'!J92</f>
        <v>0</v>
      </c>
      <c r="F101" s="771">
        <f>'Rep Schedule - Advanced'!K92</f>
        <v>0</v>
      </c>
      <c r="G101" s="770">
        <f>'Rep Schedule - Advanced'!N92</f>
        <v>0</v>
      </c>
      <c r="H101" s="772">
        <f>'Rep Schedule - Advanced'!R92</f>
        <v>0</v>
      </c>
      <c r="I101" s="773">
        <f>'Rep Schedule - Advanced'!U92</f>
        <v>0</v>
      </c>
      <c r="J101" s="774">
        <f>'Rep Schedule - Advanced'!X92</f>
        <v>0</v>
      </c>
      <c r="K101" s="774">
        <f>'Rep Schedule - Advanced'!Y92</f>
        <v>0</v>
      </c>
      <c r="L101" s="774">
        <f>'Rep Schedule - Advanced'!Z92</f>
        <v>0</v>
      </c>
      <c r="M101" s="775">
        <f>'Rep Schedule - Advanced'!AB92</f>
        <v>0</v>
      </c>
      <c r="N101" s="701">
        <f t="shared" si="9"/>
        <v>0</v>
      </c>
      <c r="O101" s="789" t="str">
        <f t="shared" si="10"/>
        <v>Annuity 86</v>
      </c>
      <c r="R101" s="607">
        <f t="shared" si="6"/>
        <v>0</v>
      </c>
      <c r="T101" s="622">
        <f t="shared" si="7"/>
        <v>0</v>
      </c>
      <c r="U101" s="623">
        <f t="shared" si="8"/>
        <v>0</v>
      </c>
      <c r="X101" s="715" t="b">
        <f>'Rep Schedule - Advanced'!AN92</f>
        <v>1</v>
      </c>
    </row>
    <row r="102" spans="1:24" ht="15" hidden="1">
      <c r="A102" s="624">
        <f t="shared" si="11"/>
        <v>87</v>
      </c>
      <c r="B102" s="621">
        <f>'Rep Schedule - Advanced'!E93</f>
        <v>42992</v>
      </c>
      <c r="C102" s="769">
        <f>'Rep Schedule - Advanced'!G93</f>
        <v>0</v>
      </c>
      <c r="D102" s="770">
        <f>'Rep Schedule - Advanced'!H93</f>
        <v>0</v>
      </c>
      <c r="E102" s="644">
        <f>'Rep Schedule - Advanced'!J93</f>
        <v>0</v>
      </c>
      <c r="F102" s="771">
        <f>'Rep Schedule - Advanced'!K93</f>
        <v>0</v>
      </c>
      <c r="G102" s="770">
        <f>'Rep Schedule - Advanced'!N93</f>
        <v>0</v>
      </c>
      <c r="H102" s="772">
        <f>'Rep Schedule - Advanced'!R93</f>
        <v>0</v>
      </c>
      <c r="I102" s="773">
        <f>'Rep Schedule - Advanced'!U93</f>
        <v>0</v>
      </c>
      <c r="J102" s="774">
        <f>'Rep Schedule - Advanced'!X93</f>
        <v>0</v>
      </c>
      <c r="K102" s="774">
        <f>'Rep Schedule - Advanced'!Y93</f>
        <v>0</v>
      </c>
      <c r="L102" s="774">
        <f>'Rep Schedule - Advanced'!Z93</f>
        <v>0</v>
      </c>
      <c r="M102" s="775">
        <f>'Rep Schedule - Advanced'!AB93</f>
        <v>0</v>
      </c>
      <c r="N102" s="701">
        <f t="shared" si="9"/>
        <v>0</v>
      </c>
      <c r="O102" s="789" t="str">
        <f t="shared" si="10"/>
        <v>Annuity 87</v>
      </c>
      <c r="R102" s="607">
        <f t="shared" si="6"/>
        <v>0</v>
      </c>
      <c r="T102" s="622">
        <f t="shared" si="7"/>
        <v>0</v>
      </c>
      <c r="U102" s="623">
        <f t="shared" si="8"/>
        <v>0</v>
      </c>
      <c r="X102" s="715" t="b">
        <f>'Rep Schedule - Advanced'!AN93</f>
        <v>1</v>
      </c>
    </row>
    <row r="103" spans="1:24" ht="15" hidden="1">
      <c r="A103" s="624">
        <f t="shared" si="11"/>
        <v>88</v>
      </c>
      <c r="B103" s="621">
        <f>'Rep Schedule - Advanced'!E94</f>
        <v>43022</v>
      </c>
      <c r="C103" s="769">
        <f>'Rep Schedule - Advanced'!G94</f>
        <v>0</v>
      </c>
      <c r="D103" s="770">
        <f>'Rep Schedule - Advanced'!H94</f>
        <v>0</v>
      </c>
      <c r="E103" s="644">
        <f>'Rep Schedule - Advanced'!J94</f>
        <v>0</v>
      </c>
      <c r="F103" s="771">
        <f>'Rep Schedule - Advanced'!K94</f>
        <v>0</v>
      </c>
      <c r="G103" s="770">
        <f>'Rep Schedule - Advanced'!N94</f>
        <v>0</v>
      </c>
      <c r="H103" s="772">
        <f>'Rep Schedule - Advanced'!R94</f>
        <v>0</v>
      </c>
      <c r="I103" s="773">
        <f>'Rep Schedule - Advanced'!U94</f>
        <v>0</v>
      </c>
      <c r="J103" s="774">
        <f>'Rep Schedule - Advanced'!X94</f>
        <v>0</v>
      </c>
      <c r="K103" s="774">
        <f>'Rep Schedule - Advanced'!Y94</f>
        <v>0</v>
      </c>
      <c r="L103" s="774">
        <f>'Rep Schedule - Advanced'!Z94</f>
        <v>0</v>
      </c>
      <c r="M103" s="775">
        <f>'Rep Schedule - Advanced'!AB94</f>
        <v>0</v>
      </c>
      <c r="N103" s="701">
        <f t="shared" si="9"/>
        <v>0</v>
      </c>
      <c r="O103" s="789" t="str">
        <f t="shared" si="10"/>
        <v>Annuity 88</v>
      </c>
      <c r="R103" s="607">
        <f t="shared" si="6"/>
        <v>0</v>
      </c>
      <c r="T103" s="622">
        <f t="shared" si="7"/>
        <v>0</v>
      </c>
      <c r="U103" s="623">
        <f t="shared" si="8"/>
        <v>0</v>
      </c>
      <c r="X103" s="715" t="b">
        <f>'Rep Schedule - Advanced'!AN94</f>
        <v>1</v>
      </c>
    </row>
    <row r="104" spans="1:24" ht="15" hidden="1">
      <c r="A104" s="624">
        <f t="shared" si="11"/>
        <v>89</v>
      </c>
      <c r="B104" s="621">
        <f>'Rep Schedule - Advanced'!E95</f>
        <v>43053</v>
      </c>
      <c r="C104" s="769">
        <f>'Rep Schedule - Advanced'!G95</f>
        <v>0</v>
      </c>
      <c r="D104" s="770">
        <f>'Rep Schedule - Advanced'!H95</f>
        <v>0</v>
      </c>
      <c r="E104" s="644">
        <f>'Rep Schedule - Advanced'!J95</f>
        <v>0</v>
      </c>
      <c r="F104" s="771">
        <f>'Rep Schedule - Advanced'!K95</f>
        <v>0</v>
      </c>
      <c r="G104" s="770">
        <f>'Rep Schedule - Advanced'!N95</f>
        <v>0</v>
      </c>
      <c r="H104" s="772">
        <f>'Rep Schedule - Advanced'!R95</f>
        <v>0</v>
      </c>
      <c r="I104" s="773">
        <f>'Rep Schedule - Advanced'!U95</f>
        <v>0</v>
      </c>
      <c r="J104" s="774">
        <f>'Rep Schedule - Advanced'!X95</f>
        <v>0</v>
      </c>
      <c r="K104" s="774">
        <f>'Rep Schedule - Advanced'!Y95</f>
        <v>0</v>
      </c>
      <c r="L104" s="774">
        <f>'Rep Schedule - Advanced'!Z95</f>
        <v>0</v>
      </c>
      <c r="M104" s="775">
        <f>'Rep Schedule - Advanced'!AB95</f>
        <v>0</v>
      </c>
      <c r="N104" s="701">
        <f t="shared" si="9"/>
        <v>0</v>
      </c>
      <c r="O104" s="789" t="str">
        <f t="shared" si="10"/>
        <v>Annuity 89</v>
      </c>
      <c r="R104" s="607">
        <f t="shared" ref="R104:R151" si="12">(B104-B103)*E103</f>
        <v>0</v>
      </c>
      <c r="T104" s="622">
        <f t="shared" si="7"/>
        <v>0</v>
      </c>
      <c r="U104" s="623">
        <f t="shared" si="8"/>
        <v>0</v>
      </c>
      <c r="X104" s="715" t="b">
        <f>'Rep Schedule - Advanced'!AN95</f>
        <v>1</v>
      </c>
    </row>
    <row r="105" spans="1:24" ht="15" hidden="1">
      <c r="A105" s="624">
        <f t="shared" si="11"/>
        <v>90</v>
      </c>
      <c r="B105" s="621">
        <f>'Rep Schedule - Advanced'!E96</f>
        <v>43083</v>
      </c>
      <c r="C105" s="769">
        <f>'Rep Schedule - Advanced'!G96</f>
        <v>0</v>
      </c>
      <c r="D105" s="770">
        <f>'Rep Schedule - Advanced'!H96</f>
        <v>0</v>
      </c>
      <c r="E105" s="644">
        <f>'Rep Schedule - Advanced'!J96</f>
        <v>0</v>
      </c>
      <c r="F105" s="771">
        <f>'Rep Schedule - Advanced'!K96</f>
        <v>0</v>
      </c>
      <c r="G105" s="770">
        <f>'Rep Schedule - Advanced'!N96</f>
        <v>0</v>
      </c>
      <c r="H105" s="772">
        <f>'Rep Schedule - Advanced'!R96</f>
        <v>0</v>
      </c>
      <c r="I105" s="773">
        <f>'Rep Schedule - Advanced'!U96</f>
        <v>0</v>
      </c>
      <c r="J105" s="774">
        <f>'Rep Schedule - Advanced'!X96</f>
        <v>0</v>
      </c>
      <c r="K105" s="774">
        <f>'Rep Schedule - Advanced'!Y96</f>
        <v>0</v>
      </c>
      <c r="L105" s="774">
        <f>'Rep Schedule - Advanced'!Z96</f>
        <v>0</v>
      </c>
      <c r="M105" s="775">
        <f>'Rep Schedule - Advanced'!AB96</f>
        <v>0</v>
      </c>
      <c r="N105" s="701">
        <f t="shared" si="9"/>
        <v>0</v>
      </c>
      <c r="O105" s="789" t="str">
        <f t="shared" si="10"/>
        <v>Annuity 90</v>
      </c>
      <c r="R105" s="607">
        <f t="shared" si="12"/>
        <v>0</v>
      </c>
      <c r="T105" s="622">
        <f t="shared" si="7"/>
        <v>0</v>
      </c>
      <c r="U105" s="623">
        <f t="shared" si="8"/>
        <v>0</v>
      </c>
      <c r="X105" s="715" t="b">
        <f>'Rep Schedule - Advanced'!AN96</f>
        <v>1</v>
      </c>
    </row>
    <row r="106" spans="1:24" ht="15" hidden="1">
      <c r="A106" s="624">
        <f t="shared" si="11"/>
        <v>91</v>
      </c>
      <c r="B106" s="621">
        <f>'Rep Schedule - Advanced'!E97</f>
        <v>43114</v>
      </c>
      <c r="C106" s="769">
        <f>'Rep Schedule - Advanced'!G97</f>
        <v>0</v>
      </c>
      <c r="D106" s="770">
        <f>'Rep Schedule - Advanced'!H97</f>
        <v>0</v>
      </c>
      <c r="E106" s="644">
        <f>'Rep Schedule - Advanced'!J97</f>
        <v>0</v>
      </c>
      <c r="F106" s="771">
        <f>'Rep Schedule - Advanced'!K97</f>
        <v>0</v>
      </c>
      <c r="G106" s="770">
        <f>'Rep Schedule - Advanced'!N97</f>
        <v>0</v>
      </c>
      <c r="H106" s="772">
        <f>'Rep Schedule - Advanced'!R97</f>
        <v>0</v>
      </c>
      <c r="I106" s="773">
        <f>'Rep Schedule - Advanced'!U97</f>
        <v>0</v>
      </c>
      <c r="J106" s="774">
        <f>'Rep Schedule - Advanced'!X97</f>
        <v>0</v>
      </c>
      <c r="K106" s="774">
        <f>'Rep Schedule - Advanced'!Y97</f>
        <v>0</v>
      </c>
      <c r="L106" s="774">
        <f>'Rep Schedule - Advanced'!Z97</f>
        <v>0</v>
      </c>
      <c r="M106" s="775">
        <f>'Rep Schedule - Advanced'!AB97</f>
        <v>0</v>
      </c>
      <c r="N106" s="701">
        <f t="shared" si="9"/>
        <v>0</v>
      </c>
      <c r="O106" s="789" t="str">
        <f t="shared" si="10"/>
        <v>Annuity 91</v>
      </c>
      <c r="R106" s="607">
        <f t="shared" si="12"/>
        <v>0</v>
      </c>
      <c r="T106" s="622">
        <f t="shared" si="7"/>
        <v>0</v>
      </c>
      <c r="U106" s="623">
        <f t="shared" si="8"/>
        <v>0</v>
      </c>
      <c r="X106" s="715" t="b">
        <f>'Rep Schedule - Advanced'!AN97</f>
        <v>1</v>
      </c>
    </row>
    <row r="107" spans="1:24" ht="15" hidden="1">
      <c r="A107" s="624">
        <f t="shared" si="11"/>
        <v>92</v>
      </c>
      <c r="B107" s="621">
        <f>'Rep Schedule - Advanced'!E98</f>
        <v>43145</v>
      </c>
      <c r="C107" s="769">
        <f>'Rep Schedule - Advanced'!G98</f>
        <v>0</v>
      </c>
      <c r="D107" s="770">
        <f>'Rep Schedule - Advanced'!H98</f>
        <v>0</v>
      </c>
      <c r="E107" s="644">
        <f>'Rep Schedule - Advanced'!J98</f>
        <v>0</v>
      </c>
      <c r="F107" s="771">
        <f>'Rep Schedule - Advanced'!K98</f>
        <v>0</v>
      </c>
      <c r="G107" s="770">
        <f>'Rep Schedule - Advanced'!N98</f>
        <v>0</v>
      </c>
      <c r="H107" s="772">
        <f>'Rep Schedule - Advanced'!R98</f>
        <v>0</v>
      </c>
      <c r="I107" s="773">
        <f>'Rep Schedule - Advanced'!U98</f>
        <v>0</v>
      </c>
      <c r="J107" s="774">
        <f>'Rep Schedule - Advanced'!X98</f>
        <v>0</v>
      </c>
      <c r="K107" s="774">
        <f>'Rep Schedule - Advanced'!Y98</f>
        <v>0</v>
      </c>
      <c r="L107" s="774">
        <f>'Rep Schedule - Advanced'!Z98</f>
        <v>0</v>
      </c>
      <c r="M107" s="775">
        <f>'Rep Schedule - Advanced'!AB98</f>
        <v>0</v>
      </c>
      <c r="N107" s="701">
        <f t="shared" si="9"/>
        <v>0</v>
      </c>
      <c r="O107" s="789" t="str">
        <f t="shared" si="10"/>
        <v>Annuity 92</v>
      </c>
      <c r="R107" s="607">
        <f t="shared" si="12"/>
        <v>0</v>
      </c>
      <c r="T107" s="622">
        <f t="shared" si="7"/>
        <v>0</v>
      </c>
      <c r="U107" s="623">
        <f t="shared" si="8"/>
        <v>0</v>
      </c>
      <c r="X107" s="715" t="b">
        <f>'Rep Schedule - Advanced'!AN98</f>
        <v>1</v>
      </c>
    </row>
    <row r="108" spans="1:24" ht="15" hidden="1">
      <c r="A108" s="624">
        <f t="shared" si="11"/>
        <v>93</v>
      </c>
      <c r="B108" s="621">
        <f>'Rep Schedule - Advanced'!E99</f>
        <v>43173</v>
      </c>
      <c r="C108" s="769">
        <f>'Rep Schedule - Advanced'!G99</f>
        <v>0</v>
      </c>
      <c r="D108" s="770">
        <f>'Rep Schedule - Advanced'!H99</f>
        <v>0</v>
      </c>
      <c r="E108" s="644">
        <f>'Rep Schedule - Advanced'!J99</f>
        <v>0</v>
      </c>
      <c r="F108" s="771">
        <f>'Rep Schedule - Advanced'!K99</f>
        <v>0</v>
      </c>
      <c r="G108" s="770">
        <f>'Rep Schedule - Advanced'!N99</f>
        <v>0</v>
      </c>
      <c r="H108" s="772">
        <f>'Rep Schedule - Advanced'!R99</f>
        <v>0</v>
      </c>
      <c r="I108" s="773">
        <f>'Rep Schedule - Advanced'!U99</f>
        <v>0</v>
      </c>
      <c r="J108" s="774">
        <f>'Rep Schedule - Advanced'!X99</f>
        <v>0</v>
      </c>
      <c r="K108" s="774">
        <f>'Rep Schedule - Advanced'!Y99</f>
        <v>0</v>
      </c>
      <c r="L108" s="774">
        <f>'Rep Schedule - Advanced'!Z99</f>
        <v>0</v>
      </c>
      <c r="M108" s="775">
        <f>'Rep Schedule - Advanced'!AB99</f>
        <v>0</v>
      </c>
      <c r="N108" s="701">
        <f t="shared" si="9"/>
        <v>0</v>
      </c>
      <c r="O108" s="789" t="str">
        <f t="shared" si="10"/>
        <v>Annuity 93</v>
      </c>
      <c r="R108" s="607">
        <f t="shared" si="12"/>
        <v>0</v>
      </c>
      <c r="T108" s="622">
        <f t="shared" si="7"/>
        <v>0</v>
      </c>
      <c r="U108" s="623">
        <f t="shared" si="8"/>
        <v>0</v>
      </c>
      <c r="X108" s="715" t="b">
        <f>'Rep Schedule - Advanced'!AN99</f>
        <v>1</v>
      </c>
    </row>
    <row r="109" spans="1:24" ht="15" hidden="1">
      <c r="A109" s="624">
        <f t="shared" si="11"/>
        <v>94</v>
      </c>
      <c r="B109" s="621">
        <f>'Rep Schedule - Advanced'!E100</f>
        <v>43204</v>
      </c>
      <c r="C109" s="769">
        <f>'Rep Schedule - Advanced'!G100</f>
        <v>0</v>
      </c>
      <c r="D109" s="770">
        <f>'Rep Schedule - Advanced'!H100</f>
        <v>0</v>
      </c>
      <c r="E109" s="644">
        <f>'Rep Schedule - Advanced'!J100</f>
        <v>0</v>
      </c>
      <c r="F109" s="771">
        <f>'Rep Schedule - Advanced'!K100</f>
        <v>0</v>
      </c>
      <c r="G109" s="770">
        <f>'Rep Schedule - Advanced'!N100</f>
        <v>0</v>
      </c>
      <c r="H109" s="772">
        <f>'Rep Schedule - Advanced'!R100</f>
        <v>0</v>
      </c>
      <c r="I109" s="773">
        <f>'Rep Schedule - Advanced'!U100</f>
        <v>0</v>
      </c>
      <c r="J109" s="774">
        <f>'Rep Schedule - Advanced'!X100</f>
        <v>0</v>
      </c>
      <c r="K109" s="774">
        <f>'Rep Schedule - Advanced'!Y100</f>
        <v>0</v>
      </c>
      <c r="L109" s="774">
        <f>'Rep Schedule - Advanced'!Z100</f>
        <v>0</v>
      </c>
      <c r="M109" s="775">
        <f>'Rep Schedule - Advanced'!AB100</f>
        <v>0</v>
      </c>
      <c r="N109" s="701">
        <f t="shared" si="9"/>
        <v>0</v>
      </c>
      <c r="O109" s="789" t="str">
        <f t="shared" si="10"/>
        <v>Annuity 94</v>
      </c>
      <c r="R109" s="607">
        <f t="shared" si="12"/>
        <v>0</v>
      </c>
      <c r="T109" s="622">
        <f t="shared" si="7"/>
        <v>0</v>
      </c>
      <c r="U109" s="623">
        <f t="shared" si="8"/>
        <v>0</v>
      </c>
      <c r="X109" s="715" t="b">
        <f>'Rep Schedule - Advanced'!AN100</f>
        <v>1</v>
      </c>
    </row>
    <row r="110" spans="1:24" ht="15" hidden="1">
      <c r="A110" s="624">
        <f t="shared" si="11"/>
        <v>95</v>
      </c>
      <c r="B110" s="621">
        <f>'Rep Schedule - Advanced'!E101</f>
        <v>43234</v>
      </c>
      <c r="C110" s="769">
        <f>'Rep Schedule - Advanced'!G101</f>
        <v>0</v>
      </c>
      <c r="D110" s="770">
        <f>'Rep Schedule - Advanced'!H101</f>
        <v>0</v>
      </c>
      <c r="E110" s="644">
        <f>'Rep Schedule - Advanced'!J101</f>
        <v>0</v>
      </c>
      <c r="F110" s="771">
        <f>'Rep Schedule - Advanced'!K101</f>
        <v>0</v>
      </c>
      <c r="G110" s="770">
        <f>'Rep Schedule - Advanced'!N101</f>
        <v>0</v>
      </c>
      <c r="H110" s="772">
        <f>'Rep Schedule - Advanced'!R101</f>
        <v>0</v>
      </c>
      <c r="I110" s="773">
        <f>'Rep Schedule - Advanced'!U101</f>
        <v>0</v>
      </c>
      <c r="J110" s="774">
        <f>'Rep Schedule - Advanced'!X101</f>
        <v>0</v>
      </c>
      <c r="K110" s="774">
        <f>'Rep Schedule - Advanced'!Y101</f>
        <v>0</v>
      </c>
      <c r="L110" s="774">
        <f>'Rep Schedule - Advanced'!Z101</f>
        <v>0</v>
      </c>
      <c r="M110" s="775">
        <f>'Rep Schedule - Advanced'!AB101</f>
        <v>0</v>
      </c>
      <c r="N110" s="701">
        <f t="shared" si="9"/>
        <v>0</v>
      </c>
      <c r="O110" s="789" t="str">
        <f t="shared" si="10"/>
        <v>Annuity 95</v>
      </c>
      <c r="R110" s="607">
        <f t="shared" si="12"/>
        <v>0</v>
      </c>
      <c r="T110" s="622">
        <f t="shared" si="7"/>
        <v>0</v>
      </c>
      <c r="U110" s="623">
        <f t="shared" si="8"/>
        <v>0</v>
      </c>
      <c r="X110" s="715" t="b">
        <f>'Rep Schedule - Advanced'!AN101</f>
        <v>1</v>
      </c>
    </row>
    <row r="111" spans="1:24" ht="15" hidden="1">
      <c r="A111" s="624">
        <f t="shared" si="11"/>
        <v>96</v>
      </c>
      <c r="B111" s="621">
        <f>'Rep Schedule - Advanced'!E102</f>
        <v>43265</v>
      </c>
      <c r="C111" s="769">
        <f>'Rep Schedule - Advanced'!G102</f>
        <v>0</v>
      </c>
      <c r="D111" s="770">
        <f>'Rep Schedule - Advanced'!H102</f>
        <v>0</v>
      </c>
      <c r="E111" s="644">
        <f>'Rep Schedule - Advanced'!J102</f>
        <v>0</v>
      </c>
      <c r="F111" s="771">
        <f>'Rep Schedule - Advanced'!K102</f>
        <v>0</v>
      </c>
      <c r="G111" s="770">
        <f>'Rep Schedule - Advanced'!N102</f>
        <v>0</v>
      </c>
      <c r="H111" s="772">
        <f>'Rep Schedule - Advanced'!R102</f>
        <v>0</v>
      </c>
      <c r="I111" s="773">
        <f>'Rep Schedule - Advanced'!U102</f>
        <v>0</v>
      </c>
      <c r="J111" s="774">
        <f>'Rep Schedule - Advanced'!X102</f>
        <v>0</v>
      </c>
      <c r="K111" s="774">
        <f>'Rep Schedule - Advanced'!Y102</f>
        <v>0</v>
      </c>
      <c r="L111" s="774">
        <f>'Rep Schedule - Advanced'!Z102</f>
        <v>0</v>
      </c>
      <c r="M111" s="775">
        <f>'Rep Schedule - Advanced'!AB102</f>
        <v>0</v>
      </c>
      <c r="N111" s="701">
        <f t="shared" si="9"/>
        <v>0</v>
      </c>
      <c r="O111" s="789" t="str">
        <f t="shared" si="10"/>
        <v>Annuity 96</v>
      </c>
      <c r="R111" s="607">
        <f t="shared" si="12"/>
        <v>0</v>
      </c>
      <c r="T111" s="622">
        <f t="shared" si="7"/>
        <v>0</v>
      </c>
      <c r="U111" s="623">
        <f t="shared" si="8"/>
        <v>0</v>
      </c>
      <c r="X111" s="715" t="b">
        <f>'Rep Schedule - Advanced'!AN102</f>
        <v>1</v>
      </c>
    </row>
    <row r="112" spans="1:24" ht="15" hidden="1">
      <c r="A112" s="624">
        <f t="shared" si="11"/>
        <v>97</v>
      </c>
      <c r="B112" s="621">
        <f>'Rep Schedule - Advanced'!E103</f>
        <v>43295</v>
      </c>
      <c r="C112" s="769">
        <f>'Rep Schedule - Advanced'!G103</f>
        <v>0</v>
      </c>
      <c r="D112" s="770">
        <f>'Rep Schedule - Advanced'!H103</f>
        <v>0</v>
      </c>
      <c r="E112" s="644">
        <f>'Rep Schedule - Advanced'!J103</f>
        <v>0</v>
      </c>
      <c r="F112" s="771">
        <f>'Rep Schedule - Advanced'!K103</f>
        <v>0</v>
      </c>
      <c r="G112" s="770">
        <f>'Rep Schedule - Advanced'!N103</f>
        <v>0</v>
      </c>
      <c r="H112" s="772">
        <f>'Rep Schedule - Advanced'!R103</f>
        <v>0</v>
      </c>
      <c r="I112" s="773">
        <f>'Rep Schedule - Advanced'!U103</f>
        <v>0</v>
      </c>
      <c r="J112" s="774">
        <f>'Rep Schedule - Advanced'!X103</f>
        <v>0</v>
      </c>
      <c r="K112" s="774">
        <f>'Rep Schedule - Advanced'!Y103</f>
        <v>0</v>
      </c>
      <c r="L112" s="774">
        <f>'Rep Schedule - Advanced'!Z103</f>
        <v>0</v>
      </c>
      <c r="M112" s="775">
        <f>'Rep Schedule - Advanced'!AB103</f>
        <v>0</v>
      </c>
      <c r="N112" s="701">
        <f t="shared" si="9"/>
        <v>0</v>
      </c>
      <c r="O112" s="789" t="str">
        <f t="shared" si="10"/>
        <v>Annuity 97</v>
      </c>
      <c r="R112" s="607">
        <f t="shared" si="12"/>
        <v>0</v>
      </c>
      <c r="T112" s="622">
        <f t="shared" si="7"/>
        <v>0</v>
      </c>
      <c r="U112" s="623">
        <f t="shared" si="8"/>
        <v>0</v>
      </c>
      <c r="X112" s="715" t="b">
        <f>'Rep Schedule - Advanced'!AN103</f>
        <v>1</v>
      </c>
    </row>
    <row r="113" spans="1:24" ht="15" hidden="1">
      <c r="A113" s="624">
        <f t="shared" si="11"/>
        <v>98</v>
      </c>
      <c r="B113" s="621">
        <f>'Rep Schedule - Advanced'!E104</f>
        <v>43326</v>
      </c>
      <c r="C113" s="769">
        <f>'Rep Schedule - Advanced'!G104</f>
        <v>0</v>
      </c>
      <c r="D113" s="770">
        <f>'Rep Schedule - Advanced'!H104</f>
        <v>0</v>
      </c>
      <c r="E113" s="644">
        <f>'Rep Schedule - Advanced'!J104</f>
        <v>0</v>
      </c>
      <c r="F113" s="771">
        <f>'Rep Schedule - Advanced'!K104</f>
        <v>0</v>
      </c>
      <c r="G113" s="770">
        <f>'Rep Schedule - Advanced'!N104</f>
        <v>0</v>
      </c>
      <c r="H113" s="772">
        <f>'Rep Schedule - Advanced'!R104</f>
        <v>0</v>
      </c>
      <c r="I113" s="773">
        <f>'Rep Schedule - Advanced'!U104</f>
        <v>0</v>
      </c>
      <c r="J113" s="774">
        <f>'Rep Schedule - Advanced'!X104</f>
        <v>0</v>
      </c>
      <c r="K113" s="774">
        <f>'Rep Schedule - Advanced'!Y104</f>
        <v>0</v>
      </c>
      <c r="L113" s="774">
        <f>'Rep Schedule - Advanced'!Z104</f>
        <v>0</v>
      </c>
      <c r="M113" s="775">
        <f>'Rep Schedule - Advanced'!AB104</f>
        <v>0</v>
      </c>
      <c r="N113" s="701">
        <f t="shared" si="9"/>
        <v>0</v>
      </c>
      <c r="O113" s="789" t="str">
        <f t="shared" si="10"/>
        <v>Annuity 98</v>
      </c>
      <c r="R113" s="607">
        <f t="shared" si="12"/>
        <v>0</v>
      </c>
      <c r="T113" s="622">
        <f t="shared" si="7"/>
        <v>0</v>
      </c>
      <c r="U113" s="623">
        <f t="shared" si="8"/>
        <v>0</v>
      </c>
      <c r="X113" s="715" t="b">
        <f>'Rep Schedule - Advanced'!AN104</f>
        <v>1</v>
      </c>
    </row>
    <row r="114" spans="1:24" ht="15" hidden="1">
      <c r="A114" s="624">
        <f t="shared" si="11"/>
        <v>99</v>
      </c>
      <c r="B114" s="621">
        <f>'Rep Schedule - Advanced'!E105</f>
        <v>43357</v>
      </c>
      <c r="C114" s="769">
        <f>'Rep Schedule - Advanced'!G105</f>
        <v>0</v>
      </c>
      <c r="D114" s="770">
        <f>'Rep Schedule - Advanced'!H105</f>
        <v>0</v>
      </c>
      <c r="E114" s="644">
        <f>'Rep Schedule - Advanced'!J105</f>
        <v>0</v>
      </c>
      <c r="F114" s="771">
        <f>'Rep Schedule - Advanced'!K105</f>
        <v>0</v>
      </c>
      <c r="G114" s="770">
        <f>'Rep Schedule - Advanced'!N105</f>
        <v>0</v>
      </c>
      <c r="H114" s="772">
        <f>'Rep Schedule - Advanced'!R105</f>
        <v>0</v>
      </c>
      <c r="I114" s="773">
        <f>'Rep Schedule - Advanced'!U105</f>
        <v>0</v>
      </c>
      <c r="J114" s="774">
        <f>'Rep Schedule - Advanced'!X105</f>
        <v>0</v>
      </c>
      <c r="K114" s="774">
        <f>'Rep Schedule - Advanced'!Y105</f>
        <v>0</v>
      </c>
      <c r="L114" s="774">
        <f>'Rep Schedule - Advanced'!Z105</f>
        <v>0</v>
      </c>
      <c r="M114" s="775">
        <f>'Rep Schedule - Advanced'!AB105</f>
        <v>0</v>
      </c>
      <c r="N114" s="701">
        <f t="shared" si="9"/>
        <v>0</v>
      </c>
      <c r="O114" s="789" t="str">
        <f t="shared" si="10"/>
        <v>Annuity 99</v>
      </c>
      <c r="R114" s="607">
        <f t="shared" si="12"/>
        <v>0</v>
      </c>
      <c r="T114" s="622">
        <f t="shared" si="7"/>
        <v>0</v>
      </c>
      <c r="U114" s="623">
        <f t="shared" si="8"/>
        <v>0</v>
      </c>
      <c r="X114" s="715" t="b">
        <f>'Rep Schedule - Advanced'!AN105</f>
        <v>1</v>
      </c>
    </row>
    <row r="115" spans="1:24" ht="15" hidden="1">
      <c r="A115" s="624">
        <f t="shared" si="11"/>
        <v>100</v>
      </c>
      <c r="B115" s="621">
        <f>'Rep Schedule - Advanced'!E106</f>
        <v>43387</v>
      </c>
      <c r="C115" s="769">
        <f>'Rep Schedule - Advanced'!G106</f>
        <v>0</v>
      </c>
      <c r="D115" s="770">
        <f>'Rep Schedule - Advanced'!H106</f>
        <v>0</v>
      </c>
      <c r="E115" s="644">
        <f>'Rep Schedule - Advanced'!J106</f>
        <v>0</v>
      </c>
      <c r="F115" s="771">
        <f>'Rep Schedule - Advanced'!K106</f>
        <v>0</v>
      </c>
      <c r="G115" s="770">
        <f>'Rep Schedule - Advanced'!N106</f>
        <v>0</v>
      </c>
      <c r="H115" s="772">
        <f>'Rep Schedule - Advanced'!R106</f>
        <v>0</v>
      </c>
      <c r="I115" s="773">
        <f>'Rep Schedule - Advanced'!U106</f>
        <v>0</v>
      </c>
      <c r="J115" s="774">
        <f>'Rep Schedule - Advanced'!X106</f>
        <v>0</v>
      </c>
      <c r="K115" s="774">
        <f>'Rep Schedule - Advanced'!Y106</f>
        <v>0</v>
      </c>
      <c r="L115" s="774">
        <f>'Rep Schedule - Advanced'!Z106</f>
        <v>0</v>
      </c>
      <c r="M115" s="775">
        <f>'Rep Schedule - Advanced'!AB106</f>
        <v>0</v>
      </c>
      <c r="N115" s="701">
        <f t="shared" si="9"/>
        <v>0</v>
      </c>
      <c r="O115" s="789" t="str">
        <f t="shared" si="10"/>
        <v>Annuity 100</v>
      </c>
      <c r="R115" s="607">
        <f t="shared" si="12"/>
        <v>0</v>
      </c>
      <c r="T115" s="622">
        <f t="shared" si="7"/>
        <v>0</v>
      </c>
      <c r="U115" s="623">
        <f t="shared" si="8"/>
        <v>0</v>
      </c>
      <c r="X115" s="715" t="b">
        <f>'Rep Schedule - Advanced'!AN106</f>
        <v>1</v>
      </c>
    </row>
    <row r="116" spans="1:24" ht="15" hidden="1">
      <c r="A116" s="624">
        <f t="shared" si="11"/>
        <v>101</v>
      </c>
      <c r="B116" s="621">
        <f>'Rep Schedule - Advanced'!E107</f>
        <v>43418</v>
      </c>
      <c r="C116" s="769">
        <f>'Rep Schedule - Advanced'!G107</f>
        <v>0</v>
      </c>
      <c r="D116" s="770">
        <f>'Rep Schedule - Advanced'!H107</f>
        <v>0</v>
      </c>
      <c r="E116" s="644">
        <f>'Rep Schedule - Advanced'!J107</f>
        <v>0</v>
      </c>
      <c r="F116" s="771">
        <f>'Rep Schedule - Advanced'!K107</f>
        <v>0</v>
      </c>
      <c r="G116" s="770">
        <f>'Rep Schedule - Advanced'!N107</f>
        <v>0</v>
      </c>
      <c r="H116" s="772">
        <f>'Rep Schedule - Advanced'!R107</f>
        <v>0</v>
      </c>
      <c r="I116" s="773">
        <f>'Rep Schedule - Advanced'!U107</f>
        <v>0</v>
      </c>
      <c r="J116" s="774">
        <f>'Rep Schedule - Advanced'!X107</f>
        <v>0</v>
      </c>
      <c r="K116" s="774">
        <f>'Rep Schedule - Advanced'!Y107</f>
        <v>0</v>
      </c>
      <c r="L116" s="774">
        <f>'Rep Schedule - Advanced'!Z107</f>
        <v>0</v>
      </c>
      <c r="M116" s="775">
        <f>'Rep Schedule - Advanced'!AB107</f>
        <v>0</v>
      </c>
      <c r="N116" s="701">
        <f t="shared" si="9"/>
        <v>0</v>
      </c>
      <c r="O116" s="789" t="str">
        <f t="shared" si="10"/>
        <v>Annuity 101</v>
      </c>
      <c r="R116" s="607">
        <f t="shared" si="12"/>
        <v>0</v>
      </c>
      <c r="T116" s="622">
        <f t="shared" si="7"/>
        <v>0</v>
      </c>
      <c r="U116" s="623">
        <f t="shared" si="8"/>
        <v>0</v>
      </c>
      <c r="X116" s="715" t="b">
        <f>'Rep Schedule - Advanced'!AN107</f>
        <v>1</v>
      </c>
    </row>
    <row r="117" spans="1:24" ht="15" hidden="1">
      <c r="A117" s="624">
        <f t="shared" si="11"/>
        <v>102</v>
      </c>
      <c r="B117" s="621">
        <f>'Rep Schedule - Advanced'!E108</f>
        <v>43448</v>
      </c>
      <c r="C117" s="769">
        <f>'Rep Schedule - Advanced'!G108</f>
        <v>0</v>
      </c>
      <c r="D117" s="770">
        <f>'Rep Schedule - Advanced'!H108</f>
        <v>0</v>
      </c>
      <c r="E117" s="644">
        <f>'Rep Schedule - Advanced'!J108</f>
        <v>0</v>
      </c>
      <c r="F117" s="771">
        <f>'Rep Schedule - Advanced'!K108</f>
        <v>0</v>
      </c>
      <c r="G117" s="770">
        <f>'Rep Schedule - Advanced'!N108</f>
        <v>0</v>
      </c>
      <c r="H117" s="772">
        <f>'Rep Schedule - Advanced'!R108</f>
        <v>0</v>
      </c>
      <c r="I117" s="773">
        <f>'Rep Schedule - Advanced'!U108</f>
        <v>0</v>
      </c>
      <c r="J117" s="774">
        <f>'Rep Schedule - Advanced'!X108</f>
        <v>0</v>
      </c>
      <c r="K117" s="774">
        <f>'Rep Schedule - Advanced'!Y108</f>
        <v>0</v>
      </c>
      <c r="L117" s="774">
        <f>'Rep Schedule - Advanced'!Z108</f>
        <v>0</v>
      </c>
      <c r="M117" s="775">
        <f>'Rep Schedule - Advanced'!AB108</f>
        <v>0</v>
      </c>
      <c r="N117" s="701">
        <f t="shared" si="9"/>
        <v>0</v>
      </c>
      <c r="O117" s="789" t="str">
        <f t="shared" si="10"/>
        <v>Annuity 102</v>
      </c>
      <c r="R117" s="607">
        <f t="shared" si="12"/>
        <v>0</v>
      </c>
      <c r="T117" s="622">
        <f t="shared" si="7"/>
        <v>0</v>
      </c>
      <c r="U117" s="623">
        <f t="shared" si="8"/>
        <v>0</v>
      </c>
      <c r="X117" s="715" t="b">
        <f>'Rep Schedule - Advanced'!AN108</f>
        <v>1</v>
      </c>
    </row>
    <row r="118" spans="1:24" ht="15" hidden="1">
      <c r="A118" s="624">
        <f t="shared" si="11"/>
        <v>103</v>
      </c>
      <c r="B118" s="621">
        <f>'Rep Schedule - Advanced'!E109</f>
        <v>43479</v>
      </c>
      <c r="C118" s="769">
        <f>'Rep Schedule - Advanced'!G109</f>
        <v>0</v>
      </c>
      <c r="D118" s="770">
        <f>'Rep Schedule - Advanced'!H109</f>
        <v>0</v>
      </c>
      <c r="E118" s="644">
        <f>'Rep Schedule - Advanced'!J109</f>
        <v>0</v>
      </c>
      <c r="F118" s="771">
        <f>'Rep Schedule - Advanced'!K109</f>
        <v>0</v>
      </c>
      <c r="G118" s="770">
        <f>'Rep Schedule - Advanced'!N109</f>
        <v>0</v>
      </c>
      <c r="H118" s="772">
        <f>'Rep Schedule - Advanced'!R109</f>
        <v>0</v>
      </c>
      <c r="I118" s="773">
        <f>'Rep Schedule - Advanced'!U109</f>
        <v>0</v>
      </c>
      <c r="J118" s="774">
        <f>'Rep Schedule - Advanced'!X109</f>
        <v>0</v>
      </c>
      <c r="K118" s="774">
        <f>'Rep Schedule - Advanced'!Y109</f>
        <v>0</v>
      </c>
      <c r="L118" s="774">
        <f>'Rep Schedule - Advanced'!Z109</f>
        <v>0</v>
      </c>
      <c r="M118" s="775">
        <f>'Rep Schedule - Advanced'!AB109</f>
        <v>0</v>
      </c>
      <c r="N118" s="701">
        <f t="shared" si="9"/>
        <v>0</v>
      </c>
      <c r="O118" s="789" t="str">
        <f t="shared" si="10"/>
        <v>Annuity 103</v>
      </c>
      <c r="R118" s="607">
        <f t="shared" si="12"/>
        <v>0</v>
      </c>
      <c r="T118" s="622">
        <f t="shared" si="7"/>
        <v>0</v>
      </c>
      <c r="U118" s="623">
        <f t="shared" si="8"/>
        <v>0</v>
      </c>
      <c r="X118" s="715" t="b">
        <f>'Rep Schedule - Advanced'!AN109</f>
        <v>1</v>
      </c>
    </row>
    <row r="119" spans="1:24" ht="15" hidden="1">
      <c r="A119" s="624">
        <f t="shared" si="11"/>
        <v>104</v>
      </c>
      <c r="B119" s="621">
        <f>'Rep Schedule - Advanced'!E110</f>
        <v>43510</v>
      </c>
      <c r="C119" s="769">
        <f>'Rep Schedule - Advanced'!G110</f>
        <v>0</v>
      </c>
      <c r="D119" s="770">
        <f>'Rep Schedule - Advanced'!H110</f>
        <v>0</v>
      </c>
      <c r="E119" s="644">
        <f>'Rep Schedule - Advanced'!J110</f>
        <v>0</v>
      </c>
      <c r="F119" s="771">
        <f>'Rep Schedule - Advanced'!K110</f>
        <v>0</v>
      </c>
      <c r="G119" s="770">
        <f>'Rep Schedule - Advanced'!N110</f>
        <v>0</v>
      </c>
      <c r="H119" s="772">
        <f>'Rep Schedule - Advanced'!R110</f>
        <v>0</v>
      </c>
      <c r="I119" s="773">
        <f>'Rep Schedule - Advanced'!U110</f>
        <v>0</v>
      </c>
      <c r="J119" s="774">
        <f>'Rep Schedule - Advanced'!X110</f>
        <v>0</v>
      </c>
      <c r="K119" s="774">
        <f>'Rep Schedule - Advanced'!Y110</f>
        <v>0</v>
      </c>
      <c r="L119" s="774">
        <f>'Rep Schedule - Advanced'!Z110</f>
        <v>0</v>
      </c>
      <c r="M119" s="775">
        <f>'Rep Schedule - Advanced'!AB110</f>
        <v>0</v>
      </c>
      <c r="N119" s="701">
        <f t="shared" si="9"/>
        <v>0</v>
      </c>
      <c r="O119" s="789" t="str">
        <f t="shared" si="10"/>
        <v>Annuity 104</v>
      </c>
      <c r="R119" s="607">
        <f t="shared" si="12"/>
        <v>0</v>
      </c>
      <c r="T119" s="622">
        <f t="shared" si="7"/>
        <v>0</v>
      </c>
      <c r="U119" s="623">
        <f t="shared" si="8"/>
        <v>0</v>
      </c>
      <c r="X119" s="715" t="b">
        <f>'Rep Schedule - Advanced'!AN110</f>
        <v>1</v>
      </c>
    </row>
    <row r="120" spans="1:24" ht="15" hidden="1">
      <c r="A120" s="624">
        <f t="shared" si="11"/>
        <v>105</v>
      </c>
      <c r="B120" s="621">
        <f>'Rep Schedule - Advanced'!E111</f>
        <v>43538</v>
      </c>
      <c r="C120" s="769">
        <f>'Rep Schedule - Advanced'!G111</f>
        <v>0</v>
      </c>
      <c r="D120" s="770">
        <f>'Rep Schedule - Advanced'!H111</f>
        <v>0</v>
      </c>
      <c r="E120" s="644">
        <f>'Rep Schedule - Advanced'!J111</f>
        <v>0</v>
      </c>
      <c r="F120" s="771">
        <f>'Rep Schedule - Advanced'!K111</f>
        <v>0</v>
      </c>
      <c r="G120" s="770">
        <f>'Rep Schedule - Advanced'!N111</f>
        <v>0</v>
      </c>
      <c r="H120" s="772">
        <f>'Rep Schedule - Advanced'!R111</f>
        <v>0</v>
      </c>
      <c r="I120" s="773">
        <f>'Rep Schedule - Advanced'!U111</f>
        <v>0</v>
      </c>
      <c r="J120" s="774">
        <f>'Rep Schedule - Advanced'!X111</f>
        <v>0</v>
      </c>
      <c r="K120" s="774">
        <f>'Rep Schedule - Advanced'!Y111</f>
        <v>0</v>
      </c>
      <c r="L120" s="774">
        <f>'Rep Schedule - Advanced'!Z111</f>
        <v>0</v>
      </c>
      <c r="M120" s="775">
        <f>'Rep Schedule - Advanced'!AB111</f>
        <v>0</v>
      </c>
      <c r="N120" s="701">
        <f t="shared" si="9"/>
        <v>0</v>
      </c>
      <c r="O120" s="789" t="str">
        <f t="shared" si="10"/>
        <v>Annuity 105</v>
      </c>
      <c r="R120" s="607">
        <f t="shared" si="12"/>
        <v>0</v>
      </c>
      <c r="T120" s="622">
        <f t="shared" si="7"/>
        <v>0</v>
      </c>
      <c r="U120" s="623">
        <f t="shared" si="8"/>
        <v>0</v>
      </c>
      <c r="X120" s="715" t="b">
        <f>'Rep Schedule - Advanced'!AN111</f>
        <v>1</v>
      </c>
    </row>
    <row r="121" spans="1:24" ht="15" hidden="1">
      <c r="A121" s="624">
        <f t="shared" si="11"/>
        <v>106</v>
      </c>
      <c r="B121" s="621">
        <f>'Rep Schedule - Advanced'!E112</f>
        <v>43569</v>
      </c>
      <c r="C121" s="769">
        <f>'Rep Schedule - Advanced'!G112</f>
        <v>0</v>
      </c>
      <c r="D121" s="770">
        <f>'Rep Schedule - Advanced'!H112</f>
        <v>0</v>
      </c>
      <c r="E121" s="644">
        <f>'Rep Schedule - Advanced'!J112</f>
        <v>0</v>
      </c>
      <c r="F121" s="771">
        <f>'Rep Schedule - Advanced'!K112</f>
        <v>0</v>
      </c>
      <c r="G121" s="770">
        <f>'Rep Schedule - Advanced'!N112</f>
        <v>0</v>
      </c>
      <c r="H121" s="772">
        <f>'Rep Schedule - Advanced'!R112</f>
        <v>0</v>
      </c>
      <c r="I121" s="773">
        <f>'Rep Schedule - Advanced'!U112</f>
        <v>0</v>
      </c>
      <c r="J121" s="774">
        <f>'Rep Schedule - Advanced'!X112</f>
        <v>0</v>
      </c>
      <c r="K121" s="774">
        <f>'Rep Schedule - Advanced'!Y112</f>
        <v>0</v>
      </c>
      <c r="L121" s="774">
        <f>'Rep Schedule - Advanced'!Z112</f>
        <v>0</v>
      </c>
      <c r="M121" s="775">
        <f>'Rep Schedule - Advanced'!AB112</f>
        <v>0</v>
      </c>
      <c r="N121" s="701">
        <f t="shared" si="9"/>
        <v>0</v>
      </c>
      <c r="O121" s="789" t="str">
        <f t="shared" si="10"/>
        <v>Annuity 106</v>
      </c>
      <c r="R121" s="607">
        <f t="shared" si="12"/>
        <v>0</v>
      </c>
      <c r="T121" s="622">
        <f t="shared" si="7"/>
        <v>0</v>
      </c>
      <c r="U121" s="623">
        <f t="shared" si="8"/>
        <v>0</v>
      </c>
      <c r="X121" s="715" t="b">
        <f>'Rep Schedule - Advanced'!AN112</f>
        <v>1</v>
      </c>
    </row>
    <row r="122" spans="1:24" ht="15" hidden="1">
      <c r="A122" s="624">
        <f t="shared" si="11"/>
        <v>107</v>
      </c>
      <c r="B122" s="621">
        <f>'Rep Schedule - Advanced'!E113</f>
        <v>43599</v>
      </c>
      <c r="C122" s="769">
        <f>'Rep Schedule - Advanced'!G113</f>
        <v>0</v>
      </c>
      <c r="D122" s="770">
        <f>'Rep Schedule - Advanced'!H113</f>
        <v>0</v>
      </c>
      <c r="E122" s="644">
        <f>'Rep Schedule - Advanced'!J113</f>
        <v>0</v>
      </c>
      <c r="F122" s="771">
        <f>'Rep Schedule - Advanced'!K113</f>
        <v>0</v>
      </c>
      <c r="G122" s="770">
        <f>'Rep Schedule - Advanced'!N113</f>
        <v>0</v>
      </c>
      <c r="H122" s="772">
        <f>'Rep Schedule - Advanced'!R113</f>
        <v>0</v>
      </c>
      <c r="I122" s="773">
        <f>'Rep Schedule - Advanced'!U113</f>
        <v>0</v>
      </c>
      <c r="J122" s="774">
        <f>'Rep Schedule - Advanced'!X113</f>
        <v>0</v>
      </c>
      <c r="K122" s="774">
        <f>'Rep Schedule - Advanced'!Y113</f>
        <v>0</v>
      </c>
      <c r="L122" s="774">
        <f>'Rep Schedule - Advanced'!Z113</f>
        <v>0</v>
      </c>
      <c r="M122" s="775">
        <f>'Rep Schedule - Advanced'!AB113</f>
        <v>0</v>
      </c>
      <c r="N122" s="701">
        <f t="shared" si="9"/>
        <v>0</v>
      </c>
      <c r="O122" s="789" t="str">
        <f t="shared" si="10"/>
        <v>Annuity 107</v>
      </c>
      <c r="R122" s="607">
        <f t="shared" si="12"/>
        <v>0</v>
      </c>
      <c r="T122" s="622">
        <f t="shared" si="7"/>
        <v>0</v>
      </c>
      <c r="U122" s="623">
        <f t="shared" si="8"/>
        <v>0</v>
      </c>
      <c r="X122" s="715" t="b">
        <f>'Rep Schedule - Advanced'!AN113</f>
        <v>1</v>
      </c>
    </row>
    <row r="123" spans="1:24" ht="15" hidden="1">
      <c r="A123" s="624">
        <f t="shared" si="11"/>
        <v>108</v>
      </c>
      <c r="B123" s="621">
        <f>'Rep Schedule - Advanced'!E114</f>
        <v>43630</v>
      </c>
      <c r="C123" s="769">
        <f>'Rep Schedule - Advanced'!G114</f>
        <v>0</v>
      </c>
      <c r="D123" s="770">
        <f>'Rep Schedule - Advanced'!H114</f>
        <v>0</v>
      </c>
      <c r="E123" s="644">
        <f>'Rep Schedule - Advanced'!J114</f>
        <v>0</v>
      </c>
      <c r="F123" s="771">
        <f>'Rep Schedule - Advanced'!K114</f>
        <v>0</v>
      </c>
      <c r="G123" s="770">
        <f>'Rep Schedule - Advanced'!N114</f>
        <v>0</v>
      </c>
      <c r="H123" s="772">
        <f>'Rep Schedule - Advanced'!R114</f>
        <v>0</v>
      </c>
      <c r="I123" s="773">
        <f>'Rep Schedule - Advanced'!U114</f>
        <v>0</v>
      </c>
      <c r="J123" s="774">
        <f>'Rep Schedule - Advanced'!X114</f>
        <v>0</v>
      </c>
      <c r="K123" s="774">
        <f>'Rep Schedule - Advanced'!Y114</f>
        <v>0</v>
      </c>
      <c r="L123" s="774">
        <f>'Rep Schedule - Advanced'!Z114</f>
        <v>0</v>
      </c>
      <c r="M123" s="775">
        <f>'Rep Schedule - Advanced'!AB114</f>
        <v>0</v>
      </c>
      <c r="N123" s="701">
        <f t="shared" si="9"/>
        <v>0</v>
      </c>
      <c r="O123" s="789" t="str">
        <f t="shared" si="10"/>
        <v>Annuity 108</v>
      </c>
      <c r="R123" s="607">
        <f t="shared" si="12"/>
        <v>0</v>
      </c>
      <c r="T123" s="622">
        <f t="shared" si="7"/>
        <v>0</v>
      </c>
      <c r="U123" s="623">
        <f t="shared" si="8"/>
        <v>0</v>
      </c>
      <c r="X123" s="715" t="b">
        <f>'Rep Schedule - Advanced'!AN114</f>
        <v>1</v>
      </c>
    </row>
    <row r="124" spans="1:24" ht="15" hidden="1">
      <c r="A124" s="624">
        <f t="shared" si="11"/>
        <v>109</v>
      </c>
      <c r="B124" s="621">
        <f>'Rep Schedule - Advanced'!E115</f>
        <v>43660</v>
      </c>
      <c r="C124" s="769">
        <f>'Rep Schedule - Advanced'!G115</f>
        <v>0</v>
      </c>
      <c r="D124" s="770">
        <f>'Rep Schedule - Advanced'!H115</f>
        <v>0</v>
      </c>
      <c r="E124" s="644">
        <f>'Rep Schedule - Advanced'!J115</f>
        <v>0</v>
      </c>
      <c r="F124" s="771">
        <f>'Rep Schedule - Advanced'!K115</f>
        <v>0</v>
      </c>
      <c r="G124" s="770">
        <f>'Rep Schedule - Advanced'!N115</f>
        <v>0</v>
      </c>
      <c r="H124" s="772">
        <f>'Rep Schedule - Advanced'!R115</f>
        <v>0</v>
      </c>
      <c r="I124" s="773">
        <f>'Rep Schedule - Advanced'!U115</f>
        <v>0</v>
      </c>
      <c r="J124" s="774">
        <f>'Rep Schedule - Advanced'!X115</f>
        <v>0</v>
      </c>
      <c r="K124" s="774">
        <f>'Rep Schedule - Advanced'!Y115</f>
        <v>0</v>
      </c>
      <c r="L124" s="774">
        <f>'Rep Schedule - Advanced'!Z115</f>
        <v>0</v>
      </c>
      <c r="M124" s="775">
        <f>'Rep Schedule - Advanced'!AB115</f>
        <v>0</v>
      </c>
      <c r="N124" s="701">
        <f t="shared" si="9"/>
        <v>0</v>
      </c>
      <c r="O124" s="789" t="str">
        <f t="shared" si="10"/>
        <v>Annuity 109</v>
      </c>
      <c r="R124" s="607">
        <f t="shared" si="12"/>
        <v>0</v>
      </c>
      <c r="T124" s="622">
        <f t="shared" si="7"/>
        <v>0</v>
      </c>
      <c r="U124" s="623">
        <f t="shared" si="8"/>
        <v>0</v>
      </c>
      <c r="X124" s="715" t="b">
        <f>'Rep Schedule - Advanced'!AN115</f>
        <v>1</v>
      </c>
    </row>
    <row r="125" spans="1:24" ht="15" hidden="1">
      <c r="A125" s="624">
        <f t="shared" si="11"/>
        <v>110</v>
      </c>
      <c r="B125" s="621">
        <f>'Rep Schedule - Advanced'!E116</f>
        <v>43691</v>
      </c>
      <c r="C125" s="769">
        <f>'Rep Schedule - Advanced'!G116</f>
        <v>0</v>
      </c>
      <c r="D125" s="770">
        <f>'Rep Schedule - Advanced'!H116</f>
        <v>0</v>
      </c>
      <c r="E125" s="644">
        <f>'Rep Schedule - Advanced'!J116</f>
        <v>0</v>
      </c>
      <c r="F125" s="771">
        <f>'Rep Schedule - Advanced'!K116</f>
        <v>0</v>
      </c>
      <c r="G125" s="770">
        <f>'Rep Schedule - Advanced'!N116</f>
        <v>0</v>
      </c>
      <c r="H125" s="772">
        <f>'Rep Schedule - Advanced'!R116</f>
        <v>0</v>
      </c>
      <c r="I125" s="773">
        <f>'Rep Schedule - Advanced'!U116</f>
        <v>0</v>
      </c>
      <c r="J125" s="774">
        <f>'Rep Schedule - Advanced'!X116</f>
        <v>0</v>
      </c>
      <c r="K125" s="774">
        <f>'Rep Schedule - Advanced'!Y116</f>
        <v>0</v>
      </c>
      <c r="L125" s="774">
        <f>'Rep Schedule - Advanced'!Z116</f>
        <v>0</v>
      </c>
      <c r="M125" s="775">
        <f>'Rep Schedule - Advanced'!AB116</f>
        <v>0</v>
      </c>
      <c r="N125" s="701">
        <f t="shared" si="9"/>
        <v>0</v>
      </c>
      <c r="O125" s="789" t="str">
        <f t="shared" si="10"/>
        <v>Annuity 110</v>
      </c>
      <c r="R125" s="607">
        <f t="shared" si="12"/>
        <v>0</v>
      </c>
      <c r="T125" s="622">
        <f t="shared" si="7"/>
        <v>0</v>
      </c>
      <c r="U125" s="623">
        <f t="shared" si="8"/>
        <v>0</v>
      </c>
      <c r="X125" s="715" t="b">
        <f>'Rep Schedule - Advanced'!AN116</f>
        <v>1</v>
      </c>
    </row>
    <row r="126" spans="1:24" ht="15" hidden="1">
      <c r="A126" s="624">
        <f t="shared" si="11"/>
        <v>111</v>
      </c>
      <c r="B126" s="621">
        <f>'Rep Schedule - Advanced'!E117</f>
        <v>43722</v>
      </c>
      <c r="C126" s="769">
        <f>'Rep Schedule - Advanced'!G117</f>
        <v>0</v>
      </c>
      <c r="D126" s="770">
        <f>'Rep Schedule - Advanced'!H117</f>
        <v>0</v>
      </c>
      <c r="E126" s="644">
        <f>'Rep Schedule - Advanced'!J117</f>
        <v>0</v>
      </c>
      <c r="F126" s="771">
        <f>'Rep Schedule - Advanced'!K117</f>
        <v>0</v>
      </c>
      <c r="G126" s="770">
        <f>'Rep Schedule - Advanced'!N117</f>
        <v>0</v>
      </c>
      <c r="H126" s="772">
        <f>'Rep Schedule - Advanced'!R117</f>
        <v>0</v>
      </c>
      <c r="I126" s="773">
        <f>'Rep Schedule - Advanced'!U117</f>
        <v>0</v>
      </c>
      <c r="J126" s="774">
        <f>'Rep Schedule - Advanced'!X117</f>
        <v>0</v>
      </c>
      <c r="K126" s="774">
        <f>'Rep Schedule - Advanced'!Y117</f>
        <v>0</v>
      </c>
      <c r="L126" s="774">
        <f>'Rep Schedule - Advanced'!Z117</f>
        <v>0</v>
      </c>
      <c r="M126" s="775">
        <f>'Rep Schedule - Advanced'!AB117</f>
        <v>0</v>
      </c>
      <c r="N126" s="701">
        <f t="shared" si="9"/>
        <v>0</v>
      </c>
      <c r="O126" s="789" t="str">
        <f t="shared" si="10"/>
        <v>Annuity 111</v>
      </c>
      <c r="R126" s="607">
        <f t="shared" si="12"/>
        <v>0</v>
      </c>
      <c r="T126" s="622">
        <f t="shared" si="7"/>
        <v>0</v>
      </c>
      <c r="U126" s="623">
        <f t="shared" si="8"/>
        <v>0</v>
      </c>
      <c r="X126" s="715" t="b">
        <f>'Rep Schedule - Advanced'!AN117</f>
        <v>1</v>
      </c>
    </row>
    <row r="127" spans="1:24" ht="15" hidden="1">
      <c r="A127" s="624">
        <f t="shared" si="11"/>
        <v>112</v>
      </c>
      <c r="B127" s="621">
        <f>'Rep Schedule - Advanced'!E118</f>
        <v>43752</v>
      </c>
      <c r="C127" s="769">
        <f>'Rep Schedule - Advanced'!G118</f>
        <v>0</v>
      </c>
      <c r="D127" s="770">
        <f>'Rep Schedule - Advanced'!H118</f>
        <v>0</v>
      </c>
      <c r="E127" s="644">
        <f>'Rep Schedule - Advanced'!J118</f>
        <v>0</v>
      </c>
      <c r="F127" s="771">
        <f>'Rep Schedule - Advanced'!K118</f>
        <v>0</v>
      </c>
      <c r="G127" s="770">
        <f>'Rep Schedule - Advanced'!N118</f>
        <v>0</v>
      </c>
      <c r="H127" s="772">
        <f>'Rep Schedule - Advanced'!R118</f>
        <v>0</v>
      </c>
      <c r="I127" s="773">
        <f>'Rep Schedule - Advanced'!U118</f>
        <v>0</v>
      </c>
      <c r="J127" s="774">
        <f>'Rep Schedule - Advanced'!X118</f>
        <v>0</v>
      </c>
      <c r="K127" s="774">
        <f>'Rep Schedule - Advanced'!Y118</f>
        <v>0</v>
      </c>
      <c r="L127" s="774">
        <f>'Rep Schedule - Advanced'!Z118</f>
        <v>0</v>
      </c>
      <c r="M127" s="775">
        <f>'Rep Schedule - Advanced'!AB118</f>
        <v>0</v>
      </c>
      <c r="N127" s="701">
        <f t="shared" si="9"/>
        <v>0</v>
      </c>
      <c r="O127" s="789" t="str">
        <f t="shared" si="10"/>
        <v>Annuity 112</v>
      </c>
      <c r="R127" s="607">
        <f t="shared" si="12"/>
        <v>0</v>
      </c>
      <c r="T127" s="622">
        <f t="shared" si="7"/>
        <v>0</v>
      </c>
      <c r="U127" s="623">
        <f t="shared" si="8"/>
        <v>0</v>
      </c>
      <c r="X127" s="715" t="b">
        <f>'Rep Schedule - Advanced'!AN118</f>
        <v>1</v>
      </c>
    </row>
    <row r="128" spans="1:24" ht="15" hidden="1">
      <c r="A128" s="624">
        <f t="shared" si="11"/>
        <v>113</v>
      </c>
      <c r="B128" s="621">
        <f>'Rep Schedule - Advanced'!E119</f>
        <v>43783</v>
      </c>
      <c r="C128" s="769">
        <f>'Rep Schedule - Advanced'!G119</f>
        <v>0</v>
      </c>
      <c r="D128" s="770">
        <f>'Rep Schedule - Advanced'!H119</f>
        <v>0</v>
      </c>
      <c r="E128" s="644">
        <f>'Rep Schedule - Advanced'!J119</f>
        <v>0</v>
      </c>
      <c r="F128" s="771">
        <f>'Rep Schedule - Advanced'!K119</f>
        <v>0</v>
      </c>
      <c r="G128" s="770">
        <f>'Rep Schedule - Advanced'!N119</f>
        <v>0</v>
      </c>
      <c r="H128" s="772">
        <f>'Rep Schedule - Advanced'!R119</f>
        <v>0</v>
      </c>
      <c r="I128" s="773">
        <f>'Rep Schedule - Advanced'!U119</f>
        <v>0</v>
      </c>
      <c r="J128" s="774">
        <f>'Rep Schedule - Advanced'!X119</f>
        <v>0</v>
      </c>
      <c r="K128" s="774">
        <f>'Rep Schedule - Advanced'!Y119</f>
        <v>0</v>
      </c>
      <c r="L128" s="774">
        <f>'Rep Schedule - Advanced'!Z119</f>
        <v>0</v>
      </c>
      <c r="M128" s="775">
        <f>'Rep Schedule - Advanced'!AB119</f>
        <v>0</v>
      </c>
      <c r="N128" s="701">
        <f t="shared" si="9"/>
        <v>0</v>
      </c>
      <c r="O128" s="789" t="str">
        <f t="shared" si="10"/>
        <v>Annuity 113</v>
      </c>
      <c r="R128" s="607">
        <f t="shared" si="12"/>
        <v>0</v>
      </c>
      <c r="T128" s="622">
        <f t="shared" si="7"/>
        <v>0</v>
      </c>
      <c r="U128" s="623">
        <f t="shared" si="8"/>
        <v>0</v>
      </c>
      <c r="X128" s="715" t="b">
        <f>'Rep Schedule - Advanced'!AN119</f>
        <v>1</v>
      </c>
    </row>
    <row r="129" spans="1:24" ht="15" hidden="1">
      <c r="A129" s="624">
        <f t="shared" si="11"/>
        <v>114</v>
      </c>
      <c r="B129" s="621">
        <f>'Rep Schedule - Advanced'!E120</f>
        <v>43813</v>
      </c>
      <c r="C129" s="769">
        <f>'Rep Schedule - Advanced'!G120</f>
        <v>0</v>
      </c>
      <c r="D129" s="770">
        <f>'Rep Schedule - Advanced'!H120</f>
        <v>0</v>
      </c>
      <c r="E129" s="644">
        <f>'Rep Schedule - Advanced'!J120</f>
        <v>0</v>
      </c>
      <c r="F129" s="771">
        <f>'Rep Schedule - Advanced'!K120</f>
        <v>0</v>
      </c>
      <c r="G129" s="770">
        <f>'Rep Schedule - Advanced'!N120</f>
        <v>0</v>
      </c>
      <c r="H129" s="772">
        <f>'Rep Schedule - Advanced'!R120</f>
        <v>0</v>
      </c>
      <c r="I129" s="773">
        <f>'Rep Schedule - Advanced'!U120</f>
        <v>0</v>
      </c>
      <c r="J129" s="774">
        <f>'Rep Schedule - Advanced'!X120</f>
        <v>0</v>
      </c>
      <c r="K129" s="774">
        <f>'Rep Schedule - Advanced'!Y120</f>
        <v>0</v>
      </c>
      <c r="L129" s="774">
        <f>'Rep Schedule - Advanced'!Z120</f>
        <v>0</v>
      </c>
      <c r="M129" s="775">
        <f>'Rep Schedule - Advanced'!AB120</f>
        <v>0</v>
      </c>
      <c r="N129" s="701">
        <f t="shared" si="9"/>
        <v>0</v>
      </c>
      <c r="O129" s="789" t="str">
        <f t="shared" si="10"/>
        <v>Annuity 114</v>
      </c>
      <c r="R129" s="607">
        <f t="shared" si="12"/>
        <v>0</v>
      </c>
      <c r="T129" s="622">
        <f t="shared" si="7"/>
        <v>0</v>
      </c>
      <c r="U129" s="623">
        <f t="shared" si="8"/>
        <v>0</v>
      </c>
      <c r="X129" s="715" t="b">
        <f>'Rep Schedule - Advanced'!AN120</f>
        <v>1</v>
      </c>
    </row>
    <row r="130" spans="1:24" ht="15" hidden="1">
      <c r="A130" s="624">
        <f t="shared" si="11"/>
        <v>115</v>
      </c>
      <c r="B130" s="621">
        <f>'Rep Schedule - Advanced'!E121</f>
        <v>43844</v>
      </c>
      <c r="C130" s="769">
        <f>'Rep Schedule - Advanced'!G121</f>
        <v>0</v>
      </c>
      <c r="D130" s="770">
        <f>'Rep Schedule - Advanced'!H121</f>
        <v>0</v>
      </c>
      <c r="E130" s="644">
        <f>'Rep Schedule - Advanced'!J121</f>
        <v>0</v>
      </c>
      <c r="F130" s="771">
        <f>'Rep Schedule - Advanced'!K121</f>
        <v>0</v>
      </c>
      <c r="G130" s="770">
        <f>'Rep Schedule - Advanced'!N121</f>
        <v>0</v>
      </c>
      <c r="H130" s="772">
        <f>'Rep Schedule - Advanced'!R121</f>
        <v>0</v>
      </c>
      <c r="I130" s="773">
        <f>'Rep Schedule - Advanced'!U121</f>
        <v>0</v>
      </c>
      <c r="J130" s="774">
        <f>'Rep Schedule - Advanced'!X121</f>
        <v>0</v>
      </c>
      <c r="K130" s="774">
        <f>'Rep Schedule - Advanced'!Y121</f>
        <v>0</v>
      </c>
      <c r="L130" s="774">
        <f>'Rep Schedule - Advanced'!Z121</f>
        <v>0</v>
      </c>
      <c r="M130" s="775">
        <f>'Rep Schedule - Advanced'!AB121</f>
        <v>0</v>
      </c>
      <c r="N130" s="701">
        <f t="shared" si="9"/>
        <v>0</v>
      </c>
      <c r="O130" s="789" t="str">
        <f t="shared" si="10"/>
        <v>Annuity 115</v>
      </c>
      <c r="R130" s="607">
        <f t="shared" si="12"/>
        <v>0</v>
      </c>
      <c r="T130" s="622">
        <f t="shared" si="7"/>
        <v>0</v>
      </c>
      <c r="U130" s="623">
        <f t="shared" si="8"/>
        <v>0</v>
      </c>
      <c r="X130" s="715" t="b">
        <f>'Rep Schedule - Advanced'!AN121</f>
        <v>1</v>
      </c>
    </row>
    <row r="131" spans="1:24" ht="15" hidden="1">
      <c r="A131" s="624">
        <f t="shared" si="11"/>
        <v>116</v>
      </c>
      <c r="B131" s="621">
        <f>'Rep Schedule - Advanced'!E122</f>
        <v>43875</v>
      </c>
      <c r="C131" s="769">
        <f>'Rep Schedule - Advanced'!G122</f>
        <v>0</v>
      </c>
      <c r="D131" s="770">
        <f>'Rep Schedule - Advanced'!H122</f>
        <v>0</v>
      </c>
      <c r="E131" s="644">
        <f>'Rep Schedule - Advanced'!J122</f>
        <v>0</v>
      </c>
      <c r="F131" s="771">
        <f>'Rep Schedule - Advanced'!K122</f>
        <v>0</v>
      </c>
      <c r="G131" s="770">
        <f>'Rep Schedule - Advanced'!N122</f>
        <v>0</v>
      </c>
      <c r="H131" s="772">
        <f>'Rep Schedule - Advanced'!R122</f>
        <v>0</v>
      </c>
      <c r="I131" s="773">
        <f>'Rep Schedule - Advanced'!U122</f>
        <v>0</v>
      </c>
      <c r="J131" s="774">
        <f>'Rep Schedule - Advanced'!X122</f>
        <v>0</v>
      </c>
      <c r="K131" s="774">
        <f>'Rep Schedule - Advanced'!Y122</f>
        <v>0</v>
      </c>
      <c r="L131" s="774">
        <f>'Rep Schedule - Advanced'!Z122</f>
        <v>0</v>
      </c>
      <c r="M131" s="775">
        <f>'Rep Schedule - Advanced'!AB122</f>
        <v>0</v>
      </c>
      <c r="N131" s="701">
        <f t="shared" si="9"/>
        <v>0</v>
      </c>
      <c r="O131" s="789" t="str">
        <f t="shared" si="10"/>
        <v>Annuity 116</v>
      </c>
      <c r="R131" s="607">
        <f t="shared" si="12"/>
        <v>0</v>
      </c>
      <c r="T131" s="622">
        <f t="shared" si="7"/>
        <v>0</v>
      </c>
      <c r="U131" s="623">
        <f t="shared" si="8"/>
        <v>0</v>
      </c>
      <c r="X131" s="715" t="b">
        <f>'Rep Schedule - Advanced'!AN122</f>
        <v>1</v>
      </c>
    </row>
    <row r="132" spans="1:24" ht="15" hidden="1">
      <c r="A132" s="624">
        <f t="shared" si="11"/>
        <v>117</v>
      </c>
      <c r="B132" s="621">
        <f>'Rep Schedule - Advanced'!E123</f>
        <v>43904</v>
      </c>
      <c r="C132" s="769">
        <f>'Rep Schedule - Advanced'!G123</f>
        <v>0</v>
      </c>
      <c r="D132" s="770">
        <f>'Rep Schedule - Advanced'!H123</f>
        <v>0</v>
      </c>
      <c r="E132" s="644">
        <f>'Rep Schedule - Advanced'!J123</f>
        <v>0</v>
      </c>
      <c r="F132" s="771">
        <f>'Rep Schedule - Advanced'!K123</f>
        <v>0</v>
      </c>
      <c r="G132" s="770">
        <f>'Rep Schedule - Advanced'!N123</f>
        <v>0</v>
      </c>
      <c r="H132" s="772">
        <f>'Rep Schedule - Advanced'!R123</f>
        <v>0</v>
      </c>
      <c r="I132" s="773">
        <f>'Rep Schedule - Advanced'!U123</f>
        <v>0</v>
      </c>
      <c r="J132" s="774">
        <f>'Rep Schedule - Advanced'!X123</f>
        <v>0</v>
      </c>
      <c r="K132" s="774">
        <f>'Rep Schedule - Advanced'!Y123</f>
        <v>0</v>
      </c>
      <c r="L132" s="774">
        <f>'Rep Schedule - Advanced'!Z123</f>
        <v>0</v>
      </c>
      <c r="M132" s="775">
        <f>'Rep Schedule - Advanced'!AB123</f>
        <v>0</v>
      </c>
      <c r="N132" s="701">
        <f t="shared" si="9"/>
        <v>0</v>
      </c>
      <c r="O132" s="789" t="str">
        <f t="shared" si="10"/>
        <v>Annuity 117</v>
      </c>
      <c r="R132" s="607">
        <f t="shared" si="12"/>
        <v>0</v>
      </c>
      <c r="T132" s="622">
        <f t="shared" si="7"/>
        <v>0</v>
      </c>
      <c r="U132" s="623">
        <f t="shared" si="8"/>
        <v>0</v>
      </c>
      <c r="X132" s="715" t="b">
        <f>'Rep Schedule - Advanced'!AN123</f>
        <v>1</v>
      </c>
    </row>
    <row r="133" spans="1:24" ht="15" hidden="1">
      <c r="A133" s="624">
        <f t="shared" si="11"/>
        <v>118</v>
      </c>
      <c r="B133" s="621">
        <f>'Rep Schedule - Advanced'!E124</f>
        <v>43935</v>
      </c>
      <c r="C133" s="769">
        <f>'Rep Schedule - Advanced'!G124</f>
        <v>0</v>
      </c>
      <c r="D133" s="770">
        <f>'Rep Schedule - Advanced'!H124</f>
        <v>0</v>
      </c>
      <c r="E133" s="644">
        <f>'Rep Schedule - Advanced'!J124</f>
        <v>0</v>
      </c>
      <c r="F133" s="771">
        <f>'Rep Schedule - Advanced'!K124</f>
        <v>0</v>
      </c>
      <c r="G133" s="770">
        <f>'Rep Schedule - Advanced'!N124</f>
        <v>0</v>
      </c>
      <c r="H133" s="772">
        <f>'Rep Schedule - Advanced'!R124</f>
        <v>0</v>
      </c>
      <c r="I133" s="773">
        <f>'Rep Schedule - Advanced'!U124</f>
        <v>0</v>
      </c>
      <c r="J133" s="774">
        <f>'Rep Schedule - Advanced'!X124</f>
        <v>0</v>
      </c>
      <c r="K133" s="774">
        <f>'Rep Schedule - Advanced'!Y124</f>
        <v>0</v>
      </c>
      <c r="L133" s="774">
        <f>'Rep Schedule - Advanced'!Z124</f>
        <v>0</v>
      </c>
      <c r="M133" s="775">
        <f>'Rep Schedule - Advanced'!AB124</f>
        <v>0</v>
      </c>
      <c r="N133" s="701">
        <f t="shared" si="9"/>
        <v>0</v>
      </c>
      <c r="O133" s="789" t="str">
        <f t="shared" si="10"/>
        <v>Annuity 118</v>
      </c>
      <c r="R133" s="607">
        <f t="shared" si="12"/>
        <v>0</v>
      </c>
      <c r="T133" s="622">
        <f t="shared" si="7"/>
        <v>0</v>
      </c>
      <c r="U133" s="623">
        <f t="shared" si="8"/>
        <v>0</v>
      </c>
      <c r="X133" s="715" t="b">
        <f>'Rep Schedule - Advanced'!AN124</f>
        <v>1</v>
      </c>
    </row>
    <row r="134" spans="1:24" ht="15" hidden="1">
      <c r="A134" s="624">
        <f t="shared" si="11"/>
        <v>119</v>
      </c>
      <c r="B134" s="621">
        <f>'Rep Schedule - Advanced'!E125</f>
        <v>43965</v>
      </c>
      <c r="C134" s="769">
        <f>'Rep Schedule - Advanced'!G125</f>
        <v>0</v>
      </c>
      <c r="D134" s="770">
        <f>'Rep Schedule - Advanced'!H125</f>
        <v>0</v>
      </c>
      <c r="E134" s="644">
        <f>'Rep Schedule - Advanced'!J125</f>
        <v>0</v>
      </c>
      <c r="F134" s="771">
        <f>'Rep Schedule - Advanced'!K125</f>
        <v>0</v>
      </c>
      <c r="G134" s="770">
        <f>'Rep Schedule - Advanced'!N125</f>
        <v>0</v>
      </c>
      <c r="H134" s="772">
        <f>'Rep Schedule - Advanced'!R125</f>
        <v>0</v>
      </c>
      <c r="I134" s="773">
        <f>'Rep Schedule - Advanced'!U125</f>
        <v>0</v>
      </c>
      <c r="J134" s="774">
        <f>'Rep Schedule - Advanced'!X125</f>
        <v>0</v>
      </c>
      <c r="K134" s="774">
        <f>'Rep Schedule - Advanced'!Y125</f>
        <v>0</v>
      </c>
      <c r="L134" s="774">
        <f>'Rep Schedule - Advanced'!Z125</f>
        <v>0</v>
      </c>
      <c r="M134" s="775">
        <f>'Rep Schedule - Advanced'!AB125</f>
        <v>0</v>
      </c>
      <c r="N134" s="701">
        <f t="shared" si="9"/>
        <v>0</v>
      </c>
      <c r="O134" s="789" t="str">
        <f t="shared" si="10"/>
        <v>Annuity 119</v>
      </c>
      <c r="R134" s="607">
        <f t="shared" si="12"/>
        <v>0</v>
      </c>
      <c r="T134" s="622">
        <f t="shared" si="7"/>
        <v>0</v>
      </c>
      <c r="U134" s="623">
        <f t="shared" si="8"/>
        <v>0</v>
      </c>
      <c r="X134" s="715" t="b">
        <f>'Rep Schedule - Advanced'!AN125</f>
        <v>1</v>
      </c>
    </row>
    <row r="135" spans="1:24" ht="15" hidden="1">
      <c r="A135" s="624">
        <f t="shared" si="11"/>
        <v>120</v>
      </c>
      <c r="B135" s="621">
        <f>'Rep Schedule - Advanced'!E126</f>
        <v>43996</v>
      </c>
      <c r="C135" s="769">
        <f>'Rep Schedule - Advanced'!G126</f>
        <v>0</v>
      </c>
      <c r="D135" s="770">
        <f>'Rep Schedule - Advanced'!H126</f>
        <v>0</v>
      </c>
      <c r="E135" s="644">
        <f>'Rep Schedule - Advanced'!J126</f>
        <v>0</v>
      </c>
      <c r="F135" s="771">
        <f>'Rep Schedule - Advanced'!K126</f>
        <v>0</v>
      </c>
      <c r="G135" s="770">
        <f>'Rep Schedule - Advanced'!N126</f>
        <v>0</v>
      </c>
      <c r="H135" s="772">
        <f>'Rep Schedule - Advanced'!R126</f>
        <v>0</v>
      </c>
      <c r="I135" s="773">
        <f>'Rep Schedule - Advanced'!U126</f>
        <v>0</v>
      </c>
      <c r="J135" s="774">
        <f>'Rep Schedule - Advanced'!X126</f>
        <v>0</v>
      </c>
      <c r="K135" s="774">
        <f>'Rep Schedule - Advanced'!Y126</f>
        <v>0</v>
      </c>
      <c r="L135" s="774">
        <f>'Rep Schedule - Advanced'!Z126</f>
        <v>0</v>
      </c>
      <c r="M135" s="775">
        <f>'Rep Schedule - Advanced'!AB126</f>
        <v>0</v>
      </c>
      <c r="N135" s="701">
        <f t="shared" si="9"/>
        <v>0</v>
      </c>
      <c r="O135" s="789" t="str">
        <f t="shared" si="10"/>
        <v>Annuity 120</v>
      </c>
      <c r="R135" s="607">
        <f t="shared" si="12"/>
        <v>0</v>
      </c>
      <c r="T135" s="622">
        <f t="shared" si="7"/>
        <v>0</v>
      </c>
      <c r="U135" s="623">
        <f t="shared" si="8"/>
        <v>0</v>
      </c>
      <c r="X135" s="715" t="b">
        <f>'Rep Schedule - Advanced'!AN126</f>
        <v>1</v>
      </c>
    </row>
    <row r="136" spans="1:24" ht="15" hidden="1">
      <c r="A136" s="624">
        <f t="shared" si="11"/>
        <v>121</v>
      </c>
      <c r="B136" s="621">
        <f>'Rep Schedule - Advanced'!E127</f>
        <v>44026</v>
      </c>
      <c r="C136" s="769">
        <f>'Rep Schedule - Advanced'!G127</f>
        <v>0</v>
      </c>
      <c r="D136" s="770">
        <f>'Rep Schedule - Advanced'!H127</f>
        <v>0</v>
      </c>
      <c r="E136" s="644">
        <f>'Rep Schedule - Advanced'!J127</f>
        <v>0</v>
      </c>
      <c r="F136" s="771">
        <f>'Rep Schedule - Advanced'!K127</f>
        <v>0</v>
      </c>
      <c r="G136" s="770">
        <f>'Rep Schedule - Advanced'!N127</f>
        <v>0</v>
      </c>
      <c r="H136" s="772">
        <f>'Rep Schedule - Advanced'!R127</f>
        <v>0</v>
      </c>
      <c r="I136" s="773">
        <f>'Rep Schedule - Advanced'!U127</f>
        <v>0</v>
      </c>
      <c r="J136" s="774">
        <f>'Rep Schedule - Advanced'!X127</f>
        <v>0</v>
      </c>
      <c r="K136" s="774">
        <f>'Rep Schedule - Advanced'!Y127</f>
        <v>0</v>
      </c>
      <c r="L136" s="774">
        <f>'Rep Schedule - Advanced'!Z127</f>
        <v>0</v>
      </c>
      <c r="M136" s="775">
        <f>'Rep Schedule - Advanced'!AB127</f>
        <v>0</v>
      </c>
      <c r="N136" s="701">
        <f t="shared" si="9"/>
        <v>0</v>
      </c>
      <c r="O136" s="789" t="str">
        <f t="shared" si="10"/>
        <v>Annuity 121</v>
      </c>
      <c r="R136" s="607">
        <f t="shared" si="12"/>
        <v>0</v>
      </c>
      <c r="T136" s="622">
        <f t="shared" si="7"/>
        <v>0</v>
      </c>
      <c r="U136" s="623">
        <f t="shared" si="8"/>
        <v>0</v>
      </c>
      <c r="X136" s="715" t="b">
        <f>'Rep Schedule - Advanced'!AN127</f>
        <v>1</v>
      </c>
    </row>
    <row r="137" spans="1:24" ht="15" hidden="1">
      <c r="A137" s="624">
        <f t="shared" si="11"/>
        <v>122</v>
      </c>
      <c r="B137" s="621">
        <f>'Rep Schedule - Advanced'!E128</f>
        <v>44057</v>
      </c>
      <c r="C137" s="769">
        <f>'Rep Schedule - Advanced'!G128</f>
        <v>0</v>
      </c>
      <c r="D137" s="770">
        <f>'Rep Schedule - Advanced'!H128</f>
        <v>0</v>
      </c>
      <c r="E137" s="644">
        <f>'Rep Schedule - Advanced'!J128</f>
        <v>0</v>
      </c>
      <c r="F137" s="771">
        <f>'Rep Schedule - Advanced'!K128</f>
        <v>0</v>
      </c>
      <c r="G137" s="770">
        <f>'Rep Schedule - Advanced'!N128</f>
        <v>0</v>
      </c>
      <c r="H137" s="772">
        <f>'Rep Schedule - Advanced'!R128</f>
        <v>0</v>
      </c>
      <c r="I137" s="773">
        <f>'Rep Schedule - Advanced'!U128</f>
        <v>0</v>
      </c>
      <c r="J137" s="774">
        <f>'Rep Schedule - Advanced'!X128</f>
        <v>0</v>
      </c>
      <c r="K137" s="774">
        <f>'Rep Schedule - Advanced'!Y128</f>
        <v>0</v>
      </c>
      <c r="L137" s="774">
        <f>'Rep Schedule - Advanced'!Z128</f>
        <v>0</v>
      </c>
      <c r="M137" s="775">
        <f>'Rep Schedule - Advanced'!AB128</f>
        <v>0</v>
      </c>
      <c r="N137" s="701">
        <f t="shared" si="9"/>
        <v>0</v>
      </c>
      <c r="O137" s="789" t="str">
        <f t="shared" si="10"/>
        <v>Annuity 122</v>
      </c>
      <c r="R137" s="607">
        <f t="shared" si="12"/>
        <v>0</v>
      </c>
      <c r="T137" s="622">
        <f t="shared" si="7"/>
        <v>0</v>
      </c>
      <c r="U137" s="623">
        <f t="shared" si="8"/>
        <v>0</v>
      </c>
      <c r="X137" s="715" t="b">
        <f>'Rep Schedule - Advanced'!AN128</f>
        <v>1</v>
      </c>
    </row>
    <row r="138" spans="1:24" ht="15" hidden="1">
      <c r="A138" s="624">
        <f t="shared" si="11"/>
        <v>123</v>
      </c>
      <c r="B138" s="621">
        <f>'Rep Schedule - Advanced'!E129</f>
        <v>44088</v>
      </c>
      <c r="C138" s="769">
        <f>'Rep Schedule - Advanced'!G129</f>
        <v>0</v>
      </c>
      <c r="D138" s="770">
        <f>'Rep Schedule - Advanced'!H129</f>
        <v>0</v>
      </c>
      <c r="E138" s="644">
        <f>'Rep Schedule - Advanced'!J129</f>
        <v>0</v>
      </c>
      <c r="F138" s="771">
        <f>'Rep Schedule - Advanced'!K129</f>
        <v>0</v>
      </c>
      <c r="G138" s="770">
        <f>'Rep Schedule - Advanced'!N129</f>
        <v>0</v>
      </c>
      <c r="H138" s="772">
        <f>'Rep Schedule - Advanced'!R129</f>
        <v>0</v>
      </c>
      <c r="I138" s="773">
        <f>'Rep Schedule - Advanced'!U129</f>
        <v>0</v>
      </c>
      <c r="J138" s="774">
        <f>'Rep Schedule - Advanced'!X129</f>
        <v>0</v>
      </c>
      <c r="K138" s="774">
        <f>'Rep Schedule - Advanced'!Y129</f>
        <v>0</v>
      </c>
      <c r="L138" s="774">
        <f>'Rep Schedule - Advanced'!Z129</f>
        <v>0</v>
      </c>
      <c r="M138" s="775">
        <f>'Rep Schedule - Advanced'!AB129</f>
        <v>0</v>
      </c>
      <c r="N138" s="701">
        <f t="shared" si="9"/>
        <v>0</v>
      </c>
      <c r="O138" s="789" t="str">
        <f t="shared" si="10"/>
        <v>Annuity 123</v>
      </c>
      <c r="R138" s="607">
        <f t="shared" si="12"/>
        <v>0</v>
      </c>
      <c r="T138" s="622">
        <f t="shared" si="7"/>
        <v>0</v>
      </c>
      <c r="U138" s="623">
        <f t="shared" si="8"/>
        <v>0</v>
      </c>
      <c r="X138" s="715" t="b">
        <f>'Rep Schedule - Advanced'!AN129</f>
        <v>1</v>
      </c>
    </row>
    <row r="139" spans="1:24" ht="15" hidden="1">
      <c r="A139" s="624">
        <f t="shared" si="11"/>
        <v>124</v>
      </c>
      <c r="B139" s="621">
        <f>'Rep Schedule - Advanced'!E130</f>
        <v>44118</v>
      </c>
      <c r="C139" s="769">
        <f>'Rep Schedule - Advanced'!G130</f>
        <v>0</v>
      </c>
      <c r="D139" s="770">
        <f>'Rep Schedule - Advanced'!H130</f>
        <v>0</v>
      </c>
      <c r="E139" s="644">
        <f>'Rep Schedule - Advanced'!J130</f>
        <v>0</v>
      </c>
      <c r="F139" s="771">
        <f>'Rep Schedule - Advanced'!K130</f>
        <v>0</v>
      </c>
      <c r="G139" s="770">
        <f>'Rep Schedule - Advanced'!N130</f>
        <v>0</v>
      </c>
      <c r="H139" s="772">
        <f>'Rep Schedule - Advanced'!R130</f>
        <v>0</v>
      </c>
      <c r="I139" s="773">
        <f>'Rep Schedule - Advanced'!U130</f>
        <v>0</v>
      </c>
      <c r="J139" s="774">
        <f>'Rep Schedule - Advanced'!X130</f>
        <v>0</v>
      </c>
      <c r="K139" s="774">
        <f>'Rep Schedule - Advanced'!Y130</f>
        <v>0</v>
      </c>
      <c r="L139" s="774">
        <f>'Rep Schedule - Advanced'!Z130</f>
        <v>0</v>
      </c>
      <c r="M139" s="775">
        <f>'Rep Schedule - Advanced'!AB130</f>
        <v>0</v>
      </c>
      <c r="N139" s="701">
        <f t="shared" si="9"/>
        <v>0</v>
      </c>
      <c r="O139" s="789" t="str">
        <f t="shared" si="10"/>
        <v>Annuity 124</v>
      </c>
      <c r="R139" s="607">
        <f t="shared" si="12"/>
        <v>0</v>
      </c>
      <c r="T139" s="622">
        <f t="shared" si="7"/>
        <v>0</v>
      </c>
      <c r="U139" s="623">
        <f t="shared" si="8"/>
        <v>0</v>
      </c>
      <c r="X139" s="715" t="b">
        <f>'Rep Schedule - Advanced'!AN130</f>
        <v>1</v>
      </c>
    </row>
    <row r="140" spans="1:24" ht="15" hidden="1">
      <c r="A140" s="624">
        <f t="shared" si="11"/>
        <v>125</v>
      </c>
      <c r="B140" s="621">
        <f>'Rep Schedule - Advanced'!E131</f>
        <v>44149</v>
      </c>
      <c r="C140" s="769">
        <f>'Rep Schedule - Advanced'!G131</f>
        <v>0</v>
      </c>
      <c r="D140" s="770">
        <f>'Rep Schedule - Advanced'!H131</f>
        <v>0</v>
      </c>
      <c r="E140" s="644">
        <f>'Rep Schedule - Advanced'!J131</f>
        <v>0</v>
      </c>
      <c r="F140" s="771">
        <f>'Rep Schedule - Advanced'!K131</f>
        <v>0</v>
      </c>
      <c r="G140" s="770">
        <f>'Rep Schedule - Advanced'!N131</f>
        <v>0</v>
      </c>
      <c r="H140" s="772">
        <f>'Rep Schedule - Advanced'!R131</f>
        <v>0</v>
      </c>
      <c r="I140" s="773">
        <f>'Rep Schedule - Advanced'!U131</f>
        <v>0</v>
      </c>
      <c r="J140" s="774">
        <f>'Rep Schedule - Advanced'!X131</f>
        <v>0</v>
      </c>
      <c r="K140" s="774">
        <f>'Rep Schedule - Advanced'!Y131</f>
        <v>0</v>
      </c>
      <c r="L140" s="774">
        <f>'Rep Schedule - Advanced'!Z131</f>
        <v>0</v>
      </c>
      <c r="M140" s="775">
        <f>'Rep Schedule - Advanced'!AB131</f>
        <v>0</v>
      </c>
      <c r="N140" s="701">
        <f t="shared" si="9"/>
        <v>0</v>
      </c>
      <c r="O140" s="789" t="str">
        <f t="shared" si="10"/>
        <v>Annuity 125</v>
      </c>
      <c r="R140" s="607">
        <f t="shared" si="12"/>
        <v>0</v>
      </c>
      <c r="T140" s="622">
        <f t="shared" si="7"/>
        <v>0</v>
      </c>
      <c r="U140" s="623">
        <f t="shared" si="8"/>
        <v>0</v>
      </c>
      <c r="X140" s="715" t="b">
        <f>'Rep Schedule - Advanced'!AN131</f>
        <v>1</v>
      </c>
    </row>
    <row r="141" spans="1:24" ht="15" hidden="1">
      <c r="A141" s="624">
        <f t="shared" si="11"/>
        <v>126</v>
      </c>
      <c r="B141" s="621">
        <f>'Rep Schedule - Advanced'!E132</f>
        <v>44179</v>
      </c>
      <c r="C141" s="769">
        <f>'Rep Schedule - Advanced'!G132</f>
        <v>0</v>
      </c>
      <c r="D141" s="770">
        <f>'Rep Schedule - Advanced'!H132</f>
        <v>0</v>
      </c>
      <c r="E141" s="644">
        <f>'Rep Schedule - Advanced'!J132</f>
        <v>0</v>
      </c>
      <c r="F141" s="771">
        <f>'Rep Schedule - Advanced'!K132</f>
        <v>0</v>
      </c>
      <c r="G141" s="770">
        <f>'Rep Schedule - Advanced'!N132</f>
        <v>0</v>
      </c>
      <c r="H141" s="772">
        <f>'Rep Schedule - Advanced'!R132</f>
        <v>0</v>
      </c>
      <c r="I141" s="773">
        <f>'Rep Schedule - Advanced'!U132</f>
        <v>0</v>
      </c>
      <c r="J141" s="774">
        <f>'Rep Schedule - Advanced'!X132</f>
        <v>0</v>
      </c>
      <c r="K141" s="774">
        <f>'Rep Schedule - Advanced'!Y132</f>
        <v>0</v>
      </c>
      <c r="L141" s="774">
        <f>'Rep Schedule - Advanced'!Z132</f>
        <v>0</v>
      </c>
      <c r="M141" s="775">
        <f>'Rep Schedule - Advanced'!AB132</f>
        <v>0</v>
      </c>
      <c r="N141" s="701">
        <f t="shared" si="9"/>
        <v>0</v>
      </c>
      <c r="O141" s="789" t="str">
        <f t="shared" si="10"/>
        <v>Annuity 126</v>
      </c>
      <c r="R141" s="607">
        <f t="shared" si="12"/>
        <v>0</v>
      </c>
      <c r="T141" s="622">
        <f t="shared" si="7"/>
        <v>0</v>
      </c>
      <c r="U141" s="623">
        <f t="shared" si="8"/>
        <v>0</v>
      </c>
      <c r="X141" s="715" t="b">
        <f>'Rep Schedule - Advanced'!AN132</f>
        <v>1</v>
      </c>
    </row>
    <row r="142" spans="1:24" ht="15" hidden="1">
      <c r="A142" s="624">
        <f t="shared" si="11"/>
        <v>127</v>
      </c>
      <c r="B142" s="621">
        <f>'Rep Schedule - Advanced'!E133</f>
        <v>44210</v>
      </c>
      <c r="C142" s="769">
        <f>'Rep Schedule - Advanced'!G133</f>
        <v>0</v>
      </c>
      <c r="D142" s="770">
        <f>'Rep Schedule - Advanced'!H133</f>
        <v>0</v>
      </c>
      <c r="E142" s="644">
        <f>'Rep Schedule - Advanced'!J133</f>
        <v>0</v>
      </c>
      <c r="F142" s="771">
        <f>'Rep Schedule - Advanced'!K133</f>
        <v>0</v>
      </c>
      <c r="G142" s="770">
        <f>'Rep Schedule - Advanced'!N133</f>
        <v>0</v>
      </c>
      <c r="H142" s="772">
        <f>'Rep Schedule - Advanced'!R133</f>
        <v>0</v>
      </c>
      <c r="I142" s="773">
        <f>'Rep Schedule - Advanced'!U133</f>
        <v>0</v>
      </c>
      <c r="J142" s="774">
        <f>'Rep Schedule - Advanced'!X133</f>
        <v>0</v>
      </c>
      <c r="K142" s="774">
        <f>'Rep Schedule - Advanced'!Y133</f>
        <v>0</v>
      </c>
      <c r="L142" s="774">
        <f>'Rep Schedule - Advanced'!Z133</f>
        <v>0</v>
      </c>
      <c r="M142" s="775">
        <f>'Rep Schedule - Advanced'!AB133</f>
        <v>0</v>
      </c>
      <c r="N142" s="701">
        <f t="shared" si="9"/>
        <v>0</v>
      </c>
      <c r="O142" s="789" t="str">
        <f t="shared" si="10"/>
        <v>Annuity 127</v>
      </c>
      <c r="R142" s="607">
        <f t="shared" si="12"/>
        <v>0</v>
      </c>
      <c r="T142" s="622">
        <f t="shared" si="7"/>
        <v>0</v>
      </c>
      <c r="U142" s="623">
        <f t="shared" si="8"/>
        <v>0</v>
      </c>
      <c r="X142" s="715" t="b">
        <f>'Rep Schedule - Advanced'!AN133</f>
        <v>1</v>
      </c>
    </row>
    <row r="143" spans="1:24" ht="15" hidden="1">
      <c r="A143" s="624">
        <f t="shared" si="11"/>
        <v>128</v>
      </c>
      <c r="B143" s="621">
        <f>'Rep Schedule - Advanced'!E134</f>
        <v>44241</v>
      </c>
      <c r="C143" s="769">
        <f>'Rep Schedule - Advanced'!G134</f>
        <v>0</v>
      </c>
      <c r="D143" s="770">
        <f>'Rep Schedule - Advanced'!H134</f>
        <v>0</v>
      </c>
      <c r="E143" s="644">
        <f>'Rep Schedule - Advanced'!J134</f>
        <v>0</v>
      </c>
      <c r="F143" s="771">
        <f>'Rep Schedule - Advanced'!K134</f>
        <v>0</v>
      </c>
      <c r="G143" s="770">
        <f>'Rep Schedule - Advanced'!N134</f>
        <v>0</v>
      </c>
      <c r="H143" s="772">
        <f>'Rep Schedule - Advanced'!R134</f>
        <v>0</v>
      </c>
      <c r="I143" s="773">
        <f>'Rep Schedule - Advanced'!U134</f>
        <v>0</v>
      </c>
      <c r="J143" s="774">
        <f>'Rep Schedule - Advanced'!X134</f>
        <v>0</v>
      </c>
      <c r="K143" s="774">
        <f>'Rep Schedule - Advanced'!Y134</f>
        <v>0</v>
      </c>
      <c r="L143" s="774">
        <f>'Rep Schedule - Advanced'!Z134</f>
        <v>0</v>
      </c>
      <c r="M143" s="775">
        <f>'Rep Schedule - Advanced'!AB134</f>
        <v>0</v>
      </c>
      <c r="N143" s="701">
        <f t="shared" si="9"/>
        <v>0</v>
      </c>
      <c r="O143" s="789" t="str">
        <f t="shared" si="10"/>
        <v>Annuity 128</v>
      </c>
      <c r="R143" s="607">
        <f t="shared" si="12"/>
        <v>0</v>
      </c>
      <c r="T143" s="622">
        <f t="shared" si="7"/>
        <v>0</v>
      </c>
      <c r="U143" s="623">
        <f t="shared" si="8"/>
        <v>0</v>
      </c>
      <c r="X143" s="715" t="b">
        <f>'Rep Schedule - Advanced'!AN134</f>
        <v>1</v>
      </c>
    </row>
    <row r="144" spans="1:24" ht="15" hidden="1">
      <c r="A144" s="624">
        <f t="shared" si="11"/>
        <v>129</v>
      </c>
      <c r="B144" s="621">
        <f>'Rep Schedule - Advanced'!E135</f>
        <v>44269</v>
      </c>
      <c r="C144" s="769">
        <f>'Rep Schedule - Advanced'!G135</f>
        <v>0</v>
      </c>
      <c r="D144" s="770">
        <f>'Rep Schedule - Advanced'!H135</f>
        <v>0</v>
      </c>
      <c r="E144" s="644">
        <f>'Rep Schedule - Advanced'!J135</f>
        <v>0</v>
      </c>
      <c r="F144" s="771">
        <f>'Rep Schedule - Advanced'!K135</f>
        <v>0</v>
      </c>
      <c r="G144" s="770">
        <f>'Rep Schedule - Advanced'!N135</f>
        <v>0</v>
      </c>
      <c r="H144" s="772">
        <f>'Rep Schedule - Advanced'!R135</f>
        <v>0</v>
      </c>
      <c r="I144" s="773">
        <f>'Rep Schedule - Advanced'!U135</f>
        <v>0</v>
      </c>
      <c r="J144" s="774">
        <f>'Rep Schedule - Advanced'!X135</f>
        <v>0</v>
      </c>
      <c r="K144" s="774">
        <f>'Rep Schedule - Advanced'!Y135</f>
        <v>0</v>
      </c>
      <c r="L144" s="774">
        <f>'Rep Schedule - Advanced'!Z135</f>
        <v>0</v>
      </c>
      <c r="M144" s="775">
        <f>'Rep Schedule - Advanced'!AB135</f>
        <v>0</v>
      </c>
      <c r="N144" s="701">
        <f t="shared" si="9"/>
        <v>0</v>
      </c>
      <c r="O144" s="789" t="str">
        <f t="shared" si="10"/>
        <v>Annuity 129</v>
      </c>
      <c r="R144" s="607">
        <f t="shared" si="12"/>
        <v>0</v>
      </c>
      <c r="T144" s="622">
        <f t="shared" ref="T144:T197" si="13">C144-D144-SUM(F144:I144)</f>
        <v>0</v>
      </c>
      <c r="U144" s="623">
        <f t="shared" ref="U144:U197" si="14">T144-J144+L144</f>
        <v>0</v>
      </c>
      <c r="X144" s="715" t="b">
        <f>'Rep Schedule - Advanced'!AN135</f>
        <v>1</v>
      </c>
    </row>
    <row r="145" spans="1:24" ht="15" hidden="1">
      <c r="A145" s="624">
        <f t="shared" si="11"/>
        <v>130</v>
      </c>
      <c r="B145" s="621">
        <f>'Rep Schedule - Advanced'!E136</f>
        <v>44300</v>
      </c>
      <c r="C145" s="769">
        <f>'Rep Schedule - Advanced'!G136</f>
        <v>0</v>
      </c>
      <c r="D145" s="770">
        <f>'Rep Schedule - Advanced'!H136</f>
        <v>0</v>
      </c>
      <c r="E145" s="644">
        <f>'Rep Schedule - Advanced'!J136</f>
        <v>0</v>
      </c>
      <c r="F145" s="771">
        <f>'Rep Schedule - Advanced'!K136</f>
        <v>0</v>
      </c>
      <c r="G145" s="770">
        <f>'Rep Schedule - Advanced'!N136</f>
        <v>0</v>
      </c>
      <c r="H145" s="772">
        <f>'Rep Schedule - Advanced'!R136</f>
        <v>0</v>
      </c>
      <c r="I145" s="773">
        <f>'Rep Schedule - Advanced'!U136</f>
        <v>0</v>
      </c>
      <c r="J145" s="774">
        <f>'Rep Schedule - Advanced'!X136</f>
        <v>0</v>
      </c>
      <c r="K145" s="774">
        <f>'Rep Schedule - Advanced'!Y136</f>
        <v>0</v>
      </c>
      <c r="L145" s="774">
        <f>'Rep Schedule - Advanced'!Z136</f>
        <v>0</v>
      </c>
      <c r="M145" s="775">
        <f>'Rep Schedule - Advanced'!AB136</f>
        <v>0</v>
      </c>
      <c r="N145" s="701">
        <f t="shared" ref="N145:N197" si="15">D145+F145+G145+H145+I145+J145-L145</f>
        <v>0</v>
      </c>
      <c r="O145" s="789" t="str">
        <f t="shared" ref="O145:O197" si="16">"Annuity "&amp;A145</f>
        <v>Annuity 130</v>
      </c>
      <c r="R145" s="607">
        <f t="shared" si="12"/>
        <v>0</v>
      </c>
      <c r="T145" s="622">
        <f t="shared" si="13"/>
        <v>0</v>
      </c>
      <c r="U145" s="623">
        <f t="shared" si="14"/>
        <v>0</v>
      </c>
      <c r="X145" s="715" t="b">
        <f>'Rep Schedule - Advanced'!AN136</f>
        <v>1</v>
      </c>
    </row>
    <row r="146" spans="1:24" ht="15" hidden="1">
      <c r="A146" s="624">
        <f t="shared" ref="A146:A151" si="17">A145+1</f>
        <v>131</v>
      </c>
      <c r="B146" s="621">
        <f>'Rep Schedule - Advanced'!E137</f>
        <v>44330</v>
      </c>
      <c r="C146" s="769">
        <f>'Rep Schedule - Advanced'!G137</f>
        <v>0</v>
      </c>
      <c r="D146" s="770">
        <f>'Rep Schedule - Advanced'!H137</f>
        <v>0</v>
      </c>
      <c r="E146" s="644">
        <f>'Rep Schedule - Advanced'!J137</f>
        <v>0</v>
      </c>
      <c r="F146" s="771">
        <f>'Rep Schedule - Advanced'!K137</f>
        <v>0</v>
      </c>
      <c r="G146" s="770">
        <f>'Rep Schedule - Advanced'!N137</f>
        <v>0</v>
      </c>
      <c r="H146" s="772">
        <f>'Rep Schedule - Advanced'!R137</f>
        <v>0</v>
      </c>
      <c r="I146" s="773">
        <f>'Rep Schedule - Advanced'!U137</f>
        <v>0</v>
      </c>
      <c r="J146" s="774">
        <f>'Rep Schedule - Advanced'!X137</f>
        <v>0</v>
      </c>
      <c r="K146" s="774">
        <f>'Rep Schedule - Advanced'!Y137</f>
        <v>0</v>
      </c>
      <c r="L146" s="774">
        <f>'Rep Schedule - Advanced'!Z137</f>
        <v>0</v>
      </c>
      <c r="M146" s="775">
        <f>'Rep Schedule - Advanced'!AB137</f>
        <v>0</v>
      </c>
      <c r="N146" s="701">
        <f t="shared" si="15"/>
        <v>0</v>
      </c>
      <c r="O146" s="789" t="str">
        <f t="shared" si="16"/>
        <v>Annuity 131</v>
      </c>
      <c r="R146" s="607">
        <f t="shared" si="12"/>
        <v>0</v>
      </c>
      <c r="T146" s="622">
        <f t="shared" si="13"/>
        <v>0</v>
      </c>
      <c r="U146" s="623">
        <f t="shared" si="14"/>
        <v>0</v>
      </c>
      <c r="X146" s="715" t="b">
        <f>'Rep Schedule - Advanced'!AN137</f>
        <v>1</v>
      </c>
    </row>
    <row r="147" spans="1:24" ht="15" hidden="1">
      <c r="A147" s="624">
        <f t="shared" si="17"/>
        <v>132</v>
      </c>
      <c r="B147" s="621">
        <f>'Rep Schedule - Advanced'!E138</f>
        <v>44361</v>
      </c>
      <c r="C147" s="769">
        <f>'Rep Schedule - Advanced'!G138</f>
        <v>0</v>
      </c>
      <c r="D147" s="770">
        <f>'Rep Schedule - Advanced'!H138</f>
        <v>0</v>
      </c>
      <c r="E147" s="644">
        <f>'Rep Schedule - Advanced'!J138</f>
        <v>0</v>
      </c>
      <c r="F147" s="771">
        <f>'Rep Schedule - Advanced'!K138</f>
        <v>0</v>
      </c>
      <c r="G147" s="770">
        <f>'Rep Schedule - Advanced'!N138</f>
        <v>0</v>
      </c>
      <c r="H147" s="772">
        <f>'Rep Schedule - Advanced'!R138</f>
        <v>0</v>
      </c>
      <c r="I147" s="773">
        <f>'Rep Schedule - Advanced'!U138</f>
        <v>0</v>
      </c>
      <c r="J147" s="774">
        <f>'Rep Schedule - Advanced'!X138</f>
        <v>0</v>
      </c>
      <c r="K147" s="774">
        <f>'Rep Schedule - Advanced'!Y138</f>
        <v>0</v>
      </c>
      <c r="L147" s="774">
        <f>'Rep Schedule - Advanced'!Z138</f>
        <v>0</v>
      </c>
      <c r="M147" s="775">
        <f>'Rep Schedule - Advanced'!AB138</f>
        <v>0</v>
      </c>
      <c r="N147" s="701">
        <f t="shared" si="15"/>
        <v>0</v>
      </c>
      <c r="O147" s="789" t="str">
        <f t="shared" si="16"/>
        <v>Annuity 132</v>
      </c>
      <c r="R147" s="607">
        <f t="shared" si="12"/>
        <v>0</v>
      </c>
      <c r="T147" s="622">
        <f t="shared" si="13"/>
        <v>0</v>
      </c>
      <c r="U147" s="623">
        <f t="shared" si="14"/>
        <v>0</v>
      </c>
      <c r="X147" s="715" t="b">
        <f>'Rep Schedule - Advanced'!AN138</f>
        <v>1</v>
      </c>
    </row>
    <row r="148" spans="1:24" ht="15" hidden="1">
      <c r="A148" s="624">
        <f t="shared" si="17"/>
        <v>133</v>
      </c>
      <c r="B148" s="621">
        <f>'Rep Schedule - Advanced'!E139</f>
        <v>44391</v>
      </c>
      <c r="C148" s="769">
        <f>'Rep Schedule - Advanced'!G139</f>
        <v>0</v>
      </c>
      <c r="D148" s="770">
        <f>'Rep Schedule - Advanced'!H139</f>
        <v>0</v>
      </c>
      <c r="E148" s="644">
        <f>'Rep Schedule - Advanced'!J139</f>
        <v>0</v>
      </c>
      <c r="F148" s="771">
        <f>'Rep Schedule - Advanced'!K139</f>
        <v>0</v>
      </c>
      <c r="G148" s="770">
        <f>'Rep Schedule - Advanced'!N139</f>
        <v>0</v>
      </c>
      <c r="H148" s="772">
        <f>'Rep Schedule - Advanced'!R139</f>
        <v>0</v>
      </c>
      <c r="I148" s="773">
        <f>'Rep Schedule - Advanced'!U139</f>
        <v>0</v>
      </c>
      <c r="J148" s="774">
        <f>'Rep Schedule - Advanced'!X139</f>
        <v>0</v>
      </c>
      <c r="K148" s="774">
        <f>'Rep Schedule - Advanced'!Y139</f>
        <v>0</v>
      </c>
      <c r="L148" s="774">
        <f>'Rep Schedule - Advanced'!Z139</f>
        <v>0</v>
      </c>
      <c r="M148" s="775">
        <f>'Rep Schedule - Advanced'!AB139</f>
        <v>0</v>
      </c>
      <c r="N148" s="701">
        <f t="shared" si="15"/>
        <v>0</v>
      </c>
      <c r="O148" s="789" t="str">
        <f t="shared" si="16"/>
        <v>Annuity 133</v>
      </c>
      <c r="R148" s="607">
        <f t="shared" si="12"/>
        <v>0</v>
      </c>
      <c r="T148" s="622">
        <f t="shared" si="13"/>
        <v>0</v>
      </c>
      <c r="U148" s="623">
        <f t="shared" si="14"/>
        <v>0</v>
      </c>
      <c r="X148" s="715" t="b">
        <f>'Rep Schedule - Advanced'!AN139</f>
        <v>1</v>
      </c>
    </row>
    <row r="149" spans="1:24" ht="15" hidden="1">
      <c r="A149" s="624">
        <f t="shared" si="17"/>
        <v>134</v>
      </c>
      <c r="B149" s="621">
        <f>'Rep Schedule - Advanced'!E140</f>
        <v>44422</v>
      </c>
      <c r="C149" s="769">
        <f>'Rep Schedule - Advanced'!G140</f>
        <v>0</v>
      </c>
      <c r="D149" s="770">
        <f>'Rep Schedule - Advanced'!H140</f>
        <v>0</v>
      </c>
      <c r="E149" s="644">
        <f>'Rep Schedule - Advanced'!J140</f>
        <v>0</v>
      </c>
      <c r="F149" s="771">
        <f>'Rep Schedule - Advanced'!K140</f>
        <v>0</v>
      </c>
      <c r="G149" s="770">
        <f>'Rep Schedule - Advanced'!N140</f>
        <v>0</v>
      </c>
      <c r="H149" s="772">
        <f>'Rep Schedule - Advanced'!R140</f>
        <v>0</v>
      </c>
      <c r="I149" s="773">
        <f>'Rep Schedule - Advanced'!U140</f>
        <v>0</v>
      </c>
      <c r="J149" s="774">
        <f>'Rep Schedule - Advanced'!X140</f>
        <v>0</v>
      </c>
      <c r="K149" s="774">
        <f>'Rep Schedule - Advanced'!Y140</f>
        <v>0</v>
      </c>
      <c r="L149" s="774">
        <f>'Rep Schedule - Advanced'!Z140</f>
        <v>0</v>
      </c>
      <c r="M149" s="775">
        <f>'Rep Schedule - Advanced'!AB140</f>
        <v>0</v>
      </c>
      <c r="N149" s="701">
        <f t="shared" si="15"/>
        <v>0</v>
      </c>
      <c r="O149" s="789" t="str">
        <f t="shared" si="16"/>
        <v>Annuity 134</v>
      </c>
      <c r="R149" s="607">
        <f t="shared" si="12"/>
        <v>0</v>
      </c>
      <c r="T149" s="622">
        <f t="shared" si="13"/>
        <v>0</v>
      </c>
      <c r="U149" s="623">
        <f t="shared" si="14"/>
        <v>0</v>
      </c>
      <c r="X149" s="715" t="b">
        <f>'Rep Schedule - Advanced'!AN140</f>
        <v>1</v>
      </c>
    </row>
    <row r="150" spans="1:24" ht="15" hidden="1">
      <c r="A150" s="624">
        <f t="shared" si="17"/>
        <v>135</v>
      </c>
      <c r="B150" s="621">
        <f>'Rep Schedule - Advanced'!E141</f>
        <v>44453</v>
      </c>
      <c r="C150" s="769">
        <f>'Rep Schedule - Advanced'!G141</f>
        <v>0</v>
      </c>
      <c r="D150" s="770">
        <f>'Rep Schedule - Advanced'!H141</f>
        <v>0</v>
      </c>
      <c r="E150" s="644">
        <f>'Rep Schedule - Advanced'!J141</f>
        <v>0</v>
      </c>
      <c r="F150" s="771">
        <f>'Rep Schedule - Advanced'!K141</f>
        <v>0</v>
      </c>
      <c r="G150" s="770">
        <f>'Rep Schedule - Advanced'!N141</f>
        <v>0</v>
      </c>
      <c r="H150" s="772">
        <f>'Rep Schedule - Advanced'!R141</f>
        <v>0</v>
      </c>
      <c r="I150" s="773">
        <f>'Rep Schedule - Advanced'!U141</f>
        <v>0</v>
      </c>
      <c r="J150" s="774">
        <f>'Rep Schedule - Advanced'!X141</f>
        <v>0</v>
      </c>
      <c r="K150" s="774">
        <f>'Rep Schedule - Advanced'!Y141</f>
        <v>0</v>
      </c>
      <c r="L150" s="774">
        <f>'Rep Schedule - Advanced'!Z141</f>
        <v>0</v>
      </c>
      <c r="M150" s="775">
        <f>'Rep Schedule - Advanced'!AB141</f>
        <v>0</v>
      </c>
      <c r="N150" s="701">
        <f t="shared" si="15"/>
        <v>0</v>
      </c>
      <c r="O150" s="789" t="str">
        <f t="shared" si="16"/>
        <v>Annuity 135</v>
      </c>
      <c r="R150" s="607">
        <f t="shared" si="12"/>
        <v>0</v>
      </c>
      <c r="T150" s="622">
        <f t="shared" si="13"/>
        <v>0</v>
      </c>
      <c r="U150" s="623">
        <f t="shared" si="14"/>
        <v>0</v>
      </c>
      <c r="X150" s="715" t="b">
        <f>'Rep Schedule - Advanced'!AN141</f>
        <v>1</v>
      </c>
    </row>
    <row r="151" spans="1:24" ht="15" hidden="1">
      <c r="A151" s="624">
        <f t="shared" si="17"/>
        <v>136</v>
      </c>
      <c r="B151" s="621">
        <f>'Rep Schedule - Advanced'!E142</f>
        <v>44483</v>
      </c>
      <c r="C151" s="769">
        <f>'Rep Schedule - Advanced'!G142</f>
        <v>0</v>
      </c>
      <c r="D151" s="770">
        <f>'Rep Schedule - Advanced'!H142</f>
        <v>0</v>
      </c>
      <c r="E151" s="644">
        <f>'Rep Schedule - Advanced'!J142</f>
        <v>0</v>
      </c>
      <c r="F151" s="771">
        <f>'Rep Schedule - Advanced'!K142</f>
        <v>0</v>
      </c>
      <c r="G151" s="770">
        <f>'Rep Schedule - Advanced'!N142</f>
        <v>0</v>
      </c>
      <c r="H151" s="772">
        <f>'Rep Schedule - Advanced'!R142</f>
        <v>0</v>
      </c>
      <c r="I151" s="773">
        <f>'Rep Schedule - Advanced'!U142</f>
        <v>0</v>
      </c>
      <c r="J151" s="774">
        <f>'Rep Schedule - Advanced'!X142</f>
        <v>0</v>
      </c>
      <c r="K151" s="774">
        <f>'Rep Schedule - Advanced'!Y142</f>
        <v>0</v>
      </c>
      <c r="L151" s="774">
        <f>'Rep Schedule - Advanced'!Z142</f>
        <v>0</v>
      </c>
      <c r="M151" s="775">
        <f>'Rep Schedule - Advanced'!AB142</f>
        <v>0</v>
      </c>
      <c r="N151" s="701">
        <f t="shared" si="15"/>
        <v>0</v>
      </c>
      <c r="O151" s="789" t="str">
        <f t="shared" si="16"/>
        <v>Annuity 136</v>
      </c>
      <c r="R151" s="607">
        <f t="shared" si="12"/>
        <v>0</v>
      </c>
      <c r="T151" s="622">
        <f t="shared" si="13"/>
        <v>0</v>
      </c>
      <c r="U151" s="623">
        <f t="shared" si="14"/>
        <v>0</v>
      </c>
      <c r="X151" s="715" t="b">
        <f>'Rep Schedule - Advanced'!AN142</f>
        <v>1</v>
      </c>
    </row>
    <row r="152" spans="1:24" ht="15" hidden="1">
      <c r="A152" s="624">
        <f t="shared" ref="A152:A197" si="18">A151+1</f>
        <v>137</v>
      </c>
      <c r="B152" s="621">
        <f>'Rep Schedule - Advanced'!E143</f>
        <v>44514</v>
      </c>
      <c r="C152" s="769">
        <f>'Rep Schedule - Advanced'!G143</f>
        <v>0</v>
      </c>
      <c r="D152" s="770">
        <f>'Rep Schedule - Advanced'!H143</f>
        <v>0</v>
      </c>
      <c r="E152" s="644">
        <f>'Rep Schedule - Advanced'!J143</f>
        <v>0</v>
      </c>
      <c r="F152" s="771">
        <f>'Rep Schedule - Advanced'!K143</f>
        <v>0</v>
      </c>
      <c r="G152" s="770">
        <f>'Rep Schedule - Advanced'!N143</f>
        <v>0</v>
      </c>
      <c r="H152" s="772">
        <f>'Rep Schedule - Advanced'!R143</f>
        <v>0</v>
      </c>
      <c r="I152" s="773">
        <f>'Rep Schedule - Advanced'!U143</f>
        <v>0</v>
      </c>
      <c r="J152" s="774">
        <f>'Rep Schedule - Advanced'!X143</f>
        <v>0</v>
      </c>
      <c r="K152" s="774">
        <f>'Rep Schedule - Advanced'!Y143</f>
        <v>0</v>
      </c>
      <c r="L152" s="774">
        <f>'Rep Schedule - Advanced'!Z143</f>
        <v>0</v>
      </c>
      <c r="M152" s="775">
        <f>'Rep Schedule - Advanced'!AB143</f>
        <v>0</v>
      </c>
      <c r="N152" s="701">
        <f t="shared" si="15"/>
        <v>0</v>
      </c>
      <c r="O152" s="789" t="str">
        <f t="shared" si="16"/>
        <v>Annuity 137</v>
      </c>
      <c r="R152" s="607">
        <f t="shared" ref="R152:R197" si="19">(B152-B151)*E151</f>
        <v>0</v>
      </c>
      <c r="T152" s="622">
        <f t="shared" si="13"/>
        <v>0</v>
      </c>
      <c r="U152" s="623">
        <f t="shared" si="14"/>
        <v>0</v>
      </c>
      <c r="X152" s="715" t="b">
        <f>'Rep Schedule - Advanced'!AN143</f>
        <v>1</v>
      </c>
    </row>
    <row r="153" spans="1:24" ht="15" hidden="1">
      <c r="A153" s="624">
        <f t="shared" si="18"/>
        <v>138</v>
      </c>
      <c r="B153" s="621">
        <f>'Rep Schedule - Advanced'!E144</f>
        <v>44544</v>
      </c>
      <c r="C153" s="769">
        <f>'Rep Schedule - Advanced'!G144</f>
        <v>0</v>
      </c>
      <c r="D153" s="770">
        <f>'Rep Schedule - Advanced'!H144</f>
        <v>0</v>
      </c>
      <c r="E153" s="644">
        <f>'Rep Schedule - Advanced'!J144</f>
        <v>0</v>
      </c>
      <c r="F153" s="771">
        <f>'Rep Schedule - Advanced'!K144</f>
        <v>0</v>
      </c>
      <c r="G153" s="770">
        <f>'Rep Schedule - Advanced'!N144</f>
        <v>0</v>
      </c>
      <c r="H153" s="772">
        <f>'Rep Schedule - Advanced'!R144</f>
        <v>0</v>
      </c>
      <c r="I153" s="773">
        <f>'Rep Schedule - Advanced'!U144</f>
        <v>0</v>
      </c>
      <c r="J153" s="774">
        <f>'Rep Schedule - Advanced'!X144</f>
        <v>0</v>
      </c>
      <c r="K153" s="774">
        <f>'Rep Schedule - Advanced'!Y144</f>
        <v>0</v>
      </c>
      <c r="L153" s="774">
        <f>'Rep Schedule - Advanced'!Z144</f>
        <v>0</v>
      </c>
      <c r="M153" s="775">
        <f>'Rep Schedule - Advanced'!AB144</f>
        <v>0</v>
      </c>
      <c r="N153" s="701">
        <f t="shared" si="15"/>
        <v>0</v>
      </c>
      <c r="O153" s="789" t="str">
        <f t="shared" si="16"/>
        <v>Annuity 138</v>
      </c>
      <c r="R153" s="607">
        <f t="shared" si="19"/>
        <v>0</v>
      </c>
      <c r="T153" s="622">
        <f t="shared" si="13"/>
        <v>0</v>
      </c>
      <c r="U153" s="623">
        <f t="shared" si="14"/>
        <v>0</v>
      </c>
      <c r="X153" s="715" t="b">
        <f>'Rep Schedule - Advanced'!AN144</f>
        <v>1</v>
      </c>
    </row>
    <row r="154" spans="1:24" ht="15" hidden="1">
      <c r="A154" s="624">
        <f t="shared" si="18"/>
        <v>139</v>
      </c>
      <c r="B154" s="621">
        <f>'Rep Schedule - Advanced'!E145</f>
        <v>44575</v>
      </c>
      <c r="C154" s="769">
        <f>'Rep Schedule - Advanced'!G145</f>
        <v>0</v>
      </c>
      <c r="D154" s="770">
        <f>'Rep Schedule - Advanced'!H145</f>
        <v>0</v>
      </c>
      <c r="E154" s="644">
        <f>'Rep Schedule - Advanced'!J145</f>
        <v>0</v>
      </c>
      <c r="F154" s="771">
        <f>'Rep Schedule - Advanced'!K145</f>
        <v>0</v>
      </c>
      <c r="G154" s="770">
        <f>'Rep Schedule - Advanced'!N145</f>
        <v>0</v>
      </c>
      <c r="H154" s="772">
        <f>'Rep Schedule - Advanced'!R145</f>
        <v>0</v>
      </c>
      <c r="I154" s="773">
        <f>'Rep Schedule - Advanced'!U145</f>
        <v>0</v>
      </c>
      <c r="J154" s="774">
        <f>'Rep Schedule - Advanced'!X145</f>
        <v>0</v>
      </c>
      <c r="K154" s="774">
        <f>'Rep Schedule - Advanced'!Y145</f>
        <v>0</v>
      </c>
      <c r="L154" s="774">
        <f>'Rep Schedule - Advanced'!Z145</f>
        <v>0</v>
      </c>
      <c r="M154" s="775">
        <f>'Rep Schedule - Advanced'!AB145</f>
        <v>0</v>
      </c>
      <c r="N154" s="701">
        <f t="shared" si="15"/>
        <v>0</v>
      </c>
      <c r="O154" s="789" t="str">
        <f t="shared" si="16"/>
        <v>Annuity 139</v>
      </c>
      <c r="R154" s="607">
        <f t="shared" si="19"/>
        <v>0</v>
      </c>
      <c r="T154" s="622">
        <f t="shared" si="13"/>
        <v>0</v>
      </c>
      <c r="U154" s="623">
        <f t="shared" si="14"/>
        <v>0</v>
      </c>
      <c r="X154" s="715" t="b">
        <f>'Rep Schedule - Advanced'!AN145</f>
        <v>1</v>
      </c>
    </row>
    <row r="155" spans="1:24" ht="15" hidden="1">
      <c r="A155" s="624">
        <f t="shared" si="18"/>
        <v>140</v>
      </c>
      <c r="B155" s="621">
        <f>'Rep Schedule - Advanced'!E146</f>
        <v>44606</v>
      </c>
      <c r="C155" s="769">
        <f>'Rep Schedule - Advanced'!G146</f>
        <v>0</v>
      </c>
      <c r="D155" s="770">
        <f>'Rep Schedule - Advanced'!H146</f>
        <v>0</v>
      </c>
      <c r="E155" s="644">
        <f>'Rep Schedule - Advanced'!J146</f>
        <v>0</v>
      </c>
      <c r="F155" s="771">
        <f>'Rep Schedule - Advanced'!K146</f>
        <v>0</v>
      </c>
      <c r="G155" s="770">
        <f>'Rep Schedule - Advanced'!N146</f>
        <v>0</v>
      </c>
      <c r="H155" s="772">
        <f>'Rep Schedule - Advanced'!R146</f>
        <v>0</v>
      </c>
      <c r="I155" s="773">
        <f>'Rep Schedule - Advanced'!U146</f>
        <v>0</v>
      </c>
      <c r="J155" s="774">
        <f>'Rep Schedule - Advanced'!X146</f>
        <v>0</v>
      </c>
      <c r="K155" s="774">
        <f>'Rep Schedule - Advanced'!Y146</f>
        <v>0</v>
      </c>
      <c r="L155" s="774">
        <f>'Rep Schedule - Advanced'!Z146</f>
        <v>0</v>
      </c>
      <c r="M155" s="775">
        <f>'Rep Schedule - Advanced'!AB146</f>
        <v>0</v>
      </c>
      <c r="N155" s="701">
        <f t="shared" si="15"/>
        <v>0</v>
      </c>
      <c r="O155" s="789" t="str">
        <f t="shared" si="16"/>
        <v>Annuity 140</v>
      </c>
      <c r="R155" s="607">
        <f t="shared" si="19"/>
        <v>0</v>
      </c>
      <c r="T155" s="622">
        <f t="shared" si="13"/>
        <v>0</v>
      </c>
      <c r="U155" s="623">
        <f t="shared" si="14"/>
        <v>0</v>
      </c>
      <c r="X155" s="715" t="b">
        <f>'Rep Schedule - Advanced'!AN146</f>
        <v>1</v>
      </c>
    </row>
    <row r="156" spans="1:24" ht="15" hidden="1">
      <c r="A156" s="624">
        <f t="shared" si="18"/>
        <v>141</v>
      </c>
      <c r="B156" s="621">
        <f>'Rep Schedule - Advanced'!E147</f>
        <v>44634</v>
      </c>
      <c r="C156" s="769">
        <f>'Rep Schedule - Advanced'!G147</f>
        <v>0</v>
      </c>
      <c r="D156" s="770">
        <f>'Rep Schedule - Advanced'!H147</f>
        <v>0</v>
      </c>
      <c r="E156" s="644">
        <f>'Rep Schedule - Advanced'!J147</f>
        <v>0</v>
      </c>
      <c r="F156" s="771">
        <f>'Rep Schedule - Advanced'!K147</f>
        <v>0</v>
      </c>
      <c r="G156" s="770">
        <f>'Rep Schedule - Advanced'!N147</f>
        <v>0</v>
      </c>
      <c r="H156" s="772">
        <f>'Rep Schedule - Advanced'!R147</f>
        <v>0</v>
      </c>
      <c r="I156" s="773">
        <f>'Rep Schedule - Advanced'!U147</f>
        <v>0</v>
      </c>
      <c r="J156" s="774">
        <f>'Rep Schedule - Advanced'!X147</f>
        <v>0</v>
      </c>
      <c r="K156" s="774">
        <f>'Rep Schedule - Advanced'!Y147</f>
        <v>0</v>
      </c>
      <c r="L156" s="774">
        <f>'Rep Schedule - Advanced'!Z147</f>
        <v>0</v>
      </c>
      <c r="M156" s="775">
        <f>'Rep Schedule - Advanced'!AB147</f>
        <v>0</v>
      </c>
      <c r="N156" s="701">
        <f t="shared" si="15"/>
        <v>0</v>
      </c>
      <c r="O156" s="789" t="str">
        <f t="shared" si="16"/>
        <v>Annuity 141</v>
      </c>
      <c r="R156" s="607">
        <f t="shared" si="19"/>
        <v>0</v>
      </c>
      <c r="T156" s="622">
        <f t="shared" si="13"/>
        <v>0</v>
      </c>
      <c r="U156" s="623">
        <f t="shared" si="14"/>
        <v>0</v>
      </c>
      <c r="X156" s="715" t="b">
        <f>'Rep Schedule - Advanced'!AN147</f>
        <v>1</v>
      </c>
    </row>
    <row r="157" spans="1:24" ht="15" hidden="1">
      <c r="A157" s="624">
        <f t="shared" si="18"/>
        <v>142</v>
      </c>
      <c r="B157" s="621">
        <f>'Rep Schedule - Advanced'!E148</f>
        <v>44665</v>
      </c>
      <c r="C157" s="769">
        <f>'Rep Schedule - Advanced'!G148</f>
        <v>0</v>
      </c>
      <c r="D157" s="770">
        <f>'Rep Schedule - Advanced'!H148</f>
        <v>0</v>
      </c>
      <c r="E157" s="644">
        <f>'Rep Schedule - Advanced'!J148</f>
        <v>0</v>
      </c>
      <c r="F157" s="771">
        <f>'Rep Schedule - Advanced'!K148</f>
        <v>0</v>
      </c>
      <c r="G157" s="770">
        <f>'Rep Schedule - Advanced'!N148</f>
        <v>0</v>
      </c>
      <c r="H157" s="772">
        <f>'Rep Schedule - Advanced'!R148</f>
        <v>0</v>
      </c>
      <c r="I157" s="773">
        <f>'Rep Schedule - Advanced'!U148</f>
        <v>0</v>
      </c>
      <c r="J157" s="774">
        <f>'Rep Schedule - Advanced'!X148</f>
        <v>0</v>
      </c>
      <c r="K157" s="774">
        <f>'Rep Schedule - Advanced'!Y148</f>
        <v>0</v>
      </c>
      <c r="L157" s="774">
        <f>'Rep Schedule - Advanced'!Z148</f>
        <v>0</v>
      </c>
      <c r="M157" s="775">
        <f>'Rep Schedule - Advanced'!AB148</f>
        <v>0</v>
      </c>
      <c r="N157" s="701">
        <f t="shared" si="15"/>
        <v>0</v>
      </c>
      <c r="O157" s="789" t="str">
        <f t="shared" si="16"/>
        <v>Annuity 142</v>
      </c>
      <c r="R157" s="607">
        <f t="shared" si="19"/>
        <v>0</v>
      </c>
      <c r="T157" s="622">
        <f t="shared" si="13"/>
        <v>0</v>
      </c>
      <c r="U157" s="623">
        <f t="shared" si="14"/>
        <v>0</v>
      </c>
      <c r="X157" s="715" t="b">
        <f>'Rep Schedule - Advanced'!AN148</f>
        <v>1</v>
      </c>
    </row>
    <row r="158" spans="1:24" ht="15" hidden="1">
      <c r="A158" s="624">
        <f t="shared" si="18"/>
        <v>143</v>
      </c>
      <c r="B158" s="621">
        <f>'Rep Schedule - Advanced'!E149</f>
        <v>44695</v>
      </c>
      <c r="C158" s="769">
        <f>'Rep Schedule - Advanced'!G149</f>
        <v>0</v>
      </c>
      <c r="D158" s="770">
        <f>'Rep Schedule - Advanced'!H149</f>
        <v>0</v>
      </c>
      <c r="E158" s="644">
        <f>'Rep Schedule - Advanced'!J149</f>
        <v>0</v>
      </c>
      <c r="F158" s="771">
        <f>'Rep Schedule - Advanced'!K149</f>
        <v>0</v>
      </c>
      <c r="G158" s="770">
        <f>'Rep Schedule - Advanced'!N149</f>
        <v>0</v>
      </c>
      <c r="H158" s="772">
        <f>'Rep Schedule - Advanced'!R149</f>
        <v>0</v>
      </c>
      <c r="I158" s="773">
        <f>'Rep Schedule - Advanced'!U149</f>
        <v>0</v>
      </c>
      <c r="J158" s="774">
        <f>'Rep Schedule - Advanced'!X149</f>
        <v>0</v>
      </c>
      <c r="K158" s="774">
        <f>'Rep Schedule - Advanced'!Y149</f>
        <v>0</v>
      </c>
      <c r="L158" s="774">
        <f>'Rep Schedule - Advanced'!Z149</f>
        <v>0</v>
      </c>
      <c r="M158" s="775">
        <f>'Rep Schedule - Advanced'!AB149</f>
        <v>0</v>
      </c>
      <c r="N158" s="701">
        <f t="shared" si="15"/>
        <v>0</v>
      </c>
      <c r="O158" s="789" t="str">
        <f t="shared" si="16"/>
        <v>Annuity 143</v>
      </c>
      <c r="R158" s="607">
        <f t="shared" si="19"/>
        <v>0</v>
      </c>
      <c r="T158" s="622">
        <f t="shared" si="13"/>
        <v>0</v>
      </c>
      <c r="U158" s="623">
        <f t="shared" si="14"/>
        <v>0</v>
      </c>
      <c r="X158" s="715" t="b">
        <f>'Rep Schedule - Advanced'!AN149</f>
        <v>1</v>
      </c>
    </row>
    <row r="159" spans="1:24" ht="15" hidden="1">
      <c r="A159" s="624">
        <f t="shared" si="18"/>
        <v>144</v>
      </c>
      <c r="B159" s="621">
        <f>'Rep Schedule - Advanced'!E150</f>
        <v>44726</v>
      </c>
      <c r="C159" s="769">
        <f>'Rep Schedule - Advanced'!G150</f>
        <v>0</v>
      </c>
      <c r="D159" s="770">
        <f>'Rep Schedule - Advanced'!H150</f>
        <v>0</v>
      </c>
      <c r="E159" s="644">
        <f>'Rep Schedule - Advanced'!J150</f>
        <v>0</v>
      </c>
      <c r="F159" s="771">
        <f>'Rep Schedule - Advanced'!K150</f>
        <v>0</v>
      </c>
      <c r="G159" s="770">
        <f>'Rep Schedule - Advanced'!N150</f>
        <v>0</v>
      </c>
      <c r="H159" s="772">
        <f>'Rep Schedule - Advanced'!R150</f>
        <v>0</v>
      </c>
      <c r="I159" s="773">
        <f>'Rep Schedule - Advanced'!U150</f>
        <v>0</v>
      </c>
      <c r="J159" s="774">
        <f>'Rep Schedule - Advanced'!X150</f>
        <v>0</v>
      </c>
      <c r="K159" s="774">
        <f>'Rep Schedule - Advanced'!Y150</f>
        <v>0</v>
      </c>
      <c r="L159" s="774">
        <f>'Rep Schedule - Advanced'!Z150</f>
        <v>0</v>
      </c>
      <c r="M159" s="775">
        <f>'Rep Schedule - Advanced'!AB150</f>
        <v>0</v>
      </c>
      <c r="N159" s="701">
        <f t="shared" si="15"/>
        <v>0</v>
      </c>
      <c r="O159" s="789" t="str">
        <f t="shared" si="16"/>
        <v>Annuity 144</v>
      </c>
      <c r="R159" s="607">
        <f t="shared" si="19"/>
        <v>0</v>
      </c>
      <c r="T159" s="622">
        <f t="shared" si="13"/>
        <v>0</v>
      </c>
      <c r="U159" s="623">
        <f t="shared" si="14"/>
        <v>0</v>
      </c>
      <c r="X159" s="715" t="b">
        <f>'Rep Schedule - Advanced'!AN150</f>
        <v>1</v>
      </c>
    </row>
    <row r="160" spans="1:24" ht="15" hidden="1">
      <c r="A160" s="624">
        <f t="shared" si="18"/>
        <v>145</v>
      </c>
      <c r="B160" s="621">
        <f>'Rep Schedule - Advanced'!E151</f>
        <v>44756</v>
      </c>
      <c r="C160" s="769">
        <f>'Rep Schedule - Advanced'!G151</f>
        <v>0</v>
      </c>
      <c r="D160" s="770">
        <f>'Rep Schedule - Advanced'!H151</f>
        <v>0</v>
      </c>
      <c r="E160" s="644">
        <f>'Rep Schedule - Advanced'!J151</f>
        <v>0</v>
      </c>
      <c r="F160" s="771">
        <f>'Rep Schedule - Advanced'!K151</f>
        <v>0</v>
      </c>
      <c r="G160" s="770">
        <f>'Rep Schedule - Advanced'!N151</f>
        <v>0</v>
      </c>
      <c r="H160" s="772">
        <f>'Rep Schedule - Advanced'!R151</f>
        <v>0</v>
      </c>
      <c r="I160" s="773">
        <f>'Rep Schedule - Advanced'!U151</f>
        <v>0</v>
      </c>
      <c r="J160" s="774">
        <f>'Rep Schedule - Advanced'!X151</f>
        <v>0</v>
      </c>
      <c r="K160" s="774">
        <f>'Rep Schedule - Advanced'!Y151</f>
        <v>0</v>
      </c>
      <c r="L160" s="774">
        <f>'Rep Schedule - Advanced'!Z151</f>
        <v>0</v>
      </c>
      <c r="M160" s="775">
        <f>'Rep Schedule - Advanced'!AB151</f>
        <v>0</v>
      </c>
      <c r="N160" s="701">
        <f t="shared" si="15"/>
        <v>0</v>
      </c>
      <c r="O160" s="789" t="str">
        <f t="shared" si="16"/>
        <v>Annuity 145</v>
      </c>
      <c r="R160" s="607">
        <f t="shared" si="19"/>
        <v>0</v>
      </c>
      <c r="T160" s="622">
        <f t="shared" si="13"/>
        <v>0</v>
      </c>
      <c r="U160" s="623">
        <f t="shared" si="14"/>
        <v>0</v>
      </c>
      <c r="X160" s="715" t="b">
        <f>'Rep Schedule - Advanced'!AN151</f>
        <v>1</v>
      </c>
    </row>
    <row r="161" spans="1:24" ht="15" hidden="1">
      <c r="A161" s="624">
        <f t="shared" si="18"/>
        <v>146</v>
      </c>
      <c r="B161" s="621">
        <f>'Rep Schedule - Advanced'!E152</f>
        <v>44787</v>
      </c>
      <c r="C161" s="769">
        <f>'Rep Schedule - Advanced'!G152</f>
        <v>0</v>
      </c>
      <c r="D161" s="770">
        <f>'Rep Schedule - Advanced'!H152</f>
        <v>0</v>
      </c>
      <c r="E161" s="644">
        <f>'Rep Schedule - Advanced'!J152</f>
        <v>0</v>
      </c>
      <c r="F161" s="771">
        <f>'Rep Schedule - Advanced'!K152</f>
        <v>0</v>
      </c>
      <c r="G161" s="770">
        <f>'Rep Schedule - Advanced'!N152</f>
        <v>0</v>
      </c>
      <c r="H161" s="772">
        <f>'Rep Schedule - Advanced'!R152</f>
        <v>0</v>
      </c>
      <c r="I161" s="773">
        <f>'Rep Schedule - Advanced'!U152</f>
        <v>0</v>
      </c>
      <c r="J161" s="774">
        <f>'Rep Schedule - Advanced'!X152</f>
        <v>0</v>
      </c>
      <c r="K161" s="774">
        <f>'Rep Schedule - Advanced'!Y152</f>
        <v>0</v>
      </c>
      <c r="L161" s="774">
        <f>'Rep Schedule - Advanced'!Z152</f>
        <v>0</v>
      </c>
      <c r="M161" s="775">
        <f>'Rep Schedule - Advanced'!AB152</f>
        <v>0</v>
      </c>
      <c r="N161" s="701">
        <f t="shared" si="15"/>
        <v>0</v>
      </c>
      <c r="O161" s="789" t="str">
        <f t="shared" si="16"/>
        <v>Annuity 146</v>
      </c>
      <c r="R161" s="607">
        <f t="shared" si="19"/>
        <v>0</v>
      </c>
      <c r="T161" s="622">
        <f t="shared" si="13"/>
        <v>0</v>
      </c>
      <c r="U161" s="623">
        <f t="shared" si="14"/>
        <v>0</v>
      </c>
      <c r="X161" s="715" t="b">
        <f>'Rep Schedule - Advanced'!AN152</f>
        <v>1</v>
      </c>
    </row>
    <row r="162" spans="1:24" ht="15" hidden="1">
      <c r="A162" s="624">
        <f t="shared" si="18"/>
        <v>147</v>
      </c>
      <c r="B162" s="621">
        <f>'Rep Schedule - Advanced'!E153</f>
        <v>44818</v>
      </c>
      <c r="C162" s="769">
        <f>'Rep Schedule - Advanced'!G153</f>
        <v>0</v>
      </c>
      <c r="D162" s="770">
        <f>'Rep Schedule - Advanced'!H153</f>
        <v>0</v>
      </c>
      <c r="E162" s="644">
        <f>'Rep Schedule - Advanced'!J153</f>
        <v>0</v>
      </c>
      <c r="F162" s="771">
        <f>'Rep Schedule - Advanced'!K153</f>
        <v>0</v>
      </c>
      <c r="G162" s="770">
        <f>'Rep Schedule - Advanced'!N153</f>
        <v>0</v>
      </c>
      <c r="H162" s="772">
        <f>'Rep Schedule - Advanced'!R153</f>
        <v>0</v>
      </c>
      <c r="I162" s="773">
        <f>'Rep Schedule - Advanced'!U153</f>
        <v>0</v>
      </c>
      <c r="J162" s="774">
        <f>'Rep Schedule - Advanced'!X153</f>
        <v>0</v>
      </c>
      <c r="K162" s="774">
        <f>'Rep Schedule - Advanced'!Y153</f>
        <v>0</v>
      </c>
      <c r="L162" s="774">
        <f>'Rep Schedule - Advanced'!Z153</f>
        <v>0</v>
      </c>
      <c r="M162" s="775">
        <f>'Rep Schedule - Advanced'!AB153</f>
        <v>0</v>
      </c>
      <c r="N162" s="701">
        <f t="shared" si="15"/>
        <v>0</v>
      </c>
      <c r="O162" s="789" t="str">
        <f t="shared" si="16"/>
        <v>Annuity 147</v>
      </c>
      <c r="R162" s="607">
        <f t="shared" si="19"/>
        <v>0</v>
      </c>
      <c r="T162" s="622">
        <f t="shared" si="13"/>
        <v>0</v>
      </c>
      <c r="U162" s="623">
        <f t="shared" si="14"/>
        <v>0</v>
      </c>
      <c r="X162" s="715" t="b">
        <f>'Rep Schedule - Advanced'!AN153</f>
        <v>1</v>
      </c>
    </row>
    <row r="163" spans="1:24" ht="15" hidden="1">
      <c r="A163" s="624">
        <f t="shared" si="18"/>
        <v>148</v>
      </c>
      <c r="B163" s="621">
        <f>'Rep Schedule - Advanced'!E154</f>
        <v>44848</v>
      </c>
      <c r="C163" s="769">
        <f>'Rep Schedule - Advanced'!G154</f>
        <v>0</v>
      </c>
      <c r="D163" s="770">
        <f>'Rep Schedule - Advanced'!H154</f>
        <v>0</v>
      </c>
      <c r="E163" s="644">
        <f>'Rep Schedule - Advanced'!J154</f>
        <v>0</v>
      </c>
      <c r="F163" s="771">
        <f>'Rep Schedule - Advanced'!K154</f>
        <v>0</v>
      </c>
      <c r="G163" s="770">
        <f>'Rep Schedule - Advanced'!N154</f>
        <v>0</v>
      </c>
      <c r="H163" s="772">
        <f>'Rep Schedule - Advanced'!R154</f>
        <v>0</v>
      </c>
      <c r="I163" s="773">
        <f>'Rep Schedule - Advanced'!U154</f>
        <v>0</v>
      </c>
      <c r="J163" s="774">
        <f>'Rep Schedule - Advanced'!X154</f>
        <v>0</v>
      </c>
      <c r="K163" s="774">
        <f>'Rep Schedule - Advanced'!Y154</f>
        <v>0</v>
      </c>
      <c r="L163" s="774">
        <f>'Rep Schedule - Advanced'!Z154</f>
        <v>0</v>
      </c>
      <c r="M163" s="775">
        <f>'Rep Schedule - Advanced'!AB154</f>
        <v>0</v>
      </c>
      <c r="N163" s="701">
        <f t="shared" si="15"/>
        <v>0</v>
      </c>
      <c r="O163" s="789" t="str">
        <f t="shared" si="16"/>
        <v>Annuity 148</v>
      </c>
      <c r="R163" s="607">
        <f t="shared" si="19"/>
        <v>0</v>
      </c>
      <c r="T163" s="622">
        <f t="shared" si="13"/>
        <v>0</v>
      </c>
      <c r="U163" s="623">
        <f t="shared" si="14"/>
        <v>0</v>
      </c>
      <c r="X163" s="715" t="b">
        <f>'Rep Schedule - Advanced'!AN154</f>
        <v>1</v>
      </c>
    </row>
    <row r="164" spans="1:24" ht="15" hidden="1">
      <c r="A164" s="624">
        <f t="shared" si="18"/>
        <v>149</v>
      </c>
      <c r="B164" s="621">
        <f>'Rep Schedule - Advanced'!E155</f>
        <v>44879</v>
      </c>
      <c r="C164" s="769">
        <f>'Rep Schedule - Advanced'!G155</f>
        <v>0</v>
      </c>
      <c r="D164" s="770">
        <f>'Rep Schedule - Advanced'!H155</f>
        <v>0</v>
      </c>
      <c r="E164" s="644">
        <f>'Rep Schedule - Advanced'!J155</f>
        <v>0</v>
      </c>
      <c r="F164" s="771">
        <f>'Rep Schedule - Advanced'!K155</f>
        <v>0</v>
      </c>
      <c r="G164" s="770">
        <f>'Rep Schedule - Advanced'!N155</f>
        <v>0</v>
      </c>
      <c r="H164" s="772">
        <f>'Rep Schedule - Advanced'!R155</f>
        <v>0</v>
      </c>
      <c r="I164" s="773">
        <f>'Rep Schedule - Advanced'!U155</f>
        <v>0</v>
      </c>
      <c r="J164" s="774">
        <f>'Rep Schedule - Advanced'!X155</f>
        <v>0</v>
      </c>
      <c r="K164" s="774">
        <f>'Rep Schedule - Advanced'!Y155</f>
        <v>0</v>
      </c>
      <c r="L164" s="774">
        <f>'Rep Schedule - Advanced'!Z155</f>
        <v>0</v>
      </c>
      <c r="M164" s="775">
        <f>'Rep Schedule - Advanced'!AB155</f>
        <v>0</v>
      </c>
      <c r="N164" s="701">
        <f t="shared" si="15"/>
        <v>0</v>
      </c>
      <c r="O164" s="789" t="str">
        <f t="shared" si="16"/>
        <v>Annuity 149</v>
      </c>
      <c r="R164" s="607">
        <f t="shared" si="19"/>
        <v>0</v>
      </c>
      <c r="T164" s="622">
        <f t="shared" si="13"/>
        <v>0</v>
      </c>
      <c r="U164" s="623">
        <f t="shared" si="14"/>
        <v>0</v>
      </c>
      <c r="X164" s="715" t="b">
        <f>'Rep Schedule - Advanced'!AN155</f>
        <v>1</v>
      </c>
    </row>
    <row r="165" spans="1:24" ht="15" hidden="1">
      <c r="A165" s="624">
        <f t="shared" si="18"/>
        <v>150</v>
      </c>
      <c r="B165" s="621">
        <f>'Rep Schedule - Advanced'!E156</f>
        <v>44909</v>
      </c>
      <c r="C165" s="769">
        <f>'Rep Schedule - Advanced'!G156</f>
        <v>0</v>
      </c>
      <c r="D165" s="770">
        <f>'Rep Schedule - Advanced'!H156</f>
        <v>0</v>
      </c>
      <c r="E165" s="644">
        <f>'Rep Schedule - Advanced'!J156</f>
        <v>0</v>
      </c>
      <c r="F165" s="771">
        <f>'Rep Schedule - Advanced'!K156</f>
        <v>0</v>
      </c>
      <c r="G165" s="770">
        <f>'Rep Schedule - Advanced'!N156</f>
        <v>0</v>
      </c>
      <c r="H165" s="772">
        <f>'Rep Schedule - Advanced'!R156</f>
        <v>0</v>
      </c>
      <c r="I165" s="773">
        <f>'Rep Schedule - Advanced'!U156</f>
        <v>0</v>
      </c>
      <c r="J165" s="774">
        <f>'Rep Schedule - Advanced'!X156</f>
        <v>0</v>
      </c>
      <c r="K165" s="774">
        <f>'Rep Schedule - Advanced'!Y156</f>
        <v>0</v>
      </c>
      <c r="L165" s="774">
        <f>'Rep Schedule - Advanced'!Z156</f>
        <v>0</v>
      </c>
      <c r="M165" s="775">
        <f>'Rep Schedule - Advanced'!AB156</f>
        <v>0</v>
      </c>
      <c r="N165" s="701">
        <f t="shared" si="15"/>
        <v>0</v>
      </c>
      <c r="O165" s="789" t="str">
        <f t="shared" si="16"/>
        <v>Annuity 150</v>
      </c>
      <c r="R165" s="607">
        <f t="shared" si="19"/>
        <v>0</v>
      </c>
      <c r="T165" s="622">
        <f t="shared" si="13"/>
        <v>0</v>
      </c>
      <c r="U165" s="623">
        <f t="shared" si="14"/>
        <v>0</v>
      </c>
      <c r="X165" s="715" t="b">
        <f>'Rep Schedule - Advanced'!AN156</f>
        <v>1</v>
      </c>
    </row>
    <row r="166" spans="1:24" ht="15" hidden="1">
      <c r="A166" s="624">
        <f t="shared" si="18"/>
        <v>151</v>
      </c>
      <c r="B166" s="621">
        <f>'Rep Schedule - Advanced'!E157</f>
        <v>44940</v>
      </c>
      <c r="C166" s="769">
        <f>'Rep Schedule - Advanced'!G157</f>
        <v>0</v>
      </c>
      <c r="D166" s="770">
        <f>'Rep Schedule - Advanced'!H157</f>
        <v>0</v>
      </c>
      <c r="E166" s="644">
        <f>'Rep Schedule - Advanced'!J157</f>
        <v>0</v>
      </c>
      <c r="F166" s="771">
        <f>'Rep Schedule - Advanced'!K157</f>
        <v>0</v>
      </c>
      <c r="G166" s="770">
        <f>'Rep Schedule - Advanced'!N157</f>
        <v>0</v>
      </c>
      <c r="H166" s="772">
        <f>'Rep Schedule - Advanced'!R157</f>
        <v>0</v>
      </c>
      <c r="I166" s="773">
        <f>'Rep Schedule - Advanced'!U157</f>
        <v>0</v>
      </c>
      <c r="J166" s="774">
        <f>'Rep Schedule - Advanced'!X157</f>
        <v>0</v>
      </c>
      <c r="K166" s="774">
        <f>'Rep Schedule - Advanced'!Y157</f>
        <v>0</v>
      </c>
      <c r="L166" s="774">
        <f>'Rep Schedule - Advanced'!Z157</f>
        <v>0</v>
      </c>
      <c r="M166" s="775">
        <f>'Rep Schedule - Advanced'!AB157</f>
        <v>0</v>
      </c>
      <c r="N166" s="701">
        <f t="shared" si="15"/>
        <v>0</v>
      </c>
      <c r="O166" s="789" t="str">
        <f t="shared" si="16"/>
        <v>Annuity 151</v>
      </c>
      <c r="R166" s="607">
        <f t="shared" si="19"/>
        <v>0</v>
      </c>
      <c r="T166" s="622">
        <f t="shared" si="13"/>
        <v>0</v>
      </c>
      <c r="U166" s="623">
        <f t="shared" si="14"/>
        <v>0</v>
      </c>
      <c r="X166" s="715" t="b">
        <f>'Rep Schedule - Advanced'!AN157</f>
        <v>1</v>
      </c>
    </row>
    <row r="167" spans="1:24" ht="15" hidden="1">
      <c r="A167" s="624">
        <f t="shared" si="18"/>
        <v>152</v>
      </c>
      <c r="B167" s="621">
        <f>'Rep Schedule - Advanced'!E158</f>
        <v>44971</v>
      </c>
      <c r="C167" s="769">
        <f>'Rep Schedule - Advanced'!G158</f>
        <v>0</v>
      </c>
      <c r="D167" s="770">
        <f>'Rep Schedule - Advanced'!H158</f>
        <v>0</v>
      </c>
      <c r="E167" s="644">
        <f>'Rep Schedule - Advanced'!J158</f>
        <v>0</v>
      </c>
      <c r="F167" s="771">
        <f>'Rep Schedule - Advanced'!K158</f>
        <v>0</v>
      </c>
      <c r="G167" s="770">
        <f>'Rep Schedule - Advanced'!N158</f>
        <v>0</v>
      </c>
      <c r="H167" s="772">
        <f>'Rep Schedule - Advanced'!R158</f>
        <v>0</v>
      </c>
      <c r="I167" s="773">
        <f>'Rep Schedule - Advanced'!U158</f>
        <v>0</v>
      </c>
      <c r="J167" s="774">
        <f>'Rep Schedule - Advanced'!X158</f>
        <v>0</v>
      </c>
      <c r="K167" s="774">
        <f>'Rep Schedule - Advanced'!Y158</f>
        <v>0</v>
      </c>
      <c r="L167" s="774">
        <f>'Rep Schedule - Advanced'!Z158</f>
        <v>0</v>
      </c>
      <c r="M167" s="775">
        <f>'Rep Schedule - Advanced'!AB158</f>
        <v>0</v>
      </c>
      <c r="N167" s="701">
        <f t="shared" si="15"/>
        <v>0</v>
      </c>
      <c r="O167" s="789" t="str">
        <f t="shared" si="16"/>
        <v>Annuity 152</v>
      </c>
      <c r="R167" s="607">
        <f t="shared" si="19"/>
        <v>0</v>
      </c>
      <c r="T167" s="622">
        <f t="shared" si="13"/>
        <v>0</v>
      </c>
      <c r="U167" s="623">
        <f t="shared" si="14"/>
        <v>0</v>
      </c>
      <c r="X167" s="715" t="b">
        <f>'Rep Schedule - Advanced'!AN158</f>
        <v>1</v>
      </c>
    </row>
    <row r="168" spans="1:24" ht="15" hidden="1">
      <c r="A168" s="624">
        <f t="shared" si="18"/>
        <v>153</v>
      </c>
      <c r="B168" s="621">
        <f>'Rep Schedule - Advanced'!E159</f>
        <v>44999</v>
      </c>
      <c r="C168" s="769">
        <f>'Rep Schedule - Advanced'!G159</f>
        <v>0</v>
      </c>
      <c r="D168" s="770">
        <f>'Rep Schedule - Advanced'!H159</f>
        <v>0</v>
      </c>
      <c r="E168" s="644">
        <f>'Rep Schedule - Advanced'!J159</f>
        <v>0</v>
      </c>
      <c r="F168" s="771">
        <f>'Rep Schedule - Advanced'!K159</f>
        <v>0</v>
      </c>
      <c r="G168" s="770">
        <f>'Rep Schedule - Advanced'!N159</f>
        <v>0</v>
      </c>
      <c r="H168" s="772">
        <f>'Rep Schedule - Advanced'!R159</f>
        <v>0</v>
      </c>
      <c r="I168" s="773">
        <f>'Rep Schedule - Advanced'!U159</f>
        <v>0</v>
      </c>
      <c r="J168" s="774">
        <f>'Rep Schedule - Advanced'!X159</f>
        <v>0</v>
      </c>
      <c r="K168" s="774">
        <f>'Rep Schedule - Advanced'!Y159</f>
        <v>0</v>
      </c>
      <c r="L168" s="774">
        <f>'Rep Schedule - Advanced'!Z159</f>
        <v>0</v>
      </c>
      <c r="M168" s="775">
        <f>'Rep Schedule - Advanced'!AB159</f>
        <v>0</v>
      </c>
      <c r="N168" s="701">
        <f t="shared" si="15"/>
        <v>0</v>
      </c>
      <c r="O168" s="789" t="str">
        <f t="shared" si="16"/>
        <v>Annuity 153</v>
      </c>
      <c r="R168" s="607">
        <f t="shared" si="19"/>
        <v>0</v>
      </c>
      <c r="T168" s="622">
        <f t="shared" si="13"/>
        <v>0</v>
      </c>
      <c r="U168" s="623">
        <f t="shared" si="14"/>
        <v>0</v>
      </c>
      <c r="X168" s="715" t="b">
        <f>'Rep Schedule - Advanced'!AN159</f>
        <v>1</v>
      </c>
    </row>
    <row r="169" spans="1:24" ht="15" hidden="1">
      <c r="A169" s="624">
        <f t="shared" si="18"/>
        <v>154</v>
      </c>
      <c r="B169" s="621">
        <f>'Rep Schedule - Advanced'!E160</f>
        <v>45030</v>
      </c>
      <c r="C169" s="769">
        <f>'Rep Schedule - Advanced'!G160</f>
        <v>0</v>
      </c>
      <c r="D169" s="770">
        <f>'Rep Schedule - Advanced'!H160</f>
        <v>0</v>
      </c>
      <c r="E169" s="644">
        <f>'Rep Schedule - Advanced'!J160</f>
        <v>0</v>
      </c>
      <c r="F169" s="771">
        <f>'Rep Schedule - Advanced'!K160</f>
        <v>0</v>
      </c>
      <c r="G169" s="770">
        <f>'Rep Schedule - Advanced'!N160</f>
        <v>0</v>
      </c>
      <c r="H169" s="772">
        <f>'Rep Schedule - Advanced'!R160</f>
        <v>0</v>
      </c>
      <c r="I169" s="773">
        <f>'Rep Schedule - Advanced'!U160</f>
        <v>0</v>
      </c>
      <c r="J169" s="774">
        <f>'Rep Schedule - Advanced'!X160</f>
        <v>0</v>
      </c>
      <c r="K169" s="774">
        <f>'Rep Schedule - Advanced'!Y160</f>
        <v>0</v>
      </c>
      <c r="L169" s="774">
        <f>'Rep Schedule - Advanced'!Z160</f>
        <v>0</v>
      </c>
      <c r="M169" s="775">
        <f>'Rep Schedule - Advanced'!AB160</f>
        <v>0</v>
      </c>
      <c r="N169" s="701">
        <f t="shared" si="15"/>
        <v>0</v>
      </c>
      <c r="O169" s="789" t="str">
        <f t="shared" si="16"/>
        <v>Annuity 154</v>
      </c>
      <c r="R169" s="607">
        <f t="shared" si="19"/>
        <v>0</v>
      </c>
      <c r="T169" s="622">
        <f t="shared" si="13"/>
        <v>0</v>
      </c>
      <c r="U169" s="623">
        <f t="shared" si="14"/>
        <v>0</v>
      </c>
      <c r="X169" s="715" t="b">
        <f>'Rep Schedule - Advanced'!AN160</f>
        <v>1</v>
      </c>
    </row>
    <row r="170" spans="1:24" ht="15" hidden="1">
      <c r="A170" s="624">
        <f t="shared" si="18"/>
        <v>155</v>
      </c>
      <c r="B170" s="621">
        <f>'Rep Schedule - Advanced'!E161</f>
        <v>45060</v>
      </c>
      <c r="C170" s="769">
        <f>'Rep Schedule - Advanced'!G161</f>
        <v>0</v>
      </c>
      <c r="D170" s="770">
        <f>'Rep Schedule - Advanced'!H161</f>
        <v>0</v>
      </c>
      <c r="E170" s="644">
        <f>'Rep Schedule - Advanced'!J161</f>
        <v>0</v>
      </c>
      <c r="F170" s="771">
        <f>'Rep Schedule - Advanced'!K161</f>
        <v>0</v>
      </c>
      <c r="G170" s="770">
        <f>'Rep Schedule - Advanced'!N161</f>
        <v>0</v>
      </c>
      <c r="H170" s="772">
        <f>'Rep Schedule - Advanced'!R161</f>
        <v>0</v>
      </c>
      <c r="I170" s="773">
        <f>'Rep Schedule - Advanced'!U161</f>
        <v>0</v>
      </c>
      <c r="J170" s="774">
        <f>'Rep Schedule - Advanced'!X161</f>
        <v>0</v>
      </c>
      <c r="K170" s="774">
        <f>'Rep Schedule - Advanced'!Y161</f>
        <v>0</v>
      </c>
      <c r="L170" s="774">
        <f>'Rep Schedule - Advanced'!Z161</f>
        <v>0</v>
      </c>
      <c r="M170" s="775">
        <f>'Rep Schedule - Advanced'!AB161</f>
        <v>0</v>
      </c>
      <c r="N170" s="701">
        <f t="shared" si="15"/>
        <v>0</v>
      </c>
      <c r="O170" s="789" t="str">
        <f t="shared" si="16"/>
        <v>Annuity 155</v>
      </c>
      <c r="R170" s="607">
        <f t="shared" si="19"/>
        <v>0</v>
      </c>
      <c r="T170" s="622">
        <f t="shared" si="13"/>
        <v>0</v>
      </c>
      <c r="U170" s="623">
        <f t="shared" si="14"/>
        <v>0</v>
      </c>
      <c r="X170" s="715" t="b">
        <f>'Rep Schedule - Advanced'!AN161</f>
        <v>1</v>
      </c>
    </row>
    <row r="171" spans="1:24" ht="15" hidden="1">
      <c r="A171" s="624">
        <f t="shared" si="18"/>
        <v>156</v>
      </c>
      <c r="B171" s="621">
        <f>'Rep Schedule - Advanced'!E162</f>
        <v>45091</v>
      </c>
      <c r="C171" s="769">
        <f>'Rep Schedule - Advanced'!G162</f>
        <v>0</v>
      </c>
      <c r="D171" s="770">
        <f>'Rep Schedule - Advanced'!H162</f>
        <v>0</v>
      </c>
      <c r="E171" s="644">
        <f>'Rep Schedule - Advanced'!J162</f>
        <v>0</v>
      </c>
      <c r="F171" s="771">
        <f>'Rep Schedule - Advanced'!K162</f>
        <v>0</v>
      </c>
      <c r="G171" s="770">
        <f>'Rep Schedule - Advanced'!N162</f>
        <v>0</v>
      </c>
      <c r="H171" s="772">
        <f>'Rep Schedule - Advanced'!R162</f>
        <v>0</v>
      </c>
      <c r="I171" s="773">
        <f>'Rep Schedule - Advanced'!U162</f>
        <v>0</v>
      </c>
      <c r="J171" s="774">
        <f>'Rep Schedule - Advanced'!X162</f>
        <v>0</v>
      </c>
      <c r="K171" s="774">
        <f>'Rep Schedule - Advanced'!Y162</f>
        <v>0</v>
      </c>
      <c r="L171" s="774">
        <f>'Rep Schedule - Advanced'!Z162</f>
        <v>0</v>
      </c>
      <c r="M171" s="775">
        <f>'Rep Schedule - Advanced'!AB162</f>
        <v>0</v>
      </c>
      <c r="N171" s="701">
        <f t="shared" si="15"/>
        <v>0</v>
      </c>
      <c r="O171" s="789" t="str">
        <f t="shared" si="16"/>
        <v>Annuity 156</v>
      </c>
      <c r="R171" s="607">
        <f t="shared" si="19"/>
        <v>0</v>
      </c>
      <c r="T171" s="622">
        <f t="shared" si="13"/>
        <v>0</v>
      </c>
      <c r="U171" s="623">
        <f t="shared" si="14"/>
        <v>0</v>
      </c>
      <c r="X171" s="715" t="b">
        <f>'Rep Schedule - Advanced'!AN162</f>
        <v>1</v>
      </c>
    </row>
    <row r="172" spans="1:24" ht="15" hidden="1">
      <c r="A172" s="624">
        <f t="shared" si="18"/>
        <v>157</v>
      </c>
      <c r="B172" s="621">
        <f>'Rep Schedule - Advanced'!E163</f>
        <v>45121</v>
      </c>
      <c r="C172" s="769">
        <f>'Rep Schedule - Advanced'!G163</f>
        <v>0</v>
      </c>
      <c r="D172" s="770">
        <f>'Rep Schedule - Advanced'!H163</f>
        <v>0</v>
      </c>
      <c r="E172" s="644">
        <f>'Rep Schedule - Advanced'!J163</f>
        <v>0</v>
      </c>
      <c r="F172" s="771">
        <f>'Rep Schedule - Advanced'!K163</f>
        <v>0</v>
      </c>
      <c r="G172" s="770">
        <f>'Rep Schedule - Advanced'!N163</f>
        <v>0</v>
      </c>
      <c r="H172" s="772">
        <f>'Rep Schedule - Advanced'!R163</f>
        <v>0</v>
      </c>
      <c r="I172" s="773">
        <f>'Rep Schedule - Advanced'!U163</f>
        <v>0</v>
      </c>
      <c r="J172" s="774">
        <f>'Rep Schedule - Advanced'!X163</f>
        <v>0</v>
      </c>
      <c r="K172" s="774">
        <f>'Rep Schedule - Advanced'!Y163</f>
        <v>0</v>
      </c>
      <c r="L172" s="774">
        <f>'Rep Schedule - Advanced'!Z163</f>
        <v>0</v>
      </c>
      <c r="M172" s="775">
        <f>'Rep Schedule - Advanced'!AB163</f>
        <v>0</v>
      </c>
      <c r="N172" s="701">
        <f t="shared" si="15"/>
        <v>0</v>
      </c>
      <c r="O172" s="789" t="str">
        <f t="shared" si="16"/>
        <v>Annuity 157</v>
      </c>
      <c r="R172" s="607">
        <f t="shared" si="19"/>
        <v>0</v>
      </c>
      <c r="T172" s="622">
        <f t="shared" si="13"/>
        <v>0</v>
      </c>
      <c r="U172" s="623">
        <f t="shared" si="14"/>
        <v>0</v>
      </c>
      <c r="X172" s="715" t="b">
        <f>'Rep Schedule - Advanced'!AN163</f>
        <v>1</v>
      </c>
    </row>
    <row r="173" spans="1:24" ht="15" hidden="1">
      <c r="A173" s="624">
        <f t="shared" si="18"/>
        <v>158</v>
      </c>
      <c r="B173" s="621">
        <f>'Rep Schedule - Advanced'!E164</f>
        <v>45152</v>
      </c>
      <c r="C173" s="769">
        <f>'Rep Schedule - Advanced'!G164</f>
        <v>0</v>
      </c>
      <c r="D173" s="770">
        <f>'Rep Schedule - Advanced'!H164</f>
        <v>0</v>
      </c>
      <c r="E173" s="644">
        <f>'Rep Schedule - Advanced'!J164</f>
        <v>0</v>
      </c>
      <c r="F173" s="771">
        <f>'Rep Schedule - Advanced'!K164</f>
        <v>0</v>
      </c>
      <c r="G173" s="770">
        <f>'Rep Schedule - Advanced'!N164</f>
        <v>0</v>
      </c>
      <c r="H173" s="772">
        <f>'Rep Schedule - Advanced'!R164</f>
        <v>0</v>
      </c>
      <c r="I173" s="773">
        <f>'Rep Schedule - Advanced'!U164</f>
        <v>0</v>
      </c>
      <c r="J173" s="774">
        <f>'Rep Schedule - Advanced'!X164</f>
        <v>0</v>
      </c>
      <c r="K173" s="774">
        <f>'Rep Schedule - Advanced'!Y164</f>
        <v>0</v>
      </c>
      <c r="L173" s="774">
        <f>'Rep Schedule - Advanced'!Z164</f>
        <v>0</v>
      </c>
      <c r="M173" s="775">
        <f>'Rep Schedule - Advanced'!AB164</f>
        <v>0</v>
      </c>
      <c r="N173" s="701">
        <f t="shared" si="15"/>
        <v>0</v>
      </c>
      <c r="O173" s="789" t="str">
        <f t="shared" si="16"/>
        <v>Annuity 158</v>
      </c>
      <c r="R173" s="607">
        <f t="shared" si="19"/>
        <v>0</v>
      </c>
      <c r="T173" s="622">
        <f t="shared" si="13"/>
        <v>0</v>
      </c>
      <c r="U173" s="623">
        <f t="shared" si="14"/>
        <v>0</v>
      </c>
      <c r="X173" s="715" t="b">
        <f>'Rep Schedule - Advanced'!AN164</f>
        <v>1</v>
      </c>
    </row>
    <row r="174" spans="1:24" ht="15" hidden="1">
      <c r="A174" s="624">
        <f t="shared" si="18"/>
        <v>159</v>
      </c>
      <c r="B174" s="621">
        <f>'Rep Schedule - Advanced'!E165</f>
        <v>45183</v>
      </c>
      <c r="C174" s="769">
        <f>'Rep Schedule - Advanced'!G165</f>
        <v>0</v>
      </c>
      <c r="D174" s="770">
        <f>'Rep Schedule - Advanced'!H165</f>
        <v>0</v>
      </c>
      <c r="E174" s="644">
        <f>'Rep Schedule - Advanced'!J165</f>
        <v>0</v>
      </c>
      <c r="F174" s="771">
        <f>'Rep Schedule - Advanced'!K165</f>
        <v>0</v>
      </c>
      <c r="G174" s="770">
        <f>'Rep Schedule - Advanced'!N165</f>
        <v>0</v>
      </c>
      <c r="H174" s="772">
        <f>'Rep Schedule - Advanced'!R165</f>
        <v>0</v>
      </c>
      <c r="I174" s="773">
        <f>'Rep Schedule - Advanced'!U165</f>
        <v>0</v>
      </c>
      <c r="J174" s="774">
        <f>'Rep Schedule - Advanced'!X165</f>
        <v>0</v>
      </c>
      <c r="K174" s="774">
        <f>'Rep Schedule - Advanced'!Y165</f>
        <v>0</v>
      </c>
      <c r="L174" s="774">
        <f>'Rep Schedule - Advanced'!Z165</f>
        <v>0</v>
      </c>
      <c r="M174" s="775">
        <f>'Rep Schedule - Advanced'!AB165</f>
        <v>0</v>
      </c>
      <c r="N174" s="701">
        <f t="shared" si="15"/>
        <v>0</v>
      </c>
      <c r="O174" s="789" t="str">
        <f t="shared" si="16"/>
        <v>Annuity 159</v>
      </c>
      <c r="R174" s="607">
        <f t="shared" si="19"/>
        <v>0</v>
      </c>
      <c r="T174" s="622">
        <f t="shared" si="13"/>
        <v>0</v>
      </c>
      <c r="U174" s="623">
        <f t="shared" si="14"/>
        <v>0</v>
      </c>
      <c r="X174" s="715" t="b">
        <f>'Rep Schedule - Advanced'!AN165</f>
        <v>1</v>
      </c>
    </row>
    <row r="175" spans="1:24" ht="15" hidden="1">
      <c r="A175" s="624">
        <f t="shared" si="18"/>
        <v>160</v>
      </c>
      <c r="B175" s="621">
        <f>'Rep Schedule - Advanced'!E166</f>
        <v>45213</v>
      </c>
      <c r="C175" s="769">
        <f>'Rep Schedule - Advanced'!G166</f>
        <v>0</v>
      </c>
      <c r="D175" s="770">
        <f>'Rep Schedule - Advanced'!H166</f>
        <v>0</v>
      </c>
      <c r="E175" s="644">
        <f>'Rep Schedule - Advanced'!J166</f>
        <v>0</v>
      </c>
      <c r="F175" s="771">
        <f>'Rep Schedule - Advanced'!K166</f>
        <v>0</v>
      </c>
      <c r="G175" s="770">
        <f>'Rep Schedule - Advanced'!N166</f>
        <v>0</v>
      </c>
      <c r="H175" s="772">
        <f>'Rep Schedule - Advanced'!R166</f>
        <v>0</v>
      </c>
      <c r="I175" s="773">
        <f>'Rep Schedule - Advanced'!U166</f>
        <v>0</v>
      </c>
      <c r="J175" s="774">
        <f>'Rep Schedule - Advanced'!X166</f>
        <v>0</v>
      </c>
      <c r="K175" s="774">
        <f>'Rep Schedule - Advanced'!Y166</f>
        <v>0</v>
      </c>
      <c r="L175" s="774">
        <f>'Rep Schedule - Advanced'!Z166</f>
        <v>0</v>
      </c>
      <c r="M175" s="775">
        <f>'Rep Schedule - Advanced'!AB166</f>
        <v>0</v>
      </c>
      <c r="N175" s="701">
        <f t="shared" si="15"/>
        <v>0</v>
      </c>
      <c r="O175" s="789" t="str">
        <f t="shared" si="16"/>
        <v>Annuity 160</v>
      </c>
      <c r="R175" s="607">
        <f t="shared" si="19"/>
        <v>0</v>
      </c>
      <c r="T175" s="622">
        <f t="shared" si="13"/>
        <v>0</v>
      </c>
      <c r="U175" s="623">
        <f t="shared" si="14"/>
        <v>0</v>
      </c>
      <c r="X175" s="715" t="b">
        <f>'Rep Schedule - Advanced'!AN166</f>
        <v>1</v>
      </c>
    </row>
    <row r="176" spans="1:24" ht="15" hidden="1">
      <c r="A176" s="624">
        <f t="shared" si="18"/>
        <v>161</v>
      </c>
      <c r="B176" s="621">
        <f>'Rep Schedule - Advanced'!E167</f>
        <v>45244</v>
      </c>
      <c r="C176" s="769">
        <f>'Rep Schedule - Advanced'!G167</f>
        <v>0</v>
      </c>
      <c r="D176" s="770">
        <f>'Rep Schedule - Advanced'!H167</f>
        <v>0</v>
      </c>
      <c r="E176" s="644">
        <f>'Rep Schedule - Advanced'!J167</f>
        <v>0</v>
      </c>
      <c r="F176" s="771">
        <f>'Rep Schedule - Advanced'!K167</f>
        <v>0</v>
      </c>
      <c r="G176" s="770">
        <f>'Rep Schedule - Advanced'!N167</f>
        <v>0</v>
      </c>
      <c r="H176" s="772">
        <f>'Rep Schedule - Advanced'!R167</f>
        <v>0</v>
      </c>
      <c r="I176" s="773">
        <f>'Rep Schedule - Advanced'!U167</f>
        <v>0</v>
      </c>
      <c r="J176" s="774">
        <f>'Rep Schedule - Advanced'!X167</f>
        <v>0</v>
      </c>
      <c r="K176" s="774">
        <f>'Rep Schedule - Advanced'!Y167</f>
        <v>0</v>
      </c>
      <c r="L176" s="774">
        <f>'Rep Schedule - Advanced'!Z167</f>
        <v>0</v>
      </c>
      <c r="M176" s="775">
        <f>'Rep Schedule - Advanced'!AB167</f>
        <v>0</v>
      </c>
      <c r="N176" s="701">
        <f t="shared" si="15"/>
        <v>0</v>
      </c>
      <c r="O176" s="789" t="str">
        <f t="shared" si="16"/>
        <v>Annuity 161</v>
      </c>
      <c r="R176" s="607">
        <f t="shared" si="19"/>
        <v>0</v>
      </c>
      <c r="T176" s="622">
        <f t="shared" si="13"/>
        <v>0</v>
      </c>
      <c r="U176" s="623">
        <f t="shared" si="14"/>
        <v>0</v>
      </c>
      <c r="X176" s="715" t="b">
        <f>'Rep Schedule - Advanced'!AN167</f>
        <v>1</v>
      </c>
    </row>
    <row r="177" spans="1:24" ht="15" hidden="1">
      <c r="A177" s="624">
        <f t="shared" si="18"/>
        <v>162</v>
      </c>
      <c r="B177" s="621">
        <f>'Rep Schedule - Advanced'!E168</f>
        <v>45274</v>
      </c>
      <c r="C177" s="769">
        <f>'Rep Schedule - Advanced'!G168</f>
        <v>0</v>
      </c>
      <c r="D177" s="770">
        <f>'Rep Schedule - Advanced'!H168</f>
        <v>0</v>
      </c>
      <c r="E177" s="644">
        <f>'Rep Schedule - Advanced'!J168</f>
        <v>0</v>
      </c>
      <c r="F177" s="771">
        <f>'Rep Schedule - Advanced'!K168</f>
        <v>0</v>
      </c>
      <c r="G177" s="770">
        <f>'Rep Schedule - Advanced'!N168</f>
        <v>0</v>
      </c>
      <c r="H177" s="772">
        <f>'Rep Schedule - Advanced'!R168</f>
        <v>0</v>
      </c>
      <c r="I177" s="773">
        <f>'Rep Schedule - Advanced'!U168</f>
        <v>0</v>
      </c>
      <c r="J177" s="774">
        <f>'Rep Schedule - Advanced'!X168</f>
        <v>0</v>
      </c>
      <c r="K177" s="774">
        <f>'Rep Schedule - Advanced'!Y168</f>
        <v>0</v>
      </c>
      <c r="L177" s="774">
        <f>'Rep Schedule - Advanced'!Z168</f>
        <v>0</v>
      </c>
      <c r="M177" s="775">
        <f>'Rep Schedule - Advanced'!AB168</f>
        <v>0</v>
      </c>
      <c r="N177" s="701">
        <f t="shared" si="15"/>
        <v>0</v>
      </c>
      <c r="O177" s="789" t="str">
        <f t="shared" si="16"/>
        <v>Annuity 162</v>
      </c>
      <c r="R177" s="607">
        <f t="shared" si="19"/>
        <v>0</v>
      </c>
      <c r="T177" s="622">
        <f t="shared" si="13"/>
        <v>0</v>
      </c>
      <c r="U177" s="623">
        <f t="shared" si="14"/>
        <v>0</v>
      </c>
      <c r="X177" s="715" t="b">
        <f>'Rep Schedule - Advanced'!AN168</f>
        <v>1</v>
      </c>
    </row>
    <row r="178" spans="1:24" ht="15" hidden="1">
      <c r="A178" s="624">
        <f t="shared" si="18"/>
        <v>163</v>
      </c>
      <c r="B178" s="621">
        <f>'Rep Schedule - Advanced'!E169</f>
        <v>45305</v>
      </c>
      <c r="C178" s="769">
        <f>'Rep Schedule - Advanced'!G169</f>
        <v>0</v>
      </c>
      <c r="D178" s="770">
        <f>'Rep Schedule - Advanced'!H169</f>
        <v>0</v>
      </c>
      <c r="E178" s="644">
        <f>'Rep Schedule - Advanced'!J169</f>
        <v>0</v>
      </c>
      <c r="F178" s="771">
        <f>'Rep Schedule - Advanced'!K169</f>
        <v>0</v>
      </c>
      <c r="G178" s="770">
        <f>'Rep Schedule - Advanced'!N169</f>
        <v>0</v>
      </c>
      <c r="H178" s="772">
        <f>'Rep Schedule - Advanced'!R169</f>
        <v>0</v>
      </c>
      <c r="I178" s="773">
        <f>'Rep Schedule - Advanced'!U169</f>
        <v>0</v>
      </c>
      <c r="J178" s="774">
        <f>'Rep Schedule - Advanced'!X169</f>
        <v>0</v>
      </c>
      <c r="K178" s="774">
        <f>'Rep Schedule - Advanced'!Y169</f>
        <v>0</v>
      </c>
      <c r="L178" s="774">
        <f>'Rep Schedule - Advanced'!Z169</f>
        <v>0</v>
      </c>
      <c r="M178" s="775">
        <f>'Rep Schedule - Advanced'!AB169</f>
        <v>0</v>
      </c>
      <c r="N178" s="701">
        <f t="shared" si="15"/>
        <v>0</v>
      </c>
      <c r="O178" s="789" t="str">
        <f t="shared" si="16"/>
        <v>Annuity 163</v>
      </c>
      <c r="R178" s="607">
        <f t="shared" si="19"/>
        <v>0</v>
      </c>
      <c r="T178" s="622">
        <f t="shared" si="13"/>
        <v>0</v>
      </c>
      <c r="U178" s="623">
        <f t="shared" si="14"/>
        <v>0</v>
      </c>
      <c r="X178" s="715" t="b">
        <f>'Rep Schedule - Advanced'!AN169</f>
        <v>1</v>
      </c>
    </row>
    <row r="179" spans="1:24" ht="15" hidden="1">
      <c r="A179" s="624">
        <f t="shared" si="18"/>
        <v>164</v>
      </c>
      <c r="B179" s="621">
        <f>'Rep Schedule - Advanced'!E170</f>
        <v>45336</v>
      </c>
      <c r="C179" s="769">
        <f>'Rep Schedule - Advanced'!G170</f>
        <v>0</v>
      </c>
      <c r="D179" s="770">
        <f>'Rep Schedule - Advanced'!H170</f>
        <v>0</v>
      </c>
      <c r="E179" s="644">
        <f>'Rep Schedule - Advanced'!J170</f>
        <v>0</v>
      </c>
      <c r="F179" s="771">
        <f>'Rep Schedule - Advanced'!K170</f>
        <v>0</v>
      </c>
      <c r="G179" s="770">
        <f>'Rep Schedule - Advanced'!N170</f>
        <v>0</v>
      </c>
      <c r="H179" s="772">
        <f>'Rep Schedule - Advanced'!R170</f>
        <v>0</v>
      </c>
      <c r="I179" s="773">
        <f>'Rep Schedule - Advanced'!U170</f>
        <v>0</v>
      </c>
      <c r="J179" s="774">
        <f>'Rep Schedule - Advanced'!X170</f>
        <v>0</v>
      </c>
      <c r="K179" s="774">
        <f>'Rep Schedule - Advanced'!Y170</f>
        <v>0</v>
      </c>
      <c r="L179" s="774">
        <f>'Rep Schedule - Advanced'!Z170</f>
        <v>0</v>
      </c>
      <c r="M179" s="775">
        <f>'Rep Schedule - Advanced'!AB170</f>
        <v>0</v>
      </c>
      <c r="N179" s="701">
        <f t="shared" si="15"/>
        <v>0</v>
      </c>
      <c r="O179" s="789" t="str">
        <f t="shared" si="16"/>
        <v>Annuity 164</v>
      </c>
      <c r="R179" s="607">
        <f t="shared" si="19"/>
        <v>0</v>
      </c>
      <c r="T179" s="622">
        <f t="shared" si="13"/>
        <v>0</v>
      </c>
      <c r="U179" s="623">
        <f t="shared" si="14"/>
        <v>0</v>
      </c>
      <c r="X179" s="715" t="b">
        <f>'Rep Schedule - Advanced'!AN170</f>
        <v>1</v>
      </c>
    </row>
    <row r="180" spans="1:24" ht="15" hidden="1">
      <c r="A180" s="624">
        <f t="shared" si="18"/>
        <v>165</v>
      </c>
      <c r="B180" s="621">
        <f>'Rep Schedule - Advanced'!E171</f>
        <v>45365</v>
      </c>
      <c r="C180" s="769">
        <f>'Rep Schedule - Advanced'!G171</f>
        <v>0</v>
      </c>
      <c r="D180" s="770">
        <f>'Rep Schedule - Advanced'!H171</f>
        <v>0</v>
      </c>
      <c r="E180" s="644">
        <f>'Rep Schedule - Advanced'!J171</f>
        <v>0</v>
      </c>
      <c r="F180" s="771">
        <f>'Rep Schedule - Advanced'!K171</f>
        <v>0</v>
      </c>
      <c r="G180" s="770">
        <f>'Rep Schedule - Advanced'!N171</f>
        <v>0</v>
      </c>
      <c r="H180" s="772">
        <f>'Rep Schedule - Advanced'!R171</f>
        <v>0</v>
      </c>
      <c r="I180" s="773">
        <f>'Rep Schedule - Advanced'!U171</f>
        <v>0</v>
      </c>
      <c r="J180" s="774">
        <f>'Rep Schedule - Advanced'!X171</f>
        <v>0</v>
      </c>
      <c r="K180" s="774">
        <f>'Rep Schedule - Advanced'!Y171</f>
        <v>0</v>
      </c>
      <c r="L180" s="774">
        <f>'Rep Schedule - Advanced'!Z171</f>
        <v>0</v>
      </c>
      <c r="M180" s="775">
        <f>'Rep Schedule - Advanced'!AB171</f>
        <v>0</v>
      </c>
      <c r="N180" s="701">
        <f t="shared" si="15"/>
        <v>0</v>
      </c>
      <c r="O180" s="789" t="str">
        <f t="shared" si="16"/>
        <v>Annuity 165</v>
      </c>
      <c r="R180" s="607">
        <f t="shared" si="19"/>
        <v>0</v>
      </c>
      <c r="T180" s="622">
        <f t="shared" si="13"/>
        <v>0</v>
      </c>
      <c r="U180" s="623">
        <f t="shared" si="14"/>
        <v>0</v>
      </c>
      <c r="X180" s="715" t="b">
        <f>'Rep Schedule - Advanced'!AN171</f>
        <v>1</v>
      </c>
    </row>
    <row r="181" spans="1:24" ht="15" hidden="1">
      <c r="A181" s="624">
        <f t="shared" si="18"/>
        <v>166</v>
      </c>
      <c r="B181" s="621">
        <f>'Rep Schedule - Advanced'!E172</f>
        <v>45396</v>
      </c>
      <c r="C181" s="769">
        <f>'Rep Schedule - Advanced'!G172</f>
        <v>0</v>
      </c>
      <c r="D181" s="770">
        <f>'Rep Schedule - Advanced'!H172</f>
        <v>0</v>
      </c>
      <c r="E181" s="644">
        <f>'Rep Schedule - Advanced'!J172</f>
        <v>0</v>
      </c>
      <c r="F181" s="771">
        <f>'Rep Schedule - Advanced'!K172</f>
        <v>0</v>
      </c>
      <c r="G181" s="770">
        <f>'Rep Schedule - Advanced'!N172</f>
        <v>0</v>
      </c>
      <c r="H181" s="772">
        <f>'Rep Schedule - Advanced'!R172</f>
        <v>0</v>
      </c>
      <c r="I181" s="773">
        <f>'Rep Schedule - Advanced'!U172</f>
        <v>0</v>
      </c>
      <c r="J181" s="774">
        <f>'Rep Schedule - Advanced'!X172</f>
        <v>0</v>
      </c>
      <c r="K181" s="774">
        <f>'Rep Schedule - Advanced'!Y172</f>
        <v>0</v>
      </c>
      <c r="L181" s="774">
        <f>'Rep Schedule - Advanced'!Z172</f>
        <v>0</v>
      </c>
      <c r="M181" s="775">
        <f>'Rep Schedule - Advanced'!AB172</f>
        <v>0</v>
      </c>
      <c r="N181" s="701">
        <f t="shared" si="15"/>
        <v>0</v>
      </c>
      <c r="O181" s="789" t="str">
        <f t="shared" si="16"/>
        <v>Annuity 166</v>
      </c>
      <c r="R181" s="607">
        <f t="shared" si="19"/>
        <v>0</v>
      </c>
      <c r="T181" s="622">
        <f t="shared" si="13"/>
        <v>0</v>
      </c>
      <c r="U181" s="623">
        <f t="shared" si="14"/>
        <v>0</v>
      </c>
      <c r="X181" s="715" t="b">
        <f>'Rep Schedule - Advanced'!AN172</f>
        <v>1</v>
      </c>
    </row>
    <row r="182" spans="1:24" ht="15" hidden="1">
      <c r="A182" s="624">
        <f t="shared" si="18"/>
        <v>167</v>
      </c>
      <c r="B182" s="621">
        <f>'Rep Schedule - Advanced'!E173</f>
        <v>45426</v>
      </c>
      <c r="C182" s="769">
        <f>'Rep Schedule - Advanced'!G173</f>
        <v>0</v>
      </c>
      <c r="D182" s="770">
        <f>'Rep Schedule - Advanced'!H173</f>
        <v>0</v>
      </c>
      <c r="E182" s="644">
        <f>'Rep Schedule - Advanced'!J173</f>
        <v>0</v>
      </c>
      <c r="F182" s="771">
        <f>'Rep Schedule - Advanced'!K173</f>
        <v>0</v>
      </c>
      <c r="G182" s="770">
        <f>'Rep Schedule - Advanced'!N173</f>
        <v>0</v>
      </c>
      <c r="H182" s="772">
        <f>'Rep Schedule - Advanced'!R173</f>
        <v>0</v>
      </c>
      <c r="I182" s="773">
        <f>'Rep Schedule - Advanced'!U173</f>
        <v>0</v>
      </c>
      <c r="J182" s="774">
        <f>'Rep Schedule - Advanced'!X173</f>
        <v>0</v>
      </c>
      <c r="K182" s="774">
        <f>'Rep Schedule - Advanced'!Y173</f>
        <v>0</v>
      </c>
      <c r="L182" s="774">
        <f>'Rep Schedule - Advanced'!Z173</f>
        <v>0</v>
      </c>
      <c r="M182" s="775">
        <f>'Rep Schedule - Advanced'!AB173</f>
        <v>0</v>
      </c>
      <c r="N182" s="701">
        <f t="shared" si="15"/>
        <v>0</v>
      </c>
      <c r="O182" s="789" t="str">
        <f t="shared" si="16"/>
        <v>Annuity 167</v>
      </c>
      <c r="R182" s="607">
        <f t="shared" si="19"/>
        <v>0</v>
      </c>
      <c r="T182" s="622">
        <f t="shared" si="13"/>
        <v>0</v>
      </c>
      <c r="U182" s="623">
        <f t="shared" si="14"/>
        <v>0</v>
      </c>
      <c r="X182" s="715" t="b">
        <f>'Rep Schedule - Advanced'!AN173</f>
        <v>1</v>
      </c>
    </row>
    <row r="183" spans="1:24" ht="15" hidden="1">
      <c r="A183" s="624">
        <f t="shared" si="18"/>
        <v>168</v>
      </c>
      <c r="B183" s="621">
        <f>'Rep Schedule - Advanced'!E174</f>
        <v>45457</v>
      </c>
      <c r="C183" s="769">
        <f>'Rep Schedule - Advanced'!G174</f>
        <v>0</v>
      </c>
      <c r="D183" s="770">
        <f>'Rep Schedule - Advanced'!H174</f>
        <v>0</v>
      </c>
      <c r="E183" s="644">
        <f>'Rep Schedule - Advanced'!J174</f>
        <v>0</v>
      </c>
      <c r="F183" s="771">
        <f>'Rep Schedule - Advanced'!K174</f>
        <v>0</v>
      </c>
      <c r="G183" s="770">
        <f>'Rep Schedule - Advanced'!N174</f>
        <v>0</v>
      </c>
      <c r="H183" s="772">
        <f>'Rep Schedule - Advanced'!R174</f>
        <v>0</v>
      </c>
      <c r="I183" s="773">
        <f>'Rep Schedule - Advanced'!U174</f>
        <v>0</v>
      </c>
      <c r="J183" s="774">
        <f>'Rep Schedule - Advanced'!X174</f>
        <v>0</v>
      </c>
      <c r="K183" s="774">
        <f>'Rep Schedule - Advanced'!Y174</f>
        <v>0</v>
      </c>
      <c r="L183" s="774">
        <f>'Rep Schedule - Advanced'!Z174</f>
        <v>0</v>
      </c>
      <c r="M183" s="775">
        <f>'Rep Schedule - Advanced'!AB174</f>
        <v>0</v>
      </c>
      <c r="N183" s="701">
        <f t="shared" si="15"/>
        <v>0</v>
      </c>
      <c r="O183" s="789" t="str">
        <f t="shared" si="16"/>
        <v>Annuity 168</v>
      </c>
      <c r="R183" s="607">
        <f t="shared" si="19"/>
        <v>0</v>
      </c>
      <c r="T183" s="622">
        <f t="shared" si="13"/>
        <v>0</v>
      </c>
      <c r="U183" s="623">
        <f t="shared" si="14"/>
        <v>0</v>
      </c>
      <c r="X183" s="715" t="b">
        <f>'Rep Schedule - Advanced'!AN174</f>
        <v>1</v>
      </c>
    </row>
    <row r="184" spans="1:24" ht="15" hidden="1">
      <c r="A184" s="624">
        <f t="shared" si="18"/>
        <v>169</v>
      </c>
      <c r="B184" s="621">
        <f>'Rep Schedule - Advanced'!E175</f>
        <v>45487</v>
      </c>
      <c r="C184" s="769">
        <f>'Rep Schedule - Advanced'!G175</f>
        <v>0</v>
      </c>
      <c r="D184" s="770">
        <f>'Rep Schedule - Advanced'!H175</f>
        <v>0</v>
      </c>
      <c r="E184" s="644">
        <f>'Rep Schedule - Advanced'!J175</f>
        <v>0</v>
      </c>
      <c r="F184" s="771">
        <f>'Rep Schedule - Advanced'!K175</f>
        <v>0</v>
      </c>
      <c r="G184" s="770">
        <f>'Rep Schedule - Advanced'!N175</f>
        <v>0</v>
      </c>
      <c r="H184" s="772">
        <f>'Rep Schedule - Advanced'!R175</f>
        <v>0</v>
      </c>
      <c r="I184" s="773">
        <f>'Rep Schedule - Advanced'!U175</f>
        <v>0</v>
      </c>
      <c r="J184" s="774">
        <f>'Rep Schedule - Advanced'!X175</f>
        <v>0</v>
      </c>
      <c r="K184" s="774">
        <f>'Rep Schedule - Advanced'!Y175</f>
        <v>0</v>
      </c>
      <c r="L184" s="774">
        <f>'Rep Schedule - Advanced'!Z175</f>
        <v>0</v>
      </c>
      <c r="M184" s="775">
        <f>'Rep Schedule - Advanced'!AB175</f>
        <v>0</v>
      </c>
      <c r="N184" s="701">
        <f t="shared" si="15"/>
        <v>0</v>
      </c>
      <c r="O184" s="789" t="str">
        <f t="shared" si="16"/>
        <v>Annuity 169</v>
      </c>
      <c r="R184" s="607">
        <f t="shared" si="19"/>
        <v>0</v>
      </c>
      <c r="T184" s="622">
        <f t="shared" si="13"/>
        <v>0</v>
      </c>
      <c r="U184" s="623">
        <f t="shared" si="14"/>
        <v>0</v>
      </c>
      <c r="X184" s="715" t="b">
        <f>'Rep Schedule - Advanced'!AN175</f>
        <v>1</v>
      </c>
    </row>
    <row r="185" spans="1:24" ht="15" hidden="1">
      <c r="A185" s="624">
        <f t="shared" si="18"/>
        <v>170</v>
      </c>
      <c r="B185" s="621">
        <f>'Rep Schedule - Advanced'!E176</f>
        <v>45518</v>
      </c>
      <c r="C185" s="769">
        <f>'Rep Schedule - Advanced'!G176</f>
        <v>0</v>
      </c>
      <c r="D185" s="770">
        <f>'Rep Schedule - Advanced'!H176</f>
        <v>0</v>
      </c>
      <c r="E185" s="644">
        <f>'Rep Schedule - Advanced'!J176</f>
        <v>0</v>
      </c>
      <c r="F185" s="771">
        <f>'Rep Schedule - Advanced'!K176</f>
        <v>0</v>
      </c>
      <c r="G185" s="770">
        <f>'Rep Schedule - Advanced'!N176</f>
        <v>0</v>
      </c>
      <c r="H185" s="772">
        <f>'Rep Schedule - Advanced'!R176</f>
        <v>0</v>
      </c>
      <c r="I185" s="773">
        <f>'Rep Schedule - Advanced'!U176</f>
        <v>0</v>
      </c>
      <c r="J185" s="774">
        <f>'Rep Schedule - Advanced'!X176</f>
        <v>0</v>
      </c>
      <c r="K185" s="774">
        <f>'Rep Schedule - Advanced'!Y176</f>
        <v>0</v>
      </c>
      <c r="L185" s="774">
        <f>'Rep Schedule - Advanced'!Z176</f>
        <v>0</v>
      </c>
      <c r="M185" s="775">
        <f>'Rep Schedule - Advanced'!AB176</f>
        <v>0</v>
      </c>
      <c r="N185" s="701">
        <f t="shared" si="15"/>
        <v>0</v>
      </c>
      <c r="O185" s="789" t="str">
        <f t="shared" si="16"/>
        <v>Annuity 170</v>
      </c>
      <c r="R185" s="607">
        <f t="shared" si="19"/>
        <v>0</v>
      </c>
      <c r="T185" s="622">
        <f t="shared" si="13"/>
        <v>0</v>
      </c>
      <c r="U185" s="623">
        <f t="shared" si="14"/>
        <v>0</v>
      </c>
      <c r="X185" s="715" t="b">
        <f>'Rep Schedule - Advanced'!AN176</f>
        <v>1</v>
      </c>
    </row>
    <row r="186" spans="1:24" ht="15" hidden="1">
      <c r="A186" s="624">
        <f t="shared" si="18"/>
        <v>171</v>
      </c>
      <c r="B186" s="621">
        <f>'Rep Schedule - Advanced'!E177</f>
        <v>45549</v>
      </c>
      <c r="C186" s="769">
        <f>'Rep Schedule - Advanced'!G177</f>
        <v>0</v>
      </c>
      <c r="D186" s="770">
        <f>'Rep Schedule - Advanced'!H177</f>
        <v>0</v>
      </c>
      <c r="E186" s="644">
        <f>'Rep Schedule - Advanced'!J177</f>
        <v>0</v>
      </c>
      <c r="F186" s="771">
        <f>'Rep Schedule - Advanced'!K177</f>
        <v>0</v>
      </c>
      <c r="G186" s="770">
        <f>'Rep Schedule - Advanced'!N177</f>
        <v>0</v>
      </c>
      <c r="H186" s="772">
        <f>'Rep Schedule - Advanced'!R177</f>
        <v>0</v>
      </c>
      <c r="I186" s="773">
        <f>'Rep Schedule - Advanced'!U177</f>
        <v>0</v>
      </c>
      <c r="J186" s="774">
        <f>'Rep Schedule - Advanced'!X177</f>
        <v>0</v>
      </c>
      <c r="K186" s="774">
        <f>'Rep Schedule - Advanced'!Y177</f>
        <v>0</v>
      </c>
      <c r="L186" s="774">
        <f>'Rep Schedule - Advanced'!Z177</f>
        <v>0</v>
      </c>
      <c r="M186" s="775">
        <f>'Rep Schedule - Advanced'!AB177</f>
        <v>0</v>
      </c>
      <c r="N186" s="701">
        <f t="shared" si="15"/>
        <v>0</v>
      </c>
      <c r="O186" s="789" t="str">
        <f t="shared" si="16"/>
        <v>Annuity 171</v>
      </c>
      <c r="R186" s="607">
        <f t="shared" si="19"/>
        <v>0</v>
      </c>
      <c r="T186" s="622">
        <f t="shared" si="13"/>
        <v>0</v>
      </c>
      <c r="U186" s="623">
        <f t="shared" si="14"/>
        <v>0</v>
      </c>
      <c r="X186" s="715" t="b">
        <f>'Rep Schedule - Advanced'!AN177</f>
        <v>1</v>
      </c>
    </row>
    <row r="187" spans="1:24" ht="15" hidden="1">
      <c r="A187" s="624">
        <f t="shared" si="18"/>
        <v>172</v>
      </c>
      <c r="B187" s="621">
        <f>'Rep Schedule - Advanced'!E178</f>
        <v>45579</v>
      </c>
      <c r="C187" s="769">
        <f>'Rep Schedule - Advanced'!G178</f>
        <v>0</v>
      </c>
      <c r="D187" s="770">
        <f>'Rep Schedule - Advanced'!H178</f>
        <v>0</v>
      </c>
      <c r="E187" s="644">
        <f>'Rep Schedule - Advanced'!J178</f>
        <v>0</v>
      </c>
      <c r="F187" s="771">
        <f>'Rep Schedule - Advanced'!K178</f>
        <v>0</v>
      </c>
      <c r="G187" s="770">
        <f>'Rep Schedule - Advanced'!N178</f>
        <v>0</v>
      </c>
      <c r="H187" s="772">
        <f>'Rep Schedule - Advanced'!R178</f>
        <v>0</v>
      </c>
      <c r="I187" s="773">
        <f>'Rep Schedule - Advanced'!U178</f>
        <v>0</v>
      </c>
      <c r="J187" s="774">
        <f>'Rep Schedule - Advanced'!X178</f>
        <v>0</v>
      </c>
      <c r="K187" s="774">
        <f>'Rep Schedule - Advanced'!Y178</f>
        <v>0</v>
      </c>
      <c r="L187" s="774">
        <f>'Rep Schedule - Advanced'!Z178</f>
        <v>0</v>
      </c>
      <c r="M187" s="775">
        <f>'Rep Schedule - Advanced'!AB178</f>
        <v>0</v>
      </c>
      <c r="N187" s="701">
        <f t="shared" si="15"/>
        <v>0</v>
      </c>
      <c r="O187" s="789" t="str">
        <f t="shared" si="16"/>
        <v>Annuity 172</v>
      </c>
      <c r="R187" s="607">
        <f t="shared" si="19"/>
        <v>0</v>
      </c>
      <c r="T187" s="622">
        <f t="shared" si="13"/>
        <v>0</v>
      </c>
      <c r="U187" s="623">
        <f t="shared" si="14"/>
        <v>0</v>
      </c>
      <c r="X187" s="715" t="b">
        <f>'Rep Schedule - Advanced'!AN178</f>
        <v>1</v>
      </c>
    </row>
    <row r="188" spans="1:24" ht="15" hidden="1">
      <c r="A188" s="624">
        <f t="shared" si="18"/>
        <v>173</v>
      </c>
      <c r="B188" s="621">
        <f>'Rep Schedule - Advanced'!E179</f>
        <v>45610</v>
      </c>
      <c r="C188" s="769">
        <f>'Rep Schedule - Advanced'!G179</f>
        <v>0</v>
      </c>
      <c r="D188" s="770">
        <f>'Rep Schedule - Advanced'!H179</f>
        <v>0</v>
      </c>
      <c r="E188" s="644">
        <f>'Rep Schedule - Advanced'!J179</f>
        <v>0</v>
      </c>
      <c r="F188" s="771">
        <f>'Rep Schedule - Advanced'!K179</f>
        <v>0</v>
      </c>
      <c r="G188" s="770">
        <f>'Rep Schedule - Advanced'!N179</f>
        <v>0</v>
      </c>
      <c r="H188" s="772">
        <f>'Rep Schedule - Advanced'!R179</f>
        <v>0</v>
      </c>
      <c r="I188" s="773">
        <f>'Rep Schedule - Advanced'!U179</f>
        <v>0</v>
      </c>
      <c r="J188" s="774">
        <f>'Rep Schedule - Advanced'!X179</f>
        <v>0</v>
      </c>
      <c r="K188" s="774">
        <f>'Rep Schedule - Advanced'!Y179</f>
        <v>0</v>
      </c>
      <c r="L188" s="774">
        <f>'Rep Schedule - Advanced'!Z179</f>
        <v>0</v>
      </c>
      <c r="M188" s="775">
        <f>'Rep Schedule - Advanced'!AB179</f>
        <v>0</v>
      </c>
      <c r="N188" s="701">
        <f t="shared" si="15"/>
        <v>0</v>
      </c>
      <c r="O188" s="789" t="str">
        <f t="shared" si="16"/>
        <v>Annuity 173</v>
      </c>
      <c r="R188" s="607">
        <f t="shared" si="19"/>
        <v>0</v>
      </c>
      <c r="T188" s="622">
        <f t="shared" si="13"/>
        <v>0</v>
      </c>
      <c r="U188" s="623">
        <f t="shared" si="14"/>
        <v>0</v>
      </c>
      <c r="X188" s="715" t="b">
        <f>'Rep Schedule - Advanced'!AN179</f>
        <v>1</v>
      </c>
    </row>
    <row r="189" spans="1:24" ht="15" hidden="1">
      <c r="A189" s="624">
        <f t="shared" si="18"/>
        <v>174</v>
      </c>
      <c r="B189" s="621">
        <f>'Rep Schedule - Advanced'!E180</f>
        <v>45640</v>
      </c>
      <c r="C189" s="769">
        <f>'Rep Schedule - Advanced'!G180</f>
        <v>0</v>
      </c>
      <c r="D189" s="770">
        <f>'Rep Schedule - Advanced'!H180</f>
        <v>0</v>
      </c>
      <c r="E189" s="644">
        <f>'Rep Schedule - Advanced'!J180</f>
        <v>0</v>
      </c>
      <c r="F189" s="771">
        <f>'Rep Schedule - Advanced'!K180</f>
        <v>0</v>
      </c>
      <c r="G189" s="770">
        <f>'Rep Schedule - Advanced'!N180</f>
        <v>0</v>
      </c>
      <c r="H189" s="772">
        <f>'Rep Schedule - Advanced'!R180</f>
        <v>0</v>
      </c>
      <c r="I189" s="773">
        <f>'Rep Schedule - Advanced'!U180</f>
        <v>0</v>
      </c>
      <c r="J189" s="774">
        <f>'Rep Schedule - Advanced'!X180</f>
        <v>0</v>
      </c>
      <c r="K189" s="774">
        <f>'Rep Schedule - Advanced'!Y180</f>
        <v>0</v>
      </c>
      <c r="L189" s="774">
        <f>'Rep Schedule - Advanced'!Z180</f>
        <v>0</v>
      </c>
      <c r="M189" s="775">
        <f>'Rep Schedule - Advanced'!AB180</f>
        <v>0</v>
      </c>
      <c r="N189" s="701">
        <f t="shared" si="15"/>
        <v>0</v>
      </c>
      <c r="O189" s="789" t="str">
        <f t="shared" si="16"/>
        <v>Annuity 174</v>
      </c>
      <c r="R189" s="607">
        <f t="shared" si="19"/>
        <v>0</v>
      </c>
      <c r="T189" s="622">
        <f t="shared" si="13"/>
        <v>0</v>
      </c>
      <c r="U189" s="623">
        <f t="shared" si="14"/>
        <v>0</v>
      </c>
      <c r="X189" s="715" t="b">
        <f>'Rep Schedule - Advanced'!AN180</f>
        <v>1</v>
      </c>
    </row>
    <row r="190" spans="1:24" ht="15" hidden="1">
      <c r="A190" s="624">
        <f t="shared" si="18"/>
        <v>175</v>
      </c>
      <c r="B190" s="621">
        <f>'Rep Schedule - Advanced'!E181</f>
        <v>45671</v>
      </c>
      <c r="C190" s="769">
        <f>'Rep Schedule - Advanced'!G181</f>
        <v>0</v>
      </c>
      <c r="D190" s="770">
        <f>'Rep Schedule - Advanced'!H181</f>
        <v>0</v>
      </c>
      <c r="E190" s="644">
        <f>'Rep Schedule - Advanced'!J181</f>
        <v>0</v>
      </c>
      <c r="F190" s="771">
        <f>'Rep Schedule - Advanced'!K181</f>
        <v>0</v>
      </c>
      <c r="G190" s="770">
        <f>'Rep Schedule - Advanced'!N181</f>
        <v>0</v>
      </c>
      <c r="H190" s="772">
        <f>'Rep Schedule - Advanced'!R181</f>
        <v>0</v>
      </c>
      <c r="I190" s="773">
        <f>'Rep Schedule - Advanced'!U181</f>
        <v>0</v>
      </c>
      <c r="J190" s="774">
        <f>'Rep Schedule - Advanced'!X181</f>
        <v>0</v>
      </c>
      <c r="K190" s="774">
        <f>'Rep Schedule - Advanced'!Y181</f>
        <v>0</v>
      </c>
      <c r="L190" s="774">
        <f>'Rep Schedule - Advanced'!Z181</f>
        <v>0</v>
      </c>
      <c r="M190" s="775">
        <f>'Rep Schedule - Advanced'!AB181</f>
        <v>0</v>
      </c>
      <c r="N190" s="701">
        <f t="shared" si="15"/>
        <v>0</v>
      </c>
      <c r="O190" s="789" t="str">
        <f t="shared" si="16"/>
        <v>Annuity 175</v>
      </c>
      <c r="R190" s="607">
        <f t="shared" si="19"/>
        <v>0</v>
      </c>
      <c r="T190" s="622">
        <f t="shared" si="13"/>
        <v>0</v>
      </c>
      <c r="U190" s="623">
        <f t="shared" si="14"/>
        <v>0</v>
      </c>
      <c r="X190" s="715" t="b">
        <f>'Rep Schedule - Advanced'!AN181</f>
        <v>1</v>
      </c>
    </row>
    <row r="191" spans="1:24" ht="15" hidden="1">
      <c r="A191" s="624">
        <f t="shared" si="18"/>
        <v>176</v>
      </c>
      <c r="B191" s="621">
        <f>'Rep Schedule - Advanced'!E182</f>
        <v>45702</v>
      </c>
      <c r="C191" s="769">
        <f>'Rep Schedule - Advanced'!G182</f>
        <v>0</v>
      </c>
      <c r="D191" s="770">
        <f>'Rep Schedule - Advanced'!H182</f>
        <v>0</v>
      </c>
      <c r="E191" s="644">
        <f>'Rep Schedule - Advanced'!J182</f>
        <v>0</v>
      </c>
      <c r="F191" s="771">
        <f>'Rep Schedule - Advanced'!K182</f>
        <v>0</v>
      </c>
      <c r="G191" s="770">
        <f>'Rep Schedule - Advanced'!N182</f>
        <v>0</v>
      </c>
      <c r="H191" s="772">
        <f>'Rep Schedule - Advanced'!R182</f>
        <v>0</v>
      </c>
      <c r="I191" s="773">
        <f>'Rep Schedule - Advanced'!U182</f>
        <v>0</v>
      </c>
      <c r="J191" s="774">
        <f>'Rep Schedule - Advanced'!X182</f>
        <v>0</v>
      </c>
      <c r="K191" s="774">
        <f>'Rep Schedule - Advanced'!Y182</f>
        <v>0</v>
      </c>
      <c r="L191" s="774">
        <f>'Rep Schedule - Advanced'!Z182</f>
        <v>0</v>
      </c>
      <c r="M191" s="775">
        <f>'Rep Schedule - Advanced'!AB182</f>
        <v>0</v>
      </c>
      <c r="N191" s="701">
        <f t="shared" si="15"/>
        <v>0</v>
      </c>
      <c r="O191" s="789" t="str">
        <f t="shared" si="16"/>
        <v>Annuity 176</v>
      </c>
      <c r="R191" s="607">
        <f t="shared" si="19"/>
        <v>0</v>
      </c>
      <c r="T191" s="622">
        <f t="shared" si="13"/>
        <v>0</v>
      </c>
      <c r="U191" s="623">
        <f t="shared" si="14"/>
        <v>0</v>
      </c>
      <c r="X191" s="715" t="b">
        <f>'Rep Schedule - Advanced'!AN182</f>
        <v>1</v>
      </c>
    </row>
    <row r="192" spans="1:24" ht="15" hidden="1">
      <c r="A192" s="624">
        <f t="shared" si="18"/>
        <v>177</v>
      </c>
      <c r="B192" s="621">
        <f>'Rep Schedule - Advanced'!E183</f>
        <v>45730</v>
      </c>
      <c r="C192" s="769">
        <f>'Rep Schedule - Advanced'!G183</f>
        <v>0</v>
      </c>
      <c r="D192" s="770">
        <f>'Rep Schedule - Advanced'!H183</f>
        <v>0</v>
      </c>
      <c r="E192" s="644">
        <f>'Rep Schedule - Advanced'!J183</f>
        <v>0</v>
      </c>
      <c r="F192" s="771">
        <f>'Rep Schedule - Advanced'!K183</f>
        <v>0</v>
      </c>
      <c r="G192" s="770">
        <f>'Rep Schedule - Advanced'!N183</f>
        <v>0</v>
      </c>
      <c r="H192" s="772">
        <f>'Rep Schedule - Advanced'!R183</f>
        <v>0</v>
      </c>
      <c r="I192" s="773">
        <f>'Rep Schedule - Advanced'!U183</f>
        <v>0</v>
      </c>
      <c r="J192" s="774">
        <f>'Rep Schedule - Advanced'!X183</f>
        <v>0</v>
      </c>
      <c r="K192" s="774">
        <f>'Rep Schedule - Advanced'!Y183</f>
        <v>0</v>
      </c>
      <c r="L192" s="774">
        <f>'Rep Schedule - Advanced'!Z183</f>
        <v>0</v>
      </c>
      <c r="M192" s="775">
        <f>'Rep Schedule - Advanced'!AB183</f>
        <v>0</v>
      </c>
      <c r="N192" s="701">
        <f t="shared" si="15"/>
        <v>0</v>
      </c>
      <c r="O192" s="789" t="str">
        <f t="shared" si="16"/>
        <v>Annuity 177</v>
      </c>
      <c r="R192" s="607">
        <f t="shared" si="19"/>
        <v>0</v>
      </c>
      <c r="T192" s="622">
        <f t="shared" si="13"/>
        <v>0</v>
      </c>
      <c r="U192" s="623">
        <f t="shared" si="14"/>
        <v>0</v>
      </c>
      <c r="X192" s="715" t="b">
        <f>'Rep Schedule - Advanced'!AN183</f>
        <v>1</v>
      </c>
    </row>
    <row r="193" spans="1:24" ht="15" hidden="1">
      <c r="A193" s="624">
        <f t="shared" si="18"/>
        <v>178</v>
      </c>
      <c r="B193" s="621">
        <f>'Rep Schedule - Advanced'!E184</f>
        <v>45761</v>
      </c>
      <c r="C193" s="769">
        <f>'Rep Schedule - Advanced'!G184</f>
        <v>0</v>
      </c>
      <c r="D193" s="770">
        <f>'Rep Schedule - Advanced'!H184</f>
        <v>0</v>
      </c>
      <c r="E193" s="644">
        <f>'Rep Schedule - Advanced'!J184</f>
        <v>0</v>
      </c>
      <c r="F193" s="771">
        <f>'Rep Schedule - Advanced'!K184</f>
        <v>0</v>
      </c>
      <c r="G193" s="770">
        <f>'Rep Schedule - Advanced'!N184</f>
        <v>0</v>
      </c>
      <c r="H193" s="772">
        <f>'Rep Schedule - Advanced'!R184</f>
        <v>0</v>
      </c>
      <c r="I193" s="773">
        <f>'Rep Schedule - Advanced'!U184</f>
        <v>0</v>
      </c>
      <c r="J193" s="774">
        <f>'Rep Schedule - Advanced'!X184</f>
        <v>0</v>
      </c>
      <c r="K193" s="774">
        <f>'Rep Schedule - Advanced'!Y184</f>
        <v>0</v>
      </c>
      <c r="L193" s="774">
        <f>'Rep Schedule - Advanced'!Z184</f>
        <v>0</v>
      </c>
      <c r="M193" s="775">
        <f>'Rep Schedule - Advanced'!AB184</f>
        <v>0</v>
      </c>
      <c r="N193" s="701">
        <f t="shared" si="15"/>
        <v>0</v>
      </c>
      <c r="O193" s="789" t="str">
        <f t="shared" si="16"/>
        <v>Annuity 178</v>
      </c>
      <c r="R193" s="607">
        <f t="shared" si="19"/>
        <v>0</v>
      </c>
      <c r="T193" s="622">
        <f t="shared" si="13"/>
        <v>0</v>
      </c>
      <c r="U193" s="623">
        <f t="shared" si="14"/>
        <v>0</v>
      </c>
      <c r="X193" s="715" t="b">
        <f>'Rep Schedule - Advanced'!AN184</f>
        <v>1</v>
      </c>
    </row>
    <row r="194" spans="1:24" ht="15" hidden="1">
      <c r="A194" s="624">
        <f t="shared" si="18"/>
        <v>179</v>
      </c>
      <c r="B194" s="621">
        <f>'Rep Schedule - Advanced'!E185</f>
        <v>45791</v>
      </c>
      <c r="C194" s="769">
        <f>'Rep Schedule - Advanced'!G185</f>
        <v>0</v>
      </c>
      <c r="D194" s="770">
        <f>'Rep Schedule - Advanced'!H185</f>
        <v>0</v>
      </c>
      <c r="E194" s="644">
        <f>'Rep Schedule - Advanced'!J185</f>
        <v>0</v>
      </c>
      <c r="F194" s="771">
        <f>'Rep Schedule - Advanced'!K185</f>
        <v>0</v>
      </c>
      <c r="G194" s="770">
        <f>'Rep Schedule - Advanced'!N185</f>
        <v>0</v>
      </c>
      <c r="H194" s="772">
        <f>'Rep Schedule - Advanced'!R185</f>
        <v>0</v>
      </c>
      <c r="I194" s="773">
        <f>'Rep Schedule - Advanced'!U185</f>
        <v>0</v>
      </c>
      <c r="J194" s="774">
        <f>'Rep Schedule - Advanced'!X185</f>
        <v>0</v>
      </c>
      <c r="K194" s="774">
        <f>'Rep Schedule - Advanced'!Y185</f>
        <v>0</v>
      </c>
      <c r="L194" s="774">
        <f>'Rep Schedule - Advanced'!Z185</f>
        <v>0</v>
      </c>
      <c r="M194" s="775">
        <f>'Rep Schedule - Advanced'!AB185</f>
        <v>0</v>
      </c>
      <c r="N194" s="701">
        <f t="shared" si="15"/>
        <v>0</v>
      </c>
      <c r="O194" s="789" t="str">
        <f t="shared" si="16"/>
        <v>Annuity 179</v>
      </c>
      <c r="R194" s="607">
        <f t="shared" si="19"/>
        <v>0</v>
      </c>
      <c r="T194" s="622">
        <f t="shared" si="13"/>
        <v>0</v>
      </c>
      <c r="U194" s="623">
        <f t="shared" si="14"/>
        <v>0</v>
      </c>
      <c r="X194" s="715" t="b">
        <f>'Rep Schedule - Advanced'!AN185</f>
        <v>1</v>
      </c>
    </row>
    <row r="195" spans="1:24" ht="15" hidden="1">
      <c r="A195" s="624">
        <f t="shared" si="18"/>
        <v>180</v>
      </c>
      <c r="B195" s="621">
        <f>'Rep Schedule - Advanced'!E186</f>
        <v>45822</v>
      </c>
      <c r="C195" s="769">
        <f>'Rep Schedule - Advanced'!G186</f>
        <v>0</v>
      </c>
      <c r="D195" s="770">
        <f>'Rep Schedule - Advanced'!H186</f>
        <v>0</v>
      </c>
      <c r="E195" s="644">
        <f>'Rep Schedule - Advanced'!J186</f>
        <v>0</v>
      </c>
      <c r="F195" s="771">
        <f>'Rep Schedule - Advanced'!K186</f>
        <v>0</v>
      </c>
      <c r="G195" s="770">
        <f>'Rep Schedule - Advanced'!N186</f>
        <v>0</v>
      </c>
      <c r="H195" s="772">
        <f>'Rep Schedule - Advanced'!R186</f>
        <v>0</v>
      </c>
      <c r="I195" s="773">
        <f>'Rep Schedule - Advanced'!U186</f>
        <v>0</v>
      </c>
      <c r="J195" s="774">
        <f>'Rep Schedule - Advanced'!X186</f>
        <v>0</v>
      </c>
      <c r="K195" s="774">
        <f>'Rep Schedule - Advanced'!Y186</f>
        <v>0</v>
      </c>
      <c r="L195" s="774">
        <f>'Rep Schedule - Advanced'!Z186</f>
        <v>0</v>
      </c>
      <c r="M195" s="775">
        <f>'Rep Schedule - Advanced'!AB186</f>
        <v>0</v>
      </c>
      <c r="N195" s="701">
        <f t="shared" si="15"/>
        <v>0</v>
      </c>
      <c r="O195" s="789" t="str">
        <f t="shared" si="16"/>
        <v>Annuity 180</v>
      </c>
      <c r="R195" s="607">
        <f t="shared" si="19"/>
        <v>0</v>
      </c>
      <c r="T195" s="622">
        <f t="shared" si="13"/>
        <v>0</v>
      </c>
      <c r="U195" s="623">
        <f t="shared" si="14"/>
        <v>0</v>
      </c>
      <c r="X195" s="715" t="b">
        <f>'Rep Schedule - Advanced'!AN186</f>
        <v>1</v>
      </c>
    </row>
    <row r="196" spans="1:24" ht="15" hidden="1">
      <c r="A196" s="624">
        <f t="shared" si="18"/>
        <v>181</v>
      </c>
      <c r="B196" s="621">
        <f>'Rep Schedule - Advanced'!E187</f>
        <v>45852</v>
      </c>
      <c r="C196" s="769">
        <f>'Rep Schedule - Advanced'!G187</f>
        <v>0</v>
      </c>
      <c r="D196" s="770">
        <f>'Rep Schedule - Advanced'!H187</f>
        <v>0</v>
      </c>
      <c r="E196" s="644">
        <f>'Rep Schedule - Advanced'!J187</f>
        <v>0</v>
      </c>
      <c r="F196" s="771">
        <f>'Rep Schedule - Advanced'!K187</f>
        <v>0</v>
      </c>
      <c r="G196" s="770">
        <f>'Rep Schedule - Advanced'!N187</f>
        <v>0</v>
      </c>
      <c r="H196" s="772">
        <f>'Rep Schedule - Advanced'!R187</f>
        <v>0</v>
      </c>
      <c r="I196" s="773">
        <f>'Rep Schedule - Advanced'!U187</f>
        <v>0</v>
      </c>
      <c r="J196" s="774">
        <f>'Rep Schedule - Advanced'!X187</f>
        <v>0</v>
      </c>
      <c r="K196" s="774">
        <f>'Rep Schedule - Advanced'!Y187</f>
        <v>0</v>
      </c>
      <c r="L196" s="774">
        <f>'Rep Schedule - Advanced'!Z187</f>
        <v>0</v>
      </c>
      <c r="M196" s="775">
        <f>'Rep Schedule - Advanced'!AB187</f>
        <v>0</v>
      </c>
      <c r="N196" s="701">
        <f t="shared" si="15"/>
        <v>0</v>
      </c>
      <c r="O196" s="789" t="str">
        <f t="shared" si="16"/>
        <v>Annuity 181</v>
      </c>
      <c r="R196" s="607">
        <f t="shared" si="19"/>
        <v>0</v>
      </c>
      <c r="T196" s="622">
        <f t="shared" si="13"/>
        <v>0</v>
      </c>
      <c r="U196" s="623">
        <f t="shared" si="14"/>
        <v>0</v>
      </c>
      <c r="X196" s="715" t="b">
        <f>'Rep Schedule - Advanced'!AN187</f>
        <v>1</v>
      </c>
    </row>
    <row r="197" spans="1:24" ht="16" hidden="1" thickBot="1">
      <c r="A197" s="624">
        <f t="shared" si="18"/>
        <v>182</v>
      </c>
      <c r="B197" s="621">
        <f>'Rep Schedule - Advanced'!E188</f>
        <v>45883</v>
      </c>
      <c r="C197" s="769">
        <f>'Rep Schedule - Advanced'!G188</f>
        <v>0</v>
      </c>
      <c r="D197" s="770">
        <f>'Rep Schedule - Advanced'!H188</f>
        <v>0</v>
      </c>
      <c r="E197" s="644">
        <f>'Rep Schedule - Advanced'!J188</f>
        <v>0</v>
      </c>
      <c r="F197" s="771">
        <f>'Rep Schedule - Advanced'!K188</f>
        <v>0</v>
      </c>
      <c r="G197" s="770">
        <f>'Rep Schedule - Advanced'!N188</f>
        <v>0</v>
      </c>
      <c r="H197" s="772">
        <f>'Rep Schedule - Advanced'!R188</f>
        <v>0</v>
      </c>
      <c r="I197" s="773">
        <f>'Rep Schedule - Advanced'!U188</f>
        <v>0</v>
      </c>
      <c r="J197" s="774">
        <f>'Rep Schedule - Advanced'!X188</f>
        <v>0</v>
      </c>
      <c r="K197" s="774">
        <f>'Rep Schedule - Advanced'!Y188</f>
        <v>0</v>
      </c>
      <c r="L197" s="774">
        <f>'Rep Schedule - Advanced'!Z188</f>
        <v>0</v>
      </c>
      <c r="M197" s="775">
        <f>'Rep Schedule - Advanced'!AB188</f>
        <v>0</v>
      </c>
      <c r="N197" s="701">
        <f t="shared" si="15"/>
        <v>0</v>
      </c>
      <c r="O197" s="789" t="str">
        <f t="shared" si="16"/>
        <v>Annuity 182</v>
      </c>
      <c r="R197" s="607">
        <f t="shared" si="19"/>
        <v>0</v>
      </c>
      <c r="T197" s="622">
        <f t="shared" si="13"/>
        <v>0</v>
      </c>
      <c r="U197" s="623">
        <f t="shared" si="14"/>
        <v>0</v>
      </c>
      <c r="X197" s="715" t="b">
        <f>'Rep Schedule - Advanced'!AN188</f>
        <v>1</v>
      </c>
    </row>
    <row r="198" spans="1:24" s="625" customFormat="1" ht="18" thickBot="1">
      <c r="B198" s="626" t="s">
        <v>373</v>
      </c>
      <c r="C198" s="628">
        <f>SUM(C15:C197)</f>
        <v>1E-4</v>
      </c>
      <c r="D198" s="633">
        <f>SUM(D15:D197)</f>
        <v>0</v>
      </c>
      <c r="E198" s="627"/>
      <c r="F198" s="629">
        <f t="shared" ref="F198:L198" si="20">SUM(F15:F197)</f>
        <v>0</v>
      </c>
      <c r="G198" s="630">
        <f t="shared" si="20"/>
        <v>0</v>
      </c>
      <c r="H198" s="692">
        <f t="shared" si="20"/>
        <v>0</v>
      </c>
      <c r="I198" s="631">
        <f t="shared" si="20"/>
        <v>0</v>
      </c>
      <c r="J198" s="632">
        <f t="shared" si="20"/>
        <v>0</v>
      </c>
      <c r="K198" s="632">
        <f t="shared" si="20"/>
        <v>0</v>
      </c>
      <c r="L198" s="632">
        <f t="shared" si="20"/>
        <v>0</v>
      </c>
      <c r="M198" s="633"/>
      <c r="N198" s="634">
        <f>SUM(N15:N197)</f>
        <v>0</v>
      </c>
      <c r="R198" s="680">
        <f>SUM(R15:R197)</f>
        <v>3.0000000000000001E-3</v>
      </c>
      <c r="S198" s="680"/>
      <c r="T198" s="681" t="e">
        <f>XIRR(T15:T197,$B$15:$B$197)</f>
        <v>#NUM!</v>
      </c>
      <c r="U198" s="681" t="e">
        <f>XIRR(U15:U197,$B$15:$B$197)</f>
        <v>#NUM!</v>
      </c>
      <c r="X198" s="718" t="s">
        <v>17</v>
      </c>
    </row>
    <row r="199" spans="1:24">
      <c r="R199" s="607">
        <f>R198/S11</f>
        <v>9.6774193548387094E-5</v>
      </c>
    </row>
    <row r="200" spans="1:24">
      <c r="R200" s="623">
        <f>SUM(J15:J39)</f>
        <v>0</v>
      </c>
      <c r="S200" s="607" t="s">
        <v>784</v>
      </c>
    </row>
    <row r="201" spans="1:24">
      <c r="R201" s="623">
        <f>R199</f>
        <v>9.6774193548387094E-5</v>
      </c>
      <c r="S201" s="784" t="s">
        <v>782</v>
      </c>
    </row>
    <row r="212" spans="1:26" ht="13" thickBot="1"/>
    <row r="213" spans="1:26" ht="40.5" customHeight="1">
      <c r="A213"/>
      <c r="X213" s="604"/>
      <c r="Y213" s="605"/>
      <c r="Z213" s="606"/>
    </row>
  </sheetData>
  <sheetProtection password="DE0E" sheet="1" objects="1" scenarios="1" formatColumns="0"/>
  <mergeCells count="33">
    <mergeCell ref="C13:E13"/>
    <mergeCell ref="J13:M13"/>
    <mergeCell ref="F13:I13"/>
    <mergeCell ref="C10:D10"/>
    <mergeCell ref="C5:D5"/>
    <mergeCell ref="C7:D7"/>
    <mergeCell ref="C8:D8"/>
    <mergeCell ref="K10:L10"/>
    <mergeCell ref="A8:B8"/>
    <mergeCell ref="C3:D3"/>
    <mergeCell ref="F10:G10"/>
    <mergeCell ref="C6:D6"/>
    <mergeCell ref="F8:G8"/>
    <mergeCell ref="F9:G9"/>
    <mergeCell ref="A3:B3"/>
    <mergeCell ref="A5:B5"/>
    <mergeCell ref="A6:B6"/>
    <mergeCell ref="A7:B7"/>
    <mergeCell ref="T13:U13"/>
    <mergeCell ref="N9:O10"/>
    <mergeCell ref="G3:I3"/>
    <mergeCell ref="G4:I4"/>
    <mergeCell ref="G5:I5"/>
    <mergeCell ref="G6:I6"/>
    <mergeCell ref="K8:L8"/>
    <mergeCell ref="K9:L9"/>
    <mergeCell ref="K4:L4"/>
    <mergeCell ref="K7:L7"/>
    <mergeCell ref="N1:O7"/>
    <mergeCell ref="K1:L1"/>
    <mergeCell ref="K3:L3"/>
    <mergeCell ref="K5:L5"/>
    <mergeCell ref="K6:L6"/>
  </mergeCells>
  <dataValidations xWindow="1401" yWindow="682" count="4">
    <dataValidation allowBlank="1" showInputMessage="1" showErrorMessage="1" prompt="These cells are unprotected.  You may change the contents if you wish to use this sheet to print out repayment schedules for clients." sqref="O15:O197 C3:D3 C5:D8 C10:D10 G3:I6 N9:O10" xr:uid="{00000000-0002-0000-0600-000000000000}"/>
    <dataValidation allowBlank="1" showInputMessage="1" showErrorMessage="1" prompt="These cells are protected and draw information directly from REP SCHEDULE - ADVANCED_x000d_" sqref="H8:I10" xr:uid="{00000000-0002-0000-0600-000001000000}"/>
    <dataValidation allowBlank="1" showInputMessage="1" showErrorMessage="1" prompt="These cells are protected and draw information directly from REP SCHEDULE - ADVANCED" sqref="M1:M10" xr:uid="{00000000-0002-0000-0600-000002000000}"/>
    <dataValidation allowBlank="1" showInputMessage="1" showErrorMessage="1" prompt="These cells are protected and draw information directly from REP SCHEDULE - ADVANCED.  You can use MANUAL MODE on that sheet to get exactly the right payment dates and amounts." sqref="B15:N197" xr:uid="{00000000-0002-0000-0600-000003000000}"/>
  </dataValidations>
  <pageMargins left="0.7" right="0.7" top="0.75" bottom="0.75" header="0.3" footer="0.3"/>
  <pageSetup orientation="portrait" verticalDpi="15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QuickCost"/>
  <dimension ref="A1:K6"/>
  <sheetViews>
    <sheetView showGridLines="0" workbookViewId="0"/>
  </sheetViews>
  <sheetFormatPr baseColWidth="10" defaultColWidth="8.796875" defaultRowHeight="12"/>
  <cols>
    <col min="1" max="1" width="40.19921875" bestFit="1" customWidth="1"/>
    <col min="2" max="2" width="9.3984375" bestFit="1" customWidth="1"/>
    <col min="3" max="11" width="10.3984375" bestFit="1" customWidth="1"/>
  </cols>
  <sheetData>
    <row r="1" spans="1:11" ht="22" thickBot="1">
      <c r="A1" s="747" t="s">
        <v>850</v>
      </c>
    </row>
    <row r="2" spans="1:11" ht="6" customHeight="1" thickTop="1"/>
    <row r="3" spans="1:11" ht="19">
      <c r="A3" s="744" t="s">
        <v>851</v>
      </c>
      <c r="B3" s="862">
        <v>100</v>
      </c>
      <c r="C3" s="862">
        <v>200</v>
      </c>
      <c r="D3" s="862">
        <v>300</v>
      </c>
      <c r="E3" s="862">
        <v>400</v>
      </c>
      <c r="F3" s="862">
        <v>500</v>
      </c>
      <c r="G3" s="862">
        <v>600</v>
      </c>
      <c r="H3" s="862">
        <v>700</v>
      </c>
      <c r="I3" s="862">
        <v>800</v>
      </c>
      <c r="J3" s="862">
        <v>900</v>
      </c>
      <c r="K3" s="862">
        <v>1000</v>
      </c>
    </row>
    <row r="4" spans="1:11" ht="19">
      <c r="A4" s="745" t="s">
        <v>852</v>
      </c>
      <c r="B4" s="863">
        <f>B3/2</f>
        <v>50</v>
      </c>
      <c r="C4" s="863">
        <f t="shared" ref="C4:K4" si="0">C3/2</f>
        <v>100</v>
      </c>
      <c r="D4" s="863">
        <f t="shared" si="0"/>
        <v>150</v>
      </c>
      <c r="E4" s="863">
        <f t="shared" si="0"/>
        <v>200</v>
      </c>
      <c r="F4" s="863">
        <f t="shared" si="0"/>
        <v>250</v>
      </c>
      <c r="G4" s="863">
        <f t="shared" si="0"/>
        <v>300</v>
      </c>
      <c r="H4" s="863">
        <f t="shared" si="0"/>
        <v>350</v>
      </c>
      <c r="I4" s="863">
        <f t="shared" si="0"/>
        <v>400</v>
      </c>
      <c r="J4" s="863">
        <f t="shared" si="0"/>
        <v>450</v>
      </c>
      <c r="K4" s="863">
        <f t="shared" si="0"/>
        <v>500</v>
      </c>
    </row>
    <row r="5" spans="1:11" ht="19">
      <c r="A5" s="744" t="s">
        <v>853</v>
      </c>
      <c r="B5" s="862">
        <v>35</v>
      </c>
      <c r="C5" s="862">
        <v>40</v>
      </c>
      <c r="D5" s="862">
        <v>45</v>
      </c>
      <c r="E5" s="862">
        <v>45</v>
      </c>
      <c r="F5" s="862">
        <v>45</v>
      </c>
      <c r="G5" s="862">
        <v>50</v>
      </c>
      <c r="H5" s="862">
        <v>50</v>
      </c>
      <c r="I5" s="862">
        <v>50</v>
      </c>
      <c r="J5" s="862">
        <v>50</v>
      </c>
      <c r="K5" s="862">
        <v>50</v>
      </c>
    </row>
    <row r="6" spans="1:11" ht="19">
      <c r="A6" s="745" t="s">
        <v>854</v>
      </c>
      <c r="B6" s="746">
        <f>IF(B5&gt;0,B5/B4,NA())</f>
        <v>0.7</v>
      </c>
      <c r="C6" s="746">
        <f t="shared" ref="C6:K6" si="1">IF(C5&gt;0,C5/C4,NA())</f>
        <v>0.4</v>
      </c>
      <c r="D6" s="746">
        <f t="shared" si="1"/>
        <v>0.3</v>
      </c>
      <c r="E6" s="746">
        <f t="shared" si="1"/>
        <v>0.22500000000000001</v>
      </c>
      <c r="F6" s="746">
        <f t="shared" si="1"/>
        <v>0.18</v>
      </c>
      <c r="G6" s="746">
        <f t="shared" si="1"/>
        <v>0.16666666666666666</v>
      </c>
      <c r="H6" s="746">
        <f t="shared" si="1"/>
        <v>0.14285714285714285</v>
      </c>
      <c r="I6" s="746">
        <f t="shared" si="1"/>
        <v>0.125</v>
      </c>
      <c r="J6" s="746">
        <f t="shared" si="1"/>
        <v>0.1111111111111111</v>
      </c>
      <c r="K6" s="746">
        <f t="shared" si="1"/>
        <v>0.1</v>
      </c>
    </row>
  </sheetData>
  <sheetProtection password="DE0E" sheet="1" objects="1" scenarios="1" formatColumns="0"/>
  <pageMargins left="0.7" right="0.7" top="0.75" bottom="0.75" header="0.3" footer="0.3"/>
  <pageSetup orientation="portrait" verticalDpi="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CostStruc"/>
  <dimension ref="B4:S68"/>
  <sheetViews>
    <sheetView topLeftCell="A4" workbookViewId="0">
      <pane xSplit="3" ySplit="4" topLeftCell="D8" activePane="bottomRight" state="frozen"/>
      <selection activeCell="A4" sqref="A4"/>
      <selection pane="topRight" activeCell="D4" sqref="D4"/>
      <selection pane="bottomLeft" activeCell="A8" sqref="A8"/>
      <selection pane="bottomRight" activeCell="C10" sqref="C10"/>
    </sheetView>
  </sheetViews>
  <sheetFormatPr baseColWidth="10" defaultColWidth="9.19921875" defaultRowHeight="15"/>
  <cols>
    <col min="1" max="1" width="0.796875" style="24" customWidth="1"/>
    <col min="2" max="2" width="2.19921875" style="37" customWidth="1"/>
    <col min="3" max="3" width="28.3984375" style="24" customWidth="1"/>
    <col min="4" max="4" width="5.796875" style="36" customWidth="1"/>
    <col min="5" max="12" width="6.796875" style="25" customWidth="1"/>
    <col min="13" max="13" width="7.19921875" style="25" customWidth="1"/>
    <col min="14" max="14" width="7.19921875" style="76" customWidth="1"/>
    <col min="15" max="19" width="8.796875" style="25" customWidth="1"/>
    <col min="20" max="16384" width="9.19921875" style="24"/>
  </cols>
  <sheetData>
    <row r="4" spans="2:19" ht="6.75" customHeight="1"/>
    <row r="5" spans="2:19" ht="20" thickBot="1">
      <c r="C5" s="1053" t="str">
        <f>Translations!A118</f>
        <v>Analysis of Cost Structure related to Loan Product Amount and Term</v>
      </c>
      <c r="D5" s="1053"/>
      <c r="E5" s="1053"/>
      <c r="F5" s="1053"/>
      <c r="G5" s="1053"/>
      <c r="H5" s="1053"/>
      <c r="I5" s="1053"/>
      <c r="J5" s="1053"/>
      <c r="K5" s="1053"/>
      <c r="L5" s="1053"/>
      <c r="M5" s="1053"/>
      <c r="N5" s="1053"/>
      <c r="O5" s="1053"/>
      <c r="P5" s="1053"/>
      <c r="Q5" s="1053"/>
      <c r="R5" s="1053"/>
      <c r="S5" s="1053"/>
    </row>
    <row r="6" spans="2:19" ht="17" thickBot="1">
      <c r="D6" s="24"/>
      <c r="E6" s="1057" t="str">
        <f>Translations!A140</f>
        <v>Data shown on Detailed Graphs</v>
      </c>
      <c r="F6" s="1058"/>
      <c r="G6" s="1058"/>
      <c r="H6" s="1058"/>
      <c r="I6" s="1058"/>
      <c r="J6" s="1058"/>
      <c r="K6" s="1058"/>
      <c r="L6" s="1058"/>
      <c r="M6" s="1058"/>
      <c r="N6" s="1059"/>
      <c r="O6" s="1054" t="str">
        <f>Translations!A141</f>
        <v>Data included only on Broad Graphs</v>
      </c>
      <c r="P6" s="1055"/>
      <c r="Q6" s="1055"/>
      <c r="R6" s="1055"/>
      <c r="S6" s="1056"/>
    </row>
    <row r="7" spans="2:19">
      <c r="B7" s="82" t="s">
        <v>65</v>
      </c>
      <c r="C7" s="59" t="str">
        <f>Translations!A119</f>
        <v>Original Loan Amount</v>
      </c>
      <c r="D7" s="38" t="str">
        <f>Translations!A142</f>
        <v>Formula</v>
      </c>
      <c r="E7" s="836">
        <v>50</v>
      </c>
      <c r="F7" s="837">
        <v>75</v>
      </c>
      <c r="G7" s="837">
        <v>100</v>
      </c>
      <c r="H7" s="837">
        <v>150</v>
      </c>
      <c r="I7" s="837">
        <v>250</v>
      </c>
      <c r="J7" s="837">
        <v>500</v>
      </c>
      <c r="K7" s="837">
        <v>750</v>
      </c>
      <c r="L7" s="837">
        <v>1000</v>
      </c>
      <c r="M7" s="837">
        <v>1500</v>
      </c>
      <c r="N7" s="838">
        <v>2000</v>
      </c>
      <c r="O7" s="839">
        <v>3000</v>
      </c>
      <c r="P7" s="837">
        <v>5000</v>
      </c>
      <c r="Q7" s="837">
        <v>10000</v>
      </c>
      <c r="R7" s="837">
        <v>15000</v>
      </c>
      <c r="S7" s="840">
        <v>20000</v>
      </c>
    </row>
    <row r="8" spans="2:19" ht="16" thickBot="1">
      <c r="B8" s="83" t="s">
        <v>66</v>
      </c>
      <c r="C8" s="67" t="str">
        <f>Translations!A120</f>
        <v>Average Outstanding Balance</v>
      </c>
      <c r="D8" s="70" t="s">
        <v>88</v>
      </c>
      <c r="E8" s="841">
        <f t="shared" ref="E8:S8" si="0">E7/2</f>
        <v>25</v>
      </c>
      <c r="F8" s="842">
        <f t="shared" si="0"/>
        <v>37.5</v>
      </c>
      <c r="G8" s="842">
        <f t="shared" si="0"/>
        <v>50</v>
      </c>
      <c r="H8" s="842">
        <f t="shared" si="0"/>
        <v>75</v>
      </c>
      <c r="I8" s="842">
        <f t="shared" si="0"/>
        <v>125</v>
      </c>
      <c r="J8" s="842">
        <f t="shared" si="0"/>
        <v>250</v>
      </c>
      <c r="K8" s="842">
        <f t="shared" si="0"/>
        <v>375</v>
      </c>
      <c r="L8" s="842">
        <f t="shared" si="0"/>
        <v>500</v>
      </c>
      <c r="M8" s="842">
        <f t="shared" si="0"/>
        <v>750</v>
      </c>
      <c r="N8" s="843">
        <f t="shared" si="0"/>
        <v>1000</v>
      </c>
      <c r="O8" s="844">
        <f t="shared" si="0"/>
        <v>1500</v>
      </c>
      <c r="P8" s="842">
        <f t="shared" si="0"/>
        <v>2500</v>
      </c>
      <c r="Q8" s="842">
        <f t="shared" si="0"/>
        <v>5000</v>
      </c>
      <c r="R8" s="842">
        <f t="shared" si="0"/>
        <v>7500</v>
      </c>
      <c r="S8" s="845">
        <f t="shared" si="0"/>
        <v>10000</v>
      </c>
    </row>
    <row r="9" spans="2:19" ht="16" thickBot="1">
      <c r="B9" s="83" t="s">
        <v>67</v>
      </c>
      <c r="C9" s="67" t="str">
        <f>Translations!A121</f>
        <v>Annual GDP</v>
      </c>
      <c r="D9" s="846">
        <v>3000</v>
      </c>
      <c r="E9" s="24"/>
      <c r="F9" s="40"/>
      <c r="G9" s="40"/>
      <c r="H9" s="40"/>
      <c r="I9" s="40"/>
      <c r="J9" s="40"/>
      <c r="K9" s="40"/>
      <c r="L9" s="40"/>
      <c r="M9" s="40"/>
      <c r="N9" s="47"/>
      <c r="O9" s="42"/>
      <c r="P9" s="40"/>
      <c r="Q9" s="40"/>
      <c r="R9" s="40"/>
      <c r="S9" s="41"/>
    </row>
    <row r="10" spans="2:19">
      <c r="B10" s="83" t="s">
        <v>68</v>
      </c>
      <c r="C10" s="97" t="str">
        <f>Translations!A122</f>
        <v>Orig Loan as % of Annual GDP</v>
      </c>
      <c r="D10" s="70" t="s">
        <v>100</v>
      </c>
      <c r="E10" s="98">
        <f t="shared" ref="E10:S10" si="1">IF($D$9,E7/$D$9,"")</f>
        <v>1.6666666666666666E-2</v>
      </c>
      <c r="F10" s="99">
        <f t="shared" si="1"/>
        <v>2.5000000000000001E-2</v>
      </c>
      <c r="G10" s="99">
        <f t="shared" si="1"/>
        <v>3.3333333333333333E-2</v>
      </c>
      <c r="H10" s="99">
        <f t="shared" si="1"/>
        <v>0.05</v>
      </c>
      <c r="I10" s="99">
        <f t="shared" si="1"/>
        <v>8.3333333333333329E-2</v>
      </c>
      <c r="J10" s="99">
        <f t="shared" si="1"/>
        <v>0.16666666666666666</v>
      </c>
      <c r="K10" s="99">
        <f t="shared" si="1"/>
        <v>0.25</v>
      </c>
      <c r="L10" s="99">
        <f t="shared" si="1"/>
        <v>0.33333333333333331</v>
      </c>
      <c r="M10" s="99">
        <f t="shared" si="1"/>
        <v>0.5</v>
      </c>
      <c r="N10" s="100">
        <f t="shared" si="1"/>
        <v>0.66666666666666663</v>
      </c>
      <c r="O10" s="101">
        <f t="shared" si="1"/>
        <v>1</v>
      </c>
      <c r="P10" s="99">
        <f t="shared" si="1"/>
        <v>1.6666666666666667</v>
      </c>
      <c r="Q10" s="99">
        <f t="shared" si="1"/>
        <v>3.3333333333333335</v>
      </c>
      <c r="R10" s="99">
        <f t="shared" si="1"/>
        <v>5</v>
      </c>
      <c r="S10" s="100">
        <f t="shared" si="1"/>
        <v>6.666666666666667</v>
      </c>
    </row>
    <row r="11" spans="2:19">
      <c r="B11" s="83" t="s">
        <v>69</v>
      </c>
      <c r="C11" s="67" t="str">
        <f>Translations!A123</f>
        <v>Loan Term</v>
      </c>
      <c r="D11" s="70"/>
      <c r="E11" s="117">
        <v>12</v>
      </c>
      <c r="F11" s="118">
        <v>12</v>
      </c>
      <c r="G11" s="118">
        <v>12</v>
      </c>
      <c r="H11" s="118">
        <v>12</v>
      </c>
      <c r="I11" s="118">
        <v>12</v>
      </c>
      <c r="J11" s="118">
        <v>12</v>
      </c>
      <c r="K11" s="118">
        <v>12</v>
      </c>
      <c r="L11" s="118">
        <v>12</v>
      </c>
      <c r="M11" s="118">
        <v>12</v>
      </c>
      <c r="N11" s="119">
        <v>12</v>
      </c>
      <c r="O11" s="120">
        <v>12</v>
      </c>
      <c r="P11" s="118">
        <v>12</v>
      </c>
      <c r="Q11" s="118">
        <v>18</v>
      </c>
      <c r="R11" s="118">
        <v>24</v>
      </c>
      <c r="S11" s="121">
        <v>24</v>
      </c>
    </row>
    <row r="12" spans="2:19">
      <c r="B12" s="83" t="s">
        <v>70</v>
      </c>
      <c r="C12" s="67" t="str">
        <f>Translations!A124</f>
        <v>Loans processed/year</v>
      </c>
      <c r="D12" s="71" t="s">
        <v>101</v>
      </c>
      <c r="E12" s="43">
        <f>IF(E11,12/E11,0)</f>
        <v>1</v>
      </c>
      <c r="F12" s="44">
        <f t="shared" ref="F12:S12" si="2">IF(F11,12/F11,0)</f>
        <v>1</v>
      </c>
      <c r="G12" s="44">
        <f t="shared" si="2"/>
        <v>1</v>
      </c>
      <c r="H12" s="44">
        <f t="shared" si="2"/>
        <v>1</v>
      </c>
      <c r="I12" s="44">
        <f t="shared" si="2"/>
        <v>1</v>
      </c>
      <c r="J12" s="44">
        <f t="shared" si="2"/>
        <v>1</v>
      </c>
      <c r="K12" s="44">
        <f t="shared" si="2"/>
        <v>1</v>
      </c>
      <c r="L12" s="44">
        <f t="shared" si="2"/>
        <v>1</v>
      </c>
      <c r="M12" s="44">
        <f t="shared" si="2"/>
        <v>1</v>
      </c>
      <c r="N12" s="77">
        <f t="shared" si="2"/>
        <v>1</v>
      </c>
      <c r="O12" s="46">
        <f t="shared" si="2"/>
        <v>1</v>
      </c>
      <c r="P12" s="44">
        <f t="shared" si="2"/>
        <v>1</v>
      </c>
      <c r="Q12" s="44">
        <f t="shared" si="2"/>
        <v>0.66666666666666663</v>
      </c>
      <c r="R12" s="44">
        <f t="shared" si="2"/>
        <v>0.5</v>
      </c>
      <c r="S12" s="45">
        <f t="shared" si="2"/>
        <v>0.5</v>
      </c>
    </row>
    <row r="13" spans="2:19" ht="6.75" customHeight="1">
      <c r="B13" s="83"/>
      <c r="C13" s="60"/>
      <c r="D13" s="70"/>
      <c r="E13" s="39"/>
      <c r="F13" s="40"/>
      <c r="G13" s="40"/>
      <c r="H13" s="40"/>
      <c r="I13" s="40"/>
      <c r="J13" s="40"/>
      <c r="K13" s="40"/>
      <c r="L13" s="40"/>
      <c r="M13" s="40"/>
      <c r="N13" s="47"/>
      <c r="O13" s="42"/>
      <c r="P13" s="40"/>
      <c r="Q13" s="40"/>
      <c r="R13" s="40"/>
      <c r="S13" s="41"/>
    </row>
    <row r="14" spans="2:19">
      <c r="B14" s="83"/>
      <c r="C14" s="61" t="str">
        <f>Translations!A125</f>
        <v>Loan Write-off</v>
      </c>
      <c r="D14" s="72"/>
      <c r="E14" s="39"/>
      <c r="F14" s="40"/>
      <c r="G14" s="40"/>
      <c r="H14" s="40"/>
      <c r="I14" s="40"/>
      <c r="J14" s="40"/>
      <c r="K14" s="40"/>
      <c r="L14" s="40"/>
      <c r="M14" s="40"/>
      <c r="N14" s="47"/>
      <c r="O14" s="42"/>
      <c r="P14" s="40"/>
      <c r="Q14" s="40"/>
      <c r="R14" s="40"/>
      <c r="S14" s="41"/>
    </row>
    <row r="15" spans="2:19">
      <c r="B15" s="83" t="s">
        <v>71</v>
      </c>
      <c r="C15" s="67" t="str">
        <f>Translations!A126</f>
        <v>Annual Loan Write-off %</v>
      </c>
      <c r="D15" s="70"/>
      <c r="E15" s="112">
        <v>0.02</v>
      </c>
      <c r="F15" s="113">
        <v>0.02</v>
      </c>
      <c r="G15" s="113">
        <v>0.02</v>
      </c>
      <c r="H15" s="113">
        <v>0.02</v>
      </c>
      <c r="I15" s="113">
        <v>0.02</v>
      </c>
      <c r="J15" s="113">
        <v>0.02</v>
      </c>
      <c r="K15" s="113">
        <v>0.02</v>
      </c>
      <c r="L15" s="113">
        <v>0.02</v>
      </c>
      <c r="M15" s="113">
        <v>0.02</v>
      </c>
      <c r="N15" s="114">
        <v>0.02</v>
      </c>
      <c r="O15" s="115">
        <v>0.02</v>
      </c>
      <c r="P15" s="113">
        <v>0.02</v>
      </c>
      <c r="Q15" s="113">
        <v>0.02</v>
      </c>
      <c r="R15" s="113">
        <v>0.02</v>
      </c>
      <c r="S15" s="116">
        <v>0.02</v>
      </c>
    </row>
    <row r="16" spans="2:19">
      <c r="B16" s="83" t="s">
        <v>72</v>
      </c>
      <c r="C16" s="67" t="str">
        <f>Translations!A127</f>
        <v>Annual LL Provision</v>
      </c>
      <c r="D16" s="70" t="s">
        <v>89</v>
      </c>
      <c r="E16" s="841">
        <f t="shared" ref="E16:S16" si="3">E8*E15</f>
        <v>0.5</v>
      </c>
      <c r="F16" s="842">
        <f t="shared" si="3"/>
        <v>0.75</v>
      </c>
      <c r="G16" s="842">
        <f t="shared" si="3"/>
        <v>1</v>
      </c>
      <c r="H16" s="842">
        <f t="shared" si="3"/>
        <v>1.5</v>
      </c>
      <c r="I16" s="842">
        <f t="shared" si="3"/>
        <v>2.5</v>
      </c>
      <c r="J16" s="842">
        <f t="shared" si="3"/>
        <v>5</v>
      </c>
      <c r="K16" s="842">
        <f t="shared" si="3"/>
        <v>7.5</v>
      </c>
      <c r="L16" s="842">
        <f t="shared" si="3"/>
        <v>10</v>
      </c>
      <c r="M16" s="842">
        <f t="shared" si="3"/>
        <v>15</v>
      </c>
      <c r="N16" s="847">
        <f t="shared" si="3"/>
        <v>20</v>
      </c>
      <c r="O16" s="844">
        <f t="shared" si="3"/>
        <v>30</v>
      </c>
      <c r="P16" s="842">
        <f t="shared" si="3"/>
        <v>50</v>
      </c>
      <c r="Q16" s="842">
        <f t="shared" si="3"/>
        <v>100</v>
      </c>
      <c r="R16" s="842">
        <f t="shared" si="3"/>
        <v>150</v>
      </c>
      <c r="S16" s="845">
        <f t="shared" si="3"/>
        <v>200</v>
      </c>
    </row>
    <row r="17" spans="2:19" ht="6" customHeight="1">
      <c r="B17" s="83"/>
      <c r="C17" s="60"/>
      <c r="D17" s="70"/>
      <c r="E17" s="39"/>
      <c r="F17" s="40"/>
      <c r="G17" s="40"/>
      <c r="H17" s="40"/>
      <c r="I17" s="40"/>
      <c r="J17" s="40"/>
      <c r="K17" s="40"/>
      <c r="L17" s="40"/>
      <c r="M17" s="40"/>
      <c r="N17" s="47"/>
      <c r="O17" s="42"/>
      <c r="P17" s="40"/>
      <c r="Q17" s="40"/>
      <c r="R17" s="40"/>
      <c r="S17" s="41"/>
    </row>
    <row r="18" spans="2:19">
      <c r="B18" s="83"/>
      <c r="C18" s="61" t="str">
        <f>Translations!A128</f>
        <v>Financial Cost</v>
      </c>
      <c r="D18" s="72"/>
      <c r="E18" s="39"/>
      <c r="F18" s="40"/>
      <c r="G18" s="40"/>
      <c r="H18" s="40"/>
      <c r="I18" s="40"/>
      <c r="J18" s="40"/>
      <c r="K18" s="40"/>
      <c r="L18" s="40"/>
      <c r="M18" s="40"/>
      <c r="N18" s="47"/>
      <c r="O18" s="42"/>
      <c r="P18" s="40"/>
      <c r="Q18" s="40"/>
      <c r="R18" s="40"/>
      <c r="S18" s="41"/>
    </row>
    <row r="19" spans="2:19">
      <c r="B19" s="83" t="s">
        <v>73</v>
      </c>
      <c r="C19" s="67" t="str">
        <f>Translations!A129</f>
        <v>Cost of Funds (%)</v>
      </c>
      <c r="D19" s="70"/>
      <c r="E19" s="112">
        <v>0.08</v>
      </c>
      <c r="F19" s="113">
        <v>0.08</v>
      </c>
      <c r="G19" s="113">
        <v>0.08</v>
      </c>
      <c r="H19" s="113">
        <v>0.08</v>
      </c>
      <c r="I19" s="113">
        <v>0.08</v>
      </c>
      <c r="J19" s="113">
        <v>0.08</v>
      </c>
      <c r="K19" s="113">
        <v>0.08</v>
      </c>
      <c r="L19" s="113">
        <v>0.08</v>
      </c>
      <c r="M19" s="113">
        <v>0.08</v>
      </c>
      <c r="N19" s="114">
        <v>0.08</v>
      </c>
      <c r="O19" s="115">
        <v>0.06</v>
      </c>
      <c r="P19" s="113">
        <v>0.06</v>
      </c>
      <c r="Q19" s="113">
        <v>0.06</v>
      </c>
      <c r="R19" s="113">
        <v>0.06</v>
      </c>
      <c r="S19" s="116">
        <v>0.06</v>
      </c>
    </row>
    <row r="20" spans="2:19">
      <c r="B20" s="83" t="s">
        <v>74</v>
      </c>
      <c r="C20" s="67" t="str">
        <f>Translations!A130</f>
        <v>Annual Financial Cost</v>
      </c>
      <c r="D20" s="70" t="s">
        <v>102</v>
      </c>
      <c r="E20" s="841">
        <f t="shared" ref="E20:S20" si="4">E8*E19</f>
        <v>2</v>
      </c>
      <c r="F20" s="842">
        <f t="shared" si="4"/>
        <v>3</v>
      </c>
      <c r="G20" s="842">
        <f t="shared" si="4"/>
        <v>4</v>
      </c>
      <c r="H20" s="842">
        <f t="shared" si="4"/>
        <v>6</v>
      </c>
      <c r="I20" s="842">
        <f t="shared" si="4"/>
        <v>10</v>
      </c>
      <c r="J20" s="842">
        <f t="shared" si="4"/>
        <v>20</v>
      </c>
      <c r="K20" s="842">
        <f t="shared" si="4"/>
        <v>30</v>
      </c>
      <c r="L20" s="842">
        <f t="shared" si="4"/>
        <v>40</v>
      </c>
      <c r="M20" s="842">
        <f t="shared" si="4"/>
        <v>60</v>
      </c>
      <c r="N20" s="847">
        <f t="shared" si="4"/>
        <v>80</v>
      </c>
      <c r="O20" s="844">
        <f t="shared" si="4"/>
        <v>90</v>
      </c>
      <c r="P20" s="842">
        <f t="shared" si="4"/>
        <v>150</v>
      </c>
      <c r="Q20" s="842">
        <f t="shared" si="4"/>
        <v>300</v>
      </c>
      <c r="R20" s="842">
        <f t="shared" si="4"/>
        <v>450</v>
      </c>
      <c r="S20" s="845">
        <f t="shared" si="4"/>
        <v>600</v>
      </c>
    </row>
    <row r="21" spans="2:19" ht="8.25" customHeight="1">
      <c r="B21" s="83"/>
      <c r="C21" s="60"/>
      <c r="D21" s="70"/>
      <c r="E21" s="39"/>
      <c r="F21" s="40"/>
      <c r="G21" s="40"/>
      <c r="H21" s="40"/>
      <c r="I21" s="40"/>
      <c r="J21" s="40"/>
      <c r="K21" s="40"/>
      <c r="L21" s="40"/>
      <c r="M21" s="40"/>
      <c r="N21" s="47"/>
      <c r="O21" s="42"/>
      <c r="P21" s="40"/>
      <c r="Q21" s="40"/>
      <c r="R21" s="40"/>
      <c r="S21" s="41"/>
    </row>
    <row r="22" spans="2:19">
      <c r="B22" s="83"/>
      <c r="C22" s="61" t="str">
        <f>Translations!A131</f>
        <v>Operating Cost Calculation</v>
      </c>
      <c r="D22" s="72"/>
      <c r="E22" s="39"/>
      <c r="F22" s="40"/>
      <c r="G22" s="40"/>
      <c r="H22" s="40"/>
      <c r="I22" s="40"/>
      <c r="J22" s="40"/>
      <c r="K22" s="40"/>
      <c r="L22" s="40"/>
      <c r="M22" s="40"/>
      <c r="N22" s="47"/>
      <c r="O22" s="42"/>
      <c r="P22" s="40"/>
      <c r="Q22" s="40"/>
      <c r="R22" s="40"/>
      <c r="S22" s="41"/>
    </row>
    <row r="23" spans="2:19">
      <c r="B23" s="83" t="s">
        <v>75</v>
      </c>
      <c r="C23" s="67" t="str">
        <f>Translations!A132</f>
        <v>Cost to initiate loan</v>
      </c>
      <c r="D23" s="70"/>
      <c r="E23" s="836">
        <v>25</v>
      </c>
      <c r="F23" s="837">
        <v>25</v>
      </c>
      <c r="G23" s="837">
        <v>30</v>
      </c>
      <c r="H23" s="837">
        <v>35</v>
      </c>
      <c r="I23" s="837">
        <v>40</v>
      </c>
      <c r="J23" s="837">
        <v>50</v>
      </c>
      <c r="K23" s="837">
        <v>60</v>
      </c>
      <c r="L23" s="837">
        <v>70</v>
      </c>
      <c r="M23" s="837">
        <v>75</v>
      </c>
      <c r="N23" s="848">
        <v>75</v>
      </c>
      <c r="O23" s="839">
        <v>75</v>
      </c>
      <c r="P23" s="837">
        <v>100</v>
      </c>
      <c r="Q23" s="837">
        <v>250</v>
      </c>
      <c r="R23" s="837">
        <v>500</v>
      </c>
      <c r="S23" s="840">
        <v>1000</v>
      </c>
    </row>
    <row r="24" spans="2:19">
      <c r="B24" s="83" t="s">
        <v>76</v>
      </c>
      <c r="C24" s="67" t="str">
        <f>Translations!A133</f>
        <v>Annual initiation costs</v>
      </c>
      <c r="D24" s="70" t="s">
        <v>103</v>
      </c>
      <c r="E24" s="841">
        <f t="shared" ref="E24:S24" si="5">E12*E23</f>
        <v>25</v>
      </c>
      <c r="F24" s="842">
        <f t="shared" si="5"/>
        <v>25</v>
      </c>
      <c r="G24" s="842">
        <f t="shared" si="5"/>
        <v>30</v>
      </c>
      <c r="H24" s="842">
        <f t="shared" si="5"/>
        <v>35</v>
      </c>
      <c r="I24" s="842">
        <f t="shared" si="5"/>
        <v>40</v>
      </c>
      <c r="J24" s="842">
        <f t="shared" si="5"/>
        <v>50</v>
      </c>
      <c r="K24" s="842">
        <f t="shared" si="5"/>
        <v>60</v>
      </c>
      <c r="L24" s="842">
        <f t="shared" si="5"/>
        <v>70</v>
      </c>
      <c r="M24" s="842">
        <f t="shared" si="5"/>
        <v>75</v>
      </c>
      <c r="N24" s="847">
        <f t="shared" si="5"/>
        <v>75</v>
      </c>
      <c r="O24" s="844">
        <f t="shared" si="5"/>
        <v>75</v>
      </c>
      <c r="P24" s="842">
        <f t="shared" si="5"/>
        <v>100</v>
      </c>
      <c r="Q24" s="842">
        <f t="shared" si="5"/>
        <v>166.66666666666666</v>
      </c>
      <c r="R24" s="842">
        <f t="shared" si="5"/>
        <v>250</v>
      </c>
      <c r="S24" s="845">
        <f t="shared" si="5"/>
        <v>500</v>
      </c>
    </row>
    <row r="25" spans="2:19">
      <c r="B25" s="83" t="s">
        <v>77</v>
      </c>
      <c r="C25" s="67" t="str">
        <f>Translations!A134</f>
        <v>Monthly loan monitoring cost</v>
      </c>
      <c r="D25" s="70"/>
      <c r="E25" s="836">
        <v>2</v>
      </c>
      <c r="F25" s="837">
        <v>2</v>
      </c>
      <c r="G25" s="837">
        <v>3</v>
      </c>
      <c r="H25" s="837">
        <v>3</v>
      </c>
      <c r="I25" s="837">
        <v>4</v>
      </c>
      <c r="J25" s="837">
        <v>4</v>
      </c>
      <c r="K25" s="837">
        <v>5</v>
      </c>
      <c r="L25" s="837">
        <v>6</v>
      </c>
      <c r="M25" s="837">
        <v>7</v>
      </c>
      <c r="N25" s="848">
        <v>7</v>
      </c>
      <c r="O25" s="839">
        <v>7</v>
      </c>
      <c r="P25" s="837">
        <v>10</v>
      </c>
      <c r="Q25" s="837">
        <v>15</v>
      </c>
      <c r="R25" s="837">
        <v>25</v>
      </c>
      <c r="S25" s="840">
        <v>50</v>
      </c>
    </row>
    <row r="26" spans="2:19">
      <c r="B26" s="83" t="s">
        <v>78</v>
      </c>
      <c r="C26" s="67" t="str">
        <f>Translations!A135</f>
        <v>Annual monitoring cost</v>
      </c>
      <c r="D26" s="70" t="s">
        <v>104</v>
      </c>
      <c r="E26" s="841">
        <f t="shared" ref="E26:S26" si="6">E25*12</f>
        <v>24</v>
      </c>
      <c r="F26" s="842">
        <f t="shared" si="6"/>
        <v>24</v>
      </c>
      <c r="G26" s="842">
        <f t="shared" si="6"/>
        <v>36</v>
      </c>
      <c r="H26" s="842">
        <f t="shared" si="6"/>
        <v>36</v>
      </c>
      <c r="I26" s="842">
        <f t="shared" si="6"/>
        <v>48</v>
      </c>
      <c r="J26" s="842">
        <f t="shared" si="6"/>
        <v>48</v>
      </c>
      <c r="K26" s="842">
        <f t="shared" si="6"/>
        <v>60</v>
      </c>
      <c r="L26" s="842">
        <f t="shared" si="6"/>
        <v>72</v>
      </c>
      <c r="M26" s="842">
        <f t="shared" si="6"/>
        <v>84</v>
      </c>
      <c r="N26" s="847">
        <f t="shared" si="6"/>
        <v>84</v>
      </c>
      <c r="O26" s="844">
        <f t="shared" si="6"/>
        <v>84</v>
      </c>
      <c r="P26" s="842">
        <f t="shared" si="6"/>
        <v>120</v>
      </c>
      <c r="Q26" s="842">
        <f t="shared" si="6"/>
        <v>180</v>
      </c>
      <c r="R26" s="842">
        <f t="shared" si="6"/>
        <v>300</v>
      </c>
      <c r="S26" s="845">
        <f t="shared" si="6"/>
        <v>600</v>
      </c>
    </row>
    <row r="27" spans="2:19">
      <c r="B27" s="83" t="s">
        <v>79</v>
      </c>
      <c r="C27" s="67" t="str">
        <f>Translations!A136</f>
        <v>Total Annual Operating Costs</v>
      </c>
      <c r="D27" s="70" t="s">
        <v>105</v>
      </c>
      <c r="E27" s="841">
        <f t="shared" ref="E27:S27" si="7">E24+E26</f>
        <v>49</v>
      </c>
      <c r="F27" s="842">
        <f t="shared" si="7"/>
        <v>49</v>
      </c>
      <c r="G27" s="842">
        <f t="shared" si="7"/>
        <v>66</v>
      </c>
      <c r="H27" s="842">
        <f t="shared" si="7"/>
        <v>71</v>
      </c>
      <c r="I27" s="842">
        <f t="shared" si="7"/>
        <v>88</v>
      </c>
      <c r="J27" s="842">
        <f t="shared" si="7"/>
        <v>98</v>
      </c>
      <c r="K27" s="842">
        <f t="shared" si="7"/>
        <v>120</v>
      </c>
      <c r="L27" s="842">
        <f t="shared" si="7"/>
        <v>142</v>
      </c>
      <c r="M27" s="842">
        <f t="shared" si="7"/>
        <v>159</v>
      </c>
      <c r="N27" s="847">
        <f t="shared" si="7"/>
        <v>159</v>
      </c>
      <c r="O27" s="844">
        <f t="shared" si="7"/>
        <v>159</v>
      </c>
      <c r="P27" s="842">
        <f t="shared" si="7"/>
        <v>220</v>
      </c>
      <c r="Q27" s="842">
        <f t="shared" si="7"/>
        <v>346.66666666666663</v>
      </c>
      <c r="R27" s="842">
        <f t="shared" si="7"/>
        <v>550</v>
      </c>
      <c r="S27" s="845">
        <f t="shared" si="7"/>
        <v>1100</v>
      </c>
    </row>
    <row r="28" spans="2:19">
      <c r="B28" s="83" t="s">
        <v>80</v>
      </c>
      <c r="C28" s="68" t="str">
        <f>Translations!A137</f>
        <v>Average Outstanding Balance</v>
      </c>
      <c r="D28" s="73" t="s">
        <v>66</v>
      </c>
      <c r="E28" s="849">
        <f>E8</f>
        <v>25</v>
      </c>
      <c r="F28" s="850">
        <f t="shared" ref="F28:S28" si="8">F8</f>
        <v>37.5</v>
      </c>
      <c r="G28" s="850">
        <f t="shared" si="8"/>
        <v>50</v>
      </c>
      <c r="H28" s="850">
        <f t="shared" si="8"/>
        <v>75</v>
      </c>
      <c r="I28" s="850">
        <f t="shared" si="8"/>
        <v>125</v>
      </c>
      <c r="J28" s="850">
        <f t="shared" si="8"/>
        <v>250</v>
      </c>
      <c r="K28" s="850">
        <f t="shared" si="8"/>
        <v>375</v>
      </c>
      <c r="L28" s="850">
        <f t="shared" si="8"/>
        <v>500</v>
      </c>
      <c r="M28" s="850">
        <f t="shared" si="8"/>
        <v>750</v>
      </c>
      <c r="N28" s="851">
        <f t="shared" si="8"/>
        <v>1000</v>
      </c>
      <c r="O28" s="852">
        <f t="shared" si="8"/>
        <v>1500</v>
      </c>
      <c r="P28" s="850">
        <f t="shared" si="8"/>
        <v>2500</v>
      </c>
      <c r="Q28" s="850">
        <f t="shared" si="8"/>
        <v>5000</v>
      </c>
      <c r="R28" s="850">
        <f t="shared" si="8"/>
        <v>7500</v>
      </c>
      <c r="S28" s="851">
        <f t="shared" si="8"/>
        <v>10000</v>
      </c>
    </row>
    <row r="29" spans="2:19">
      <c r="B29" s="83" t="s">
        <v>81</v>
      </c>
      <c r="C29" s="62" t="str">
        <f>Translations!A138</f>
        <v>Annual Operating Cost Ratio</v>
      </c>
      <c r="D29" s="74" t="s">
        <v>106</v>
      </c>
      <c r="E29" s="48">
        <f>IF(E8,E27/E8,NA())</f>
        <v>1.96</v>
      </c>
      <c r="F29" s="49">
        <f t="shared" ref="F29:S29" si="9">IF(F8,F27/F8,NA())</f>
        <v>1.3066666666666666</v>
      </c>
      <c r="G29" s="49">
        <f t="shared" si="9"/>
        <v>1.32</v>
      </c>
      <c r="H29" s="49">
        <f t="shared" si="9"/>
        <v>0.94666666666666666</v>
      </c>
      <c r="I29" s="49">
        <f t="shared" si="9"/>
        <v>0.70399999999999996</v>
      </c>
      <c r="J29" s="49">
        <f t="shared" si="9"/>
        <v>0.39200000000000002</v>
      </c>
      <c r="K29" s="49">
        <f t="shared" si="9"/>
        <v>0.32</v>
      </c>
      <c r="L29" s="49">
        <f t="shared" si="9"/>
        <v>0.28399999999999997</v>
      </c>
      <c r="M29" s="49">
        <f t="shared" si="9"/>
        <v>0.21199999999999999</v>
      </c>
      <c r="N29" s="78">
        <f t="shared" si="9"/>
        <v>0.159</v>
      </c>
      <c r="O29" s="51">
        <f t="shared" si="9"/>
        <v>0.106</v>
      </c>
      <c r="P29" s="49">
        <f t="shared" si="9"/>
        <v>8.7999999999999995E-2</v>
      </c>
      <c r="Q29" s="49">
        <f t="shared" si="9"/>
        <v>6.933333333333333E-2</v>
      </c>
      <c r="R29" s="49">
        <f t="shared" si="9"/>
        <v>7.3333333333333334E-2</v>
      </c>
      <c r="S29" s="50">
        <f t="shared" si="9"/>
        <v>0.11</v>
      </c>
    </row>
    <row r="30" spans="2:19" ht="6.75" customHeight="1">
      <c r="B30" s="83"/>
      <c r="C30" s="60"/>
      <c r="D30" s="70"/>
      <c r="E30" s="39"/>
      <c r="F30" s="40"/>
      <c r="G30" s="40"/>
      <c r="H30" s="40"/>
      <c r="I30" s="40"/>
      <c r="J30" s="40"/>
      <c r="K30" s="40"/>
      <c r="L30" s="40"/>
      <c r="M30" s="40"/>
      <c r="N30" s="47"/>
      <c r="O30" s="42"/>
      <c r="P30" s="40"/>
      <c r="Q30" s="40"/>
      <c r="R30" s="40"/>
      <c r="S30" s="41"/>
    </row>
    <row r="31" spans="2:19">
      <c r="B31" s="83"/>
      <c r="C31" s="63" t="str">
        <f>Translations!A139</f>
        <v>Cost Structure (%)</v>
      </c>
      <c r="D31" s="72"/>
      <c r="E31" s="39"/>
      <c r="F31" s="40"/>
      <c r="G31" s="40"/>
      <c r="H31" s="40"/>
      <c r="I31" s="40"/>
      <c r="J31" s="40"/>
      <c r="K31" s="40"/>
      <c r="L31" s="40"/>
      <c r="M31" s="40"/>
      <c r="N31" s="47"/>
      <c r="O31" s="42"/>
      <c r="P31" s="40"/>
      <c r="Q31" s="40"/>
      <c r="R31" s="40"/>
      <c r="S31" s="41"/>
    </row>
    <row r="32" spans="2:19">
      <c r="B32" s="83" t="s">
        <v>82</v>
      </c>
      <c r="C32" s="67" t="str">
        <f>C39</f>
        <v>LL Provision</v>
      </c>
      <c r="D32" s="70" t="s">
        <v>71</v>
      </c>
      <c r="E32" s="52">
        <f>IF(E8,E39/E$8,NA())</f>
        <v>0.02</v>
      </c>
      <c r="F32" s="53">
        <f t="shared" ref="F32:S32" si="10">IF(F8,F39/F$8,NA())</f>
        <v>0.02</v>
      </c>
      <c r="G32" s="53">
        <f t="shared" si="10"/>
        <v>0.02</v>
      </c>
      <c r="H32" s="53">
        <f t="shared" si="10"/>
        <v>0.02</v>
      </c>
      <c r="I32" s="53">
        <f t="shared" si="10"/>
        <v>0.02</v>
      </c>
      <c r="J32" s="53">
        <f t="shared" si="10"/>
        <v>0.02</v>
      </c>
      <c r="K32" s="53">
        <f t="shared" si="10"/>
        <v>0.02</v>
      </c>
      <c r="L32" s="53">
        <f t="shared" si="10"/>
        <v>0.02</v>
      </c>
      <c r="M32" s="53">
        <f t="shared" si="10"/>
        <v>0.02</v>
      </c>
      <c r="N32" s="79">
        <f t="shared" si="10"/>
        <v>0.02</v>
      </c>
      <c r="O32" s="55">
        <f t="shared" si="10"/>
        <v>0.02</v>
      </c>
      <c r="P32" s="53">
        <f t="shared" si="10"/>
        <v>0.02</v>
      </c>
      <c r="Q32" s="53">
        <f t="shared" si="10"/>
        <v>0.02</v>
      </c>
      <c r="R32" s="53">
        <f t="shared" si="10"/>
        <v>0.02</v>
      </c>
      <c r="S32" s="54">
        <f t="shared" si="10"/>
        <v>0.02</v>
      </c>
    </row>
    <row r="33" spans="2:19">
      <c r="B33" s="83" t="s">
        <v>83</v>
      </c>
      <c r="C33" s="67" t="str">
        <f>C40</f>
        <v>Financial Cost</v>
      </c>
      <c r="D33" s="70" t="s">
        <v>73</v>
      </c>
      <c r="E33" s="52">
        <f>IF(E8,E40/E$8,NA())</f>
        <v>0.08</v>
      </c>
      <c r="F33" s="53">
        <f t="shared" ref="F33:S33" si="11">IF(F8,F40/F$8,NA())</f>
        <v>0.08</v>
      </c>
      <c r="G33" s="53">
        <f t="shared" si="11"/>
        <v>0.08</v>
      </c>
      <c r="H33" s="53">
        <f t="shared" si="11"/>
        <v>0.08</v>
      </c>
      <c r="I33" s="53">
        <f t="shared" si="11"/>
        <v>0.08</v>
      </c>
      <c r="J33" s="53">
        <f t="shared" si="11"/>
        <v>0.08</v>
      </c>
      <c r="K33" s="53">
        <f t="shared" si="11"/>
        <v>0.08</v>
      </c>
      <c r="L33" s="53">
        <f t="shared" si="11"/>
        <v>0.08</v>
      </c>
      <c r="M33" s="53">
        <f t="shared" si="11"/>
        <v>0.08</v>
      </c>
      <c r="N33" s="79">
        <f t="shared" si="11"/>
        <v>0.08</v>
      </c>
      <c r="O33" s="55">
        <f t="shared" si="11"/>
        <v>0.06</v>
      </c>
      <c r="P33" s="53">
        <f t="shared" si="11"/>
        <v>0.06</v>
      </c>
      <c r="Q33" s="53">
        <f t="shared" si="11"/>
        <v>0.06</v>
      </c>
      <c r="R33" s="53">
        <f t="shared" si="11"/>
        <v>0.06</v>
      </c>
      <c r="S33" s="54">
        <f t="shared" si="11"/>
        <v>0.06</v>
      </c>
    </row>
    <row r="34" spans="2:19">
      <c r="B34" s="83" t="s">
        <v>84</v>
      </c>
      <c r="C34" s="67" t="str">
        <f>C41</f>
        <v>Operating Costs</v>
      </c>
      <c r="D34" s="70" t="s">
        <v>81</v>
      </c>
      <c r="E34" s="52">
        <f>IF(E8,E41/E$8,NA())</f>
        <v>1.96</v>
      </c>
      <c r="F34" s="53">
        <f t="shared" ref="F34:S34" si="12">IF(F8,F41/F$8,NA())</f>
        <v>1.3066666666666666</v>
      </c>
      <c r="G34" s="53">
        <f t="shared" si="12"/>
        <v>1.32</v>
      </c>
      <c r="H34" s="53">
        <f t="shared" si="12"/>
        <v>0.94666666666666666</v>
      </c>
      <c r="I34" s="53">
        <f t="shared" si="12"/>
        <v>0.70399999999999996</v>
      </c>
      <c r="J34" s="53">
        <f t="shared" si="12"/>
        <v>0.39200000000000002</v>
      </c>
      <c r="K34" s="53">
        <f t="shared" si="12"/>
        <v>0.32</v>
      </c>
      <c r="L34" s="53">
        <f t="shared" si="12"/>
        <v>0.28399999999999997</v>
      </c>
      <c r="M34" s="53">
        <f t="shared" si="12"/>
        <v>0.21199999999999999</v>
      </c>
      <c r="N34" s="79">
        <f t="shared" si="12"/>
        <v>0.159</v>
      </c>
      <c r="O34" s="55">
        <f t="shared" si="12"/>
        <v>0.106</v>
      </c>
      <c r="P34" s="53">
        <f t="shared" si="12"/>
        <v>8.7999999999999995E-2</v>
      </c>
      <c r="Q34" s="53">
        <f t="shared" si="12"/>
        <v>6.933333333333333E-2</v>
      </c>
      <c r="R34" s="53">
        <f t="shared" si="12"/>
        <v>7.3333333333333334E-2</v>
      </c>
      <c r="S34" s="54">
        <f t="shared" si="12"/>
        <v>0.11</v>
      </c>
    </row>
    <row r="35" spans="2:19">
      <c r="B35" s="83" t="s">
        <v>85</v>
      </c>
      <c r="C35" s="64" t="s">
        <v>94</v>
      </c>
      <c r="D35" s="74" t="s">
        <v>107</v>
      </c>
      <c r="E35" s="48">
        <f>IF(E8,E42/E$8,NA())</f>
        <v>2.06</v>
      </c>
      <c r="F35" s="49">
        <f t="shared" ref="F35:S35" si="13">IF(F8,F42/F$8,NA())</f>
        <v>1.4066666666666667</v>
      </c>
      <c r="G35" s="49">
        <f t="shared" si="13"/>
        <v>1.42</v>
      </c>
      <c r="H35" s="49">
        <f t="shared" si="13"/>
        <v>1.0466666666666666</v>
      </c>
      <c r="I35" s="49">
        <f t="shared" si="13"/>
        <v>0.80400000000000005</v>
      </c>
      <c r="J35" s="49">
        <f t="shared" si="13"/>
        <v>0.49199999999999999</v>
      </c>
      <c r="K35" s="49">
        <f t="shared" si="13"/>
        <v>0.42</v>
      </c>
      <c r="L35" s="49">
        <f t="shared" si="13"/>
        <v>0.38400000000000001</v>
      </c>
      <c r="M35" s="58">
        <f t="shared" si="13"/>
        <v>0.312</v>
      </c>
      <c r="N35" s="80">
        <f t="shared" si="13"/>
        <v>0.25900000000000001</v>
      </c>
      <c r="O35" s="57">
        <f t="shared" si="13"/>
        <v>0.186</v>
      </c>
      <c r="P35" s="58">
        <f t="shared" si="13"/>
        <v>0.16800000000000001</v>
      </c>
      <c r="Q35" s="58">
        <f t="shared" si="13"/>
        <v>0.14933333333333332</v>
      </c>
      <c r="R35" s="58">
        <f t="shared" si="13"/>
        <v>0.15333333333333332</v>
      </c>
      <c r="S35" s="56">
        <f t="shared" si="13"/>
        <v>0.19</v>
      </c>
    </row>
    <row r="36" spans="2:19">
      <c r="B36" s="83" t="s">
        <v>86</v>
      </c>
      <c r="C36" s="69" t="s">
        <v>63</v>
      </c>
      <c r="D36" s="73" t="s">
        <v>65</v>
      </c>
      <c r="E36" s="853">
        <f t="shared" ref="E36:S36" si="14">E7</f>
        <v>50</v>
      </c>
      <c r="F36" s="854">
        <f t="shared" si="14"/>
        <v>75</v>
      </c>
      <c r="G36" s="854">
        <f t="shared" si="14"/>
        <v>100</v>
      </c>
      <c r="H36" s="854">
        <f t="shared" si="14"/>
        <v>150</v>
      </c>
      <c r="I36" s="854">
        <f t="shared" si="14"/>
        <v>250</v>
      </c>
      <c r="J36" s="854">
        <f t="shared" si="14"/>
        <v>500</v>
      </c>
      <c r="K36" s="854">
        <f t="shared" si="14"/>
        <v>750</v>
      </c>
      <c r="L36" s="854">
        <f t="shared" si="14"/>
        <v>1000</v>
      </c>
      <c r="M36" s="854">
        <f t="shared" si="14"/>
        <v>1500</v>
      </c>
      <c r="N36" s="855">
        <f t="shared" si="14"/>
        <v>2000</v>
      </c>
      <c r="O36" s="856">
        <f t="shared" si="14"/>
        <v>3000</v>
      </c>
      <c r="P36" s="854">
        <f t="shared" si="14"/>
        <v>5000</v>
      </c>
      <c r="Q36" s="854">
        <f t="shared" si="14"/>
        <v>10000</v>
      </c>
      <c r="R36" s="854">
        <f t="shared" si="14"/>
        <v>15000</v>
      </c>
      <c r="S36" s="855">
        <f t="shared" si="14"/>
        <v>20000</v>
      </c>
    </row>
    <row r="37" spans="2:19" ht="7.5" customHeight="1">
      <c r="B37" s="83"/>
      <c r="C37" s="65"/>
      <c r="D37" s="73"/>
      <c r="E37" s="853"/>
      <c r="F37" s="854"/>
      <c r="G37" s="854"/>
      <c r="H37" s="854"/>
      <c r="I37" s="854"/>
      <c r="J37" s="854"/>
      <c r="K37" s="854"/>
      <c r="L37" s="854"/>
      <c r="M37" s="854"/>
      <c r="N37" s="855"/>
      <c r="O37" s="856"/>
      <c r="P37" s="854"/>
      <c r="Q37" s="854"/>
      <c r="R37" s="854"/>
      <c r="S37" s="855"/>
    </row>
    <row r="38" spans="2:19">
      <c r="B38" s="83"/>
      <c r="C38" s="61" t="s">
        <v>39</v>
      </c>
      <c r="D38" s="72"/>
      <c r="E38" s="841"/>
      <c r="F38" s="842"/>
      <c r="G38" s="842"/>
      <c r="H38" s="842"/>
      <c r="I38" s="842"/>
      <c r="J38" s="842"/>
      <c r="K38" s="842"/>
      <c r="L38" s="842"/>
      <c r="M38" s="842"/>
      <c r="N38" s="847"/>
      <c r="O38" s="844"/>
      <c r="P38" s="842"/>
      <c r="Q38" s="842"/>
      <c r="R38" s="842"/>
      <c r="S38" s="845"/>
    </row>
    <row r="39" spans="2:19">
      <c r="B39" s="83" t="s">
        <v>87</v>
      </c>
      <c r="C39" s="67" t="s">
        <v>38</v>
      </c>
      <c r="D39" s="70" t="s">
        <v>72</v>
      </c>
      <c r="E39" s="841">
        <f t="shared" ref="E39:S39" si="15">E16</f>
        <v>0.5</v>
      </c>
      <c r="F39" s="842">
        <f t="shared" si="15"/>
        <v>0.75</v>
      </c>
      <c r="G39" s="842">
        <f t="shared" si="15"/>
        <v>1</v>
      </c>
      <c r="H39" s="842">
        <f t="shared" si="15"/>
        <v>1.5</v>
      </c>
      <c r="I39" s="842">
        <f t="shared" si="15"/>
        <v>2.5</v>
      </c>
      <c r="J39" s="842">
        <f t="shared" si="15"/>
        <v>5</v>
      </c>
      <c r="K39" s="842">
        <f t="shared" si="15"/>
        <v>7.5</v>
      </c>
      <c r="L39" s="842">
        <f t="shared" si="15"/>
        <v>10</v>
      </c>
      <c r="M39" s="842">
        <f t="shared" si="15"/>
        <v>15</v>
      </c>
      <c r="N39" s="847">
        <f t="shared" si="15"/>
        <v>20</v>
      </c>
      <c r="O39" s="844">
        <f t="shared" si="15"/>
        <v>30</v>
      </c>
      <c r="P39" s="842">
        <f t="shared" si="15"/>
        <v>50</v>
      </c>
      <c r="Q39" s="842">
        <f t="shared" si="15"/>
        <v>100</v>
      </c>
      <c r="R39" s="842">
        <f t="shared" si="15"/>
        <v>150</v>
      </c>
      <c r="S39" s="845">
        <f t="shared" si="15"/>
        <v>200</v>
      </c>
    </row>
    <row r="40" spans="2:19">
      <c r="B40" s="83" t="s">
        <v>17</v>
      </c>
      <c r="C40" s="67" t="s">
        <v>37</v>
      </c>
      <c r="D40" s="70" t="s">
        <v>74</v>
      </c>
      <c r="E40" s="841">
        <f t="shared" ref="E40:S40" si="16">E20</f>
        <v>2</v>
      </c>
      <c r="F40" s="842">
        <f t="shared" si="16"/>
        <v>3</v>
      </c>
      <c r="G40" s="842">
        <f t="shared" si="16"/>
        <v>4</v>
      </c>
      <c r="H40" s="842">
        <f t="shared" si="16"/>
        <v>6</v>
      </c>
      <c r="I40" s="842">
        <f t="shared" si="16"/>
        <v>10</v>
      </c>
      <c r="J40" s="842">
        <f t="shared" si="16"/>
        <v>20</v>
      </c>
      <c r="K40" s="842">
        <f t="shared" si="16"/>
        <v>30</v>
      </c>
      <c r="L40" s="842">
        <f t="shared" si="16"/>
        <v>40</v>
      </c>
      <c r="M40" s="842">
        <f t="shared" si="16"/>
        <v>60</v>
      </c>
      <c r="N40" s="847">
        <f t="shared" si="16"/>
        <v>80</v>
      </c>
      <c r="O40" s="844">
        <f t="shared" si="16"/>
        <v>90</v>
      </c>
      <c r="P40" s="842">
        <f t="shared" si="16"/>
        <v>150</v>
      </c>
      <c r="Q40" s="842">
        <f t="shared" si="16"/>
        <v>300</v>
      </c>
      <c r="R40" s="842">
        <f t="shared" si="16"/>
        <v>450</v>
      </c>
      <c r="S40" s="845">
        <f t="shared" si="16"/>
        <v>600</v>
      </c>
    </row>
    <row r="41" spans="2:19">
      <c r="B41" s="83" t="s">
        <v>98</v>
      </c>
      <c r="C41" s="67" t="s">
        <v>92</v>
      </c>
      <c r="D41" s="70" t="s">
        <v>79</v>
      </c>
      <c r="E41" s="841">
        <f t="shared" ref="E41:S41" si="17">E27</f>
        <v>49</v>
      </c>
      <c r="F41" s="842">
        <f t="shared" si="17"/>
        <v>49</v>
      </c>
      <c r="G41" s="842">
        <f t="shared" si="17"/>
        <v>66</v>
      </c>
      <c r="H41" s="842">
        <f t="shared" si="17"/>
        <v>71</v>
      </c>
      <c r="I41" s="842">
        <f t="shared" si="17"/>
        <v>88</v>
      </c>
      <c r="J41" s="842">
        <f t="shared" si="17"/>
        <v>98</v>
      </c>
      <c r="K41" s="842">
        <f t="shared" si="17"/>
        <v>120</v>
      </c>
      <c r="L41" s="842">
        <f t="shared" si="17"/>
        <v>142</v>
      </c>
      <c r="M41" s="842">
        <f t="shared" si="17"/>
        <v>159</v>
      </c>
      <c r="N41" s="847">
        <f t="shared" si="17"/>
        <v>159</v>
      </c>
      <c r="O41" s="844">
        <f t="shared" si="17"/>
        <v>159</v>
      </c>
      <c r="P41" s="842">
        <f t="shared" si="17"/>
        <v>220</v>
      </c>
      <c r="Q41" s="842">
        <f t="shared" si="17"/>
        <v>346.66666666666663</v>
      </c>
      <c r="R41" s="842">
        <f t="shared" si="17"/>
        <v>550</v>
      </c>
      <c r="S41" s="845">
        <f t="shared" si="17"/>
        <v>1100</v>
      </c>
    </row>
    <row r="42" spans="2:19" ht="16" thickBot="1">
      <c r="B42" s="84" t="s">
        <v>99</v>
      </c>
      <c r="C42" s="66" t="s">
        <v>36</v>
      </c>
      <c r="D42" s="75" t="s">
        <v>108</v>
      </c>
      <c r="E42" s="857">
        <f>SUM(E39:E41)</f>
        <v>51.5</v>
      </c>
      <c r="F42" s="858">
        <f t="shared" ref="F42:S42" si="18">SUM(F39:F41)</f>
        <v>52.75</v>
      </c>
      <c r="G42" s="858">
        <f t="shared" si="18"/>
        <v>71</v>
      </c>
      <c r="H42" s="858">
        <f t="shared" si="18"/>
        <v>78.5</v>
      </c>
      <c r="I42" s="858">
        <f t="shared" si="18"/>
        <v>100.5</v>
      </c>
      <c r="J42" s="858">
        <f t="shared" si="18"/>
        <v>123</v>
      </c>
      <c r="K42" s="858">
        <f t="shared" si="18"/>
        <v>157.5</v>
      </c>
      <c r="L42" s="858">
        <f t="shared" si="18"/>
        <v>192</v>
      </c>
      <c r="M42" s="858">
        <f t="shared" si="18"/>
        <v>234</v>
      </c>
      <c r="N42" s="859">
        <f t="shared" si="18"/>
        <v>259</v>
      </c>
      <c r="O42" s="860">
        <f t="shared" si="18"/>
        <v>279</v>
      </c>
      <c r="P42" s="858">
        <f t="shared" si="18"/>
        <v>420</v>
      </c>
      <c r="Q42" s="858">
        <f t="shared" si="18"/>
        <v>746.66666666666663</v>
      </c>
      <c r="R42" s="858">
        <f t="shared" si="18"/>
        <v>1150</v>
      </c>
      <c r="S42" s="861">
        <f t="shared" si="18"/>
        <v>1900</v>
      </c>
    </row>
    <row r="43" spans="2:19">
      <c r="D43" s="37"/>
      <c r="E43" s="28"/>
      <c r="F43" s="27"/>
      <c r="G43" s="27"/>
      <c r="H43" s="27"/>
      <c r="I43" s="27"/>
      <c r="J43" s="27"/>
      <c r="K43" s="27"/>
      <c r="L43" s="27"/>
      <c r="M43" s="27"/>
      <c r="N43" s="35"/>
      <c r="O43" s="27"/>
      <c r="P43" s="27"/>
      <c r="Q43" s="27"/>
      <c r="R43" s="27"/>
      <c r="S43" s="26"/>
    </row>
    <row r="44" spans="2:19">
      <c r="D44" s="37"/>
      <c r="E44" s="28"/>
      <c r="F44" s="27"/>
      <c r="G44" s="27"/>
      <c r="H44" s="27"/>
      <c r="I44" s="27"/>
      <c r="J44" s="27"/>
      <c r="K44" s="27"/>
      <c r="L44" s="27"/>
      <c r="M44" s="27"/>
      <c r="N44" s="35"/>
      <c r="O44" s="27"/>
      <c r="P44" s="27"/>
      <c r="Q44" s="27"/>
      <c r="R44" s="27"/>
      <c r="S44" s="26"/>
    </row>
    <row r="45" spans="2:19">
      <c r="D45" s="37"/>
      <c r="E45" s="28"/>
      <c r="F45" s="27"/>
      <c r="G45" s="27"/>
      <c r="H45" s="27"/>
      <c r="I45" s="27"/>
      <c r="J45" s="27"/>
      <c r="K45" s="27"/>
      <c r="L45" s="27"/>
      <c r="M45" s="27"/>
      <c r="N45" s="35"/>
      <c r="O45" s="27"/>
      <c r="P45" s="27"/>
      <c r="Q45" s="27"/>
      <c r="R45" s="27"/>
      <c r="S45" s="26"/>
    </row>
    <row r="46" spans="2:19">
      <c r="E46" s="28"/>
      <c r="F46" s="27"/>
      <c r="G46" s="27"/>
      <c r="H46" s="27"/>
      <c r="I46" s="27"/>
      <c r="J46" s="27"/>
      <c r="K46" s="27"/>
      <c r="L46" s="27"/>
      <c r="M46" s="27"/>
      <c r="N46" s="35"/>
      <c r="O46" s="27"/>
      <c r="P46" s="27"/>
      <c r="Q46" s="27"/>
      <c r="R46" s="27"/>
      <c r="S46" s="26"/>
    </row>
    <row r="47" spans="2:19">
      <c r="E47" s="28"/>
      <c r="F47" s="27"/>
      <c r="G47" s="27"/>
      <c r="H47" s="27"/>
      <c r="I47" s="27"/>
      <c r="J47" s="27"/>
      <c r="K47" s="27"/>
      <c r="L47" s="27"/>
      <c r="M47" s="27"/>
      <c r="N47" s="35"/>
      <c r="O47" s="27"/>
      <c r="P47" s="27"/>
      <c r="Q47" s="27"/>
      <c r="R47" s="27"/>
      <c r="S47" s="26"/>
    </row>
    <row r="48" spans="2:19">
      <c r="E48" s="28"/>
      <c r="F48" s="27"/>
      <c r="G48" s="27"/>
      <c r="H48" s="27"/>
      <c r="I48" s="27"/>
      <c r="J48" s="27"/>
      <c r="K48" s="27"/>
      <c r="L48" s="27"/>
      <c r="M48" s="27"/>
      <c r="N48" s="35"/>
      <c r="O48" s="27"/>
      <c r="P48" s="27"/>
      <c r="Q48" s="27"/>
      <c r="R48" s="27"/>
      <c r="S48" s="26"/>
    </row>
    <row r="49" spans="5:19">
      <c r="E49" s="28"/>
      <c r="F49" s="27"/>
      <c r="G49" s="27"/>
      <c r="H49" s="27"/>
      <c r="I49" s="27"/>
      <c r="J49" s="27"/>
      <c r="K49" s="27"/>
      <c r="L49" s="27"/>
      <c r="M49" s="27"/>
      <c r="N49" s="35"/>
      <c r="O49" s="27"/>
      <c r="P49" s="27"/>
      <c r="Q49" s="27"/>
      <c r="R49" s="27"/>
      <c r="S49" s="26"/>
    </row>
    <row r="50" spans="5:19">
      <c r="E50" s="28"/>
      <c r="F50" s="27"/>
      <c r="G50" s="27"/>
      <c r="H50" s="27"/>
      <c r="I50" s="27"/>
      <c r="J50" s="27"/>
      <c r="K50" s="27"/>
      <c r="L50" s="27"/>
      <c r="M50" s="27"/>
      <c r="N50" s="35"/>
      <c r="O50" s="27"/>
      <c r="P50" s="27"/>
      <c r="Q50" s="27"/>
      <c r="R50" s="27"/>
      <c r="S50" s="26"/>
    </row>
    <row r="68" spans="5:19">
      <c r="E68" s="24"/>
      <c r="F68" s="24"/>
      <c r="G68" s="24"/>
      <c r="H68" s="24"/>
      <c r="I68" s="24"/>
      <c r="J68" s="24"/>
      <c r="K68" s="24"/>
      <c r="L68" s="24"/>
      <c r="M68" s="24"/>
      <c r="N68" s="81"/>
      <c r="P68" s="24"/>
      <c r="Q68" s="24"/>
      <c r="R68" s="24"/>
      <c r="S68" s="24"/>
    </row>
  </sheetData>
  <sheetProtection password="DE0E" sheet="1" objects="1" scenarios="1" formatColumns="0"/>
  <mergeCells count="3">
    <mergeCell ref="C5:S5"/>
    <mergeCell ref="O6:S6"/>
    <mergeCell ref="E6:N6"/>
  </mergeCells>
  <phoneticPr fontId="6" type="noConversion"/>
  <pageMargins left="0.7" right="0.7"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Graphs"/>
  <dimension ref="A1:C13"/>
  <sheetViews>
    <sheetView showGridLines="0" workbookViewId="0">
      <pane xSplit="3" ySplit="2" topLeftCell="D3" activePane="bottomRight" state="frozen"/>
      <selection pane="topRight" activeCell="D1" sqref="D1"/>
      <selection pane="bottomLeft" activeCell="A3" sqref="A3"/>
      <selection pane="bottomRight" activeCell="D3" sqref="D3"/>
    </sheetView>
  </sheetViews>
  <sheetFormatPr baseColWidth="10" defaultColWidth="9.19921875" defaultRowHeight="12"/>
  <cols>
    <col min="1" max="1" width="1.3984375" hidden="1" customWidth="1"/>
    <col min="2" max="2" width="1.796875" customWidth="1"/>
    <col min="3" max="3" width="47.796875" customWidth="1"/>
    <col min="4" max="4" width="1.796875" customWidth="1"/>
    <col min="5" max="5" width="9.3984375" customWidth="1"/>
  </cols>
  <sheetData>
    <row r="1" spans="3:3" ht="3.75" customHeight="1"/>
    <row r="2" spans="3:3" ht="20">
      <c r="C2" s="105" t="str">
        <f>Translations!A232</f>
        <v>Analytical Graphs for the data entered on the COST STRUCTURE DATA worksheet</v>
      </c>
    </row>
    <row r="3" spans="3:3" ht="5.25" customHeight="1"/>
    <row r="4" spans="3:3" ht="17" thickBot="1">
      <c r="C4" s="106" t="s">
        <v>113</v>
      </c>
    </row>
    <row r="5" spans="3:3" ht="356.25" customHeight="1" thickBot="1">
      <c r="C5" s="107" t="str">
        <f>Translations!A233</f>
        <v>This first graph displays the entire (Broad Range) of loan sizes (the x-axis) with the y-axis displaying the percentage figures for the three main cost components -- Financial Costs, Loan Loss Provision, and Operational Costs.  In most cases, the financial costs and loan loss provisions will be reasonably flat, or the same percentage regardless of loan size.  Operational Costs, however, when displayed as a percentage of ehe average outstanding loan balance, vary significantly, generally increasing dramatically as the loan size decreases.</v>
      </c>
    </row>
    <row r="6" spans="3:3" ht="17" thickBot="1">
      <c r="C6" s="106" t="s">
        <v>114</v>
      </c>
    </row>
    <row r="7" spans="3:3" ht="347.25" customHeight="1" thickBot="1">
      <c r="C7" s="107" t="str">
        <f>Translations!A234</f>
        <v>This second graph displays the same information as Graph 1, but the range of loan sizes shown (the x-axis) is only the smaller loan sizes.  This graph allows you to study with more accuracy the varation of the cost components related to initial loan amount.</v>
      </c>
    </row>
    <row r="8" spans="3:3" ht="17" thickBot="1">
      <c r="C8" s="106" t="s">
        <v>115</v>
      </c>
    </row>
    <row r="9" spans="3:3" ht="348.75" customHeight="1" thickBot="1">
      <c r="C9" s="107" t="str">
        <f>Translations!A235</f>
        <v>This third grah simply combines all three cost components from the first two graphs, displaying the Annual Total Cost Percentage, with the "Broad Range" of loan sizes in the x-axis.  The Total Cost Percentage could be considered the breakeven APR figure.  (Note, however, that the MFI does not have 100% of its assets in loan porfolio, so these figures would have to be adjusted accordingly.)</v>
      </c>
    </row>
    <row r="10" spans="3:3" ht="17" thickBot="1">
      <c r="C10" s="106" t="s">
        <v>118</v>
      </c>
    </row>
    <row r="11" spans="3:3" ht="349.5" customHeight="1" thickBot="1">
      <c r="C11" s="107" t="str">
        <f>Translations!A236</f>
        <v>This graph displays the same information as in Graph 3, but for the smaller range of loan sizes.</v>
      </c>
    </row>
    <row r="12" spans="3:3" ht="17" thickBot="1">
      <c r="C12" s="106" t="s">
        <v>120</v>
      </c>
    </row>
    <row r="13" spans="3:3" ht="357.75" customHeight="1" thickBot="1">
      <c r="C13" s="107" t="str">
        <f>Translations!A237</f>
        <v>This final graph shows the Total Annual Costs and the Total Annual Operating Costs relative to initial loan amount.  The x-axis of this graph displays the total annual cost, rather than percentage figures as in the previous graphs.  Because Financial Costs and Loan Loss Provision Expense are variable costs, they will increase nearly linearly with loan size.  Operational costs will generally be flatter, and you should expect to see a reasonably flat (lower sloped) line in this graph.</v>
      </c>
    </row>
  </sheetData>
  <sheetProtection password="DE0E" sheet="1" objects="1" scenarios="1" formatColumns="0"/>
  <phoneticPr fontId="6"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reakeven"/>
  <dimension ref="B1:Q10"/>
  <sheetViews>
    <sheetView showGridLines="0" workbookViewId="0">
      <pane xSplit="1" ySplit="2" topLeftCell="B3" activePane="bottomRight" state="frozen"/>
      <selection pane="topRight" activeCell="B1" sqref="B1"/>
      <selection pane="bottomLeft" activeCell="A3" sqref="A3"/>
      <selection pane="bottomRight" activeCell="B3" sqref="B3"/>
    </sheetView>
  </sheetViews>
  <sheetFormatPr baseColWidth="10" defaultColWidth="9.19921875" defaultRowHeight="15"/>
  <cols>
    <col min="1" max="1" width="2" style="24" customWidth="1"/>
    <col min="2" max="2" width="29" style="24" customWidth="1"/>
    <col min="3" max="17" width="8.796875" style="24" customWidth="1"/>
    <col min="18" max="16384" width="9.19921875" style="24"/>
  </cols>
  <sheetData>
    <row r="1" spans="2:17" ht="5.25" customHeight="1" thickBot="1"/>
    <row r="2" spans="2:17" ht="25.5" customHeight="1" thickBot="1">
      <c r="B2" s="87" t="str">
        <f>Translations!A143</f>
        <v>Calculation of Breakeven Point</v>
      </c>
      <c r="H2" s="104">
        <v>0.15</v>
      </c>
      <c r="I2" s="88" t="str">
        <f>Translations!A144</f>
        <v>Porfolio Yield Charged</v>
      </c>
    </row>
    <row r="3" spans="2:17" ht="8.25" customHeight="1" thickBot="1"/>
    <row r="4" spans="2:17" ht="17" thickBot="1">
      <c r="C4" s="1060" t="str">
        <f>Translations!A145</f>
        <v>Data shown on Detailed Graphs</v>
      </c>
      <c r="D4" s="1061"/>
      <c r="E4" s="1061"/>
      <c r="F4" s="1061"/>
      <c r="G4" s="1061"/>
      <c r="H4" s="1061"/>
      <c r="I4" s="1061"/>
      <c r="J4" s="1061"/>
      <c r="K4" s="1061"/>
      <c r="L4" s="1062"/>
      <c r="M4" s="1063" t="str">
        <f>Translations!A146</f>
        <v>Data included only on Broad Graphs</v>
      </c>
      <c r="N4" s="1064"/>
      <c r="O4" s="1064"/>
      <c r="P4" s="1064"/>
      <c r="Q4" s="1065"/>
    </row>
    <row r="5" spans="2:17">
      <c r="B5" s="24" t="str">
        <f>Translations!A147</f>
        <v>Loan Amount</v>
      </c>
      <c r="C5" s="89">
        <f>'Cost Structure Data'!E7</f>
        <v>50</v>
      </c>
      <c r="D5" s="90">
        <f>'Cost Structure Data'!F7</f>
        <v>75</v>
      </c>
      <c r="E5" s="90">
        <f>'Cost Structure Data'!G7</f>
        <v>100</v>
      </c>
      <c r="F5" s="90">
        <f>'Cost Structure Data'!H7</f>
        <v>150</v>
      </c>
      <c r="G5" s="90">
        <f>'Cost Structure Data'!I7</f>
        <v>250</v>
      </c>
      <c r="H5" s="90">
        <f>'Cost Structure Data'!J7</f>
        <v>500</v>
      </c>
      <c r="I5" s="90">
        <f>'Cost Structure Data'!K7</f>
        <v>750</v>
      </c>
      <c r="J5" s="90">
        <f>'Cost Structure Data'!L7</f>
        <v>1000</v>
      </c>
      <c r="K5" s="90">
        <f>'Cost Structure Data'!M7</f>
        <v>1500</v>
      </c>
      <c r="L5" s="91">
        <f>'Cost Structure Data'!N7</f>
        <v>2000</v>
      </c>
      <c r="M5" s="89">
        <f>'Cost Structure Data'!O7</f>
        <v>3000</v>
      </c>
      <c r="N5" s="90">
        <f>'Cost Structure Data'!P7</f>
        <v>5000</v>
      </c>
      <c r="O5" s="90">
        <f>'Cost Structure Data'!Q7</f>
        <v>10000</v>
      </c>
      <c r="P5" s="90">
        <f>'Cost Structure Data'!R7</f>
        <v>15000</v>
      </c>
      <c r="Q5" s="91">
        <f>'Cost Structure Data'!S7</f>
        <v>20000</v>
      </c>
    </row>
    <row r="6" spans="2:17">
      <c r="B6" s="24" t="str">
        <f>Translations!A148</f>
        <v>Breakeven Interest Rate</v>
      </c>
      <c r="C6" s="92">
        <f>'Cost Structure Data'!E35</f>
        <v>2.06</v>
      </c>
      <c r="D6" s="93">
        <f>'Cost Structure Data'!F35</f>
        <v>1.4066666666666667</v>
      </c>
      <c r="E6" s="93">
        <f>'Cost Structure Data'!G35</f>
        <v>1.42</v>
      </c>
      <c r="F6" s="93">
        <f>'Cost Structure Data'!H35</f>
        <v>1.0466666666666666</v>
      </c>
      <c r="G6" s="93">
        <f>'Cost Structure Data'!I35</f>
        <v>0.80400000000000005</v>
      </c>
      <c r="H6" s="93">
        <f>'Cost Structure Data'!J35</f>
        <v>0.49199999999999999</v>
      </c>
      <c r="I6" s="93">
        <f>'Cost Structure Data'!K35</f>
        <v>0.42</v>
      </c>
      <c r="J6" s="93">
        <f>'Cost Structure Data'!L35</f>
        <v>0.38400000000000001</v>
      </c>
      <c r="K6" s="93">
        <f>'Cost Structure Data'!M35</f>
        <v>0.312</v>
      </c>
      <c r="L6" s="94">
        <f>'Cost Structure Data'!N35</f>
        <v>0.25900000000000001</v>
      </c>
      <c r="M6" s="92">
        <f>'Cost Structure Data'!O35</f>
        <v>0.186</v>
      </c>
      <c r="N6" s="93">
        <f>'Cost Structure Data'!P35</f>
        <v>0.16800000000000001</v>
      </c>
      <c r="O6" s="93">
        <f>'Cost Structure Data'!Q35</f>
        <v>0.14933333333333332</v>
      </c>
      <c r="P6" s="93">
        <f>'Cost Structure Data'!R35</f>
        <v>0.15333333333333332</v>
      </c>
      <c r="Q6" s="94">
        <f>'Cost Structure Data'!S35</f>
        <v>0.19</v>
      </c>
    </row>
    <row r="7" spans="2:17">
      <c r="B7" s="29" t="str">
        <f>Translations!A239</f>
        <v>Total Annual Income from loan</v>
      </c>
      <c r="C7" s="28">
        <f>'Cost Structure Data'!E8*$H$2</f>
        <v>3.75</v>
      </c>
      <c r="D7" s="27">
        <f>'Cost Structure Data'!F8*$H$2</f>
        <v>5.625</v>
      </c>
      <c r="E7" s="27">
        <f>'Cost Structure Data'!G8*$H$2</f>
        <v>7.5</v>
      </c>
      <c r="F7" s="27">
        <f>'Cost Structure Data'!H8*$H$2</f>
        <v>11.25</v>
      </c>
      <c r="G7" s="27">
        <f>'Cost Structure Data'!I8*$H$2</f>
        <v>18.75</v>
      </c>
      <c r="H7" s="27">
        <f>'Cost Structure Data'!J8*$H$2</f>
        <v>37.5</v>
      </c>
      <c r="I7" s="27">
        <f>'Cost Structure Data'!K8*$H$2</f>
        <v>56.25</v>
      </c>
      <c r="J7" s="27">
        <f>'Cost Structure Data'!L8*$H$2</f>
        <v>75</v>
      </c>
      <c r="K7" s="27">
        <f>'Cost Structure Data'!M8*$H$2</f>
        <v>112.5</v>
      </c>
      <c r="L7" s="26">
        <f>'Cost Structure Data'!N8*$H$2</f>
        <v>150</v>
      </c>
      <c r="M7" s="28">
        <f>'Cost Structure Data'!O8*$H$2</f>
        <v>225</v>
      </c>
      <c r="N7" s="27">
        <f>'Cost Structure Data'!P8*$H$2</f>
        <v>375</v>
      </c>
      <c r="O7" s="27">
        <f>'Cost Structure Data'!Q8*$H$2</f>
        <v>750</v>
      </c>
      <c r="P7" s="27">
        <f>'Cost Structure Data'!R8*$H$2</f>
        <v>1125</v>
      </c>
      <c r="Q7" s="26">
        <f>'Cost Structure Data'!S8*$H$2</f>
        <v>1500</v>
      </c>
    </row>
    <row r="8" spans="2:17">
      <c r="B8" s="33" t="str">
        <f>Translations!A149</f>
        <v>Total Annual Cost of Loan</v>
      </c>
      <c r="C8" s="95">
        <f>'Cost Structure Data'!E42</f>
        <v>51.5</v>
      </c>
      <c r="D8" s="34">
        <f>'Cost Structure Data'!F42</f>
        <v>52.75</v>
      </c>
      <c r="E8" s="34">
        <f>'Cost Structure Data'!G42</f>
        <v>71</v>
      </c>
      <c r="F8" s="34">
        <f>'Cost Structure Data'!H42</f>
        <v>78.5</v>
      </c>
      <c r="G8" s="34">
        <f>'Cost Structure Data'!I42</f>
        <v>100.5</v>
      </c>
      <c r="H8" s="34">
        <f>'Cost Structure Data'!J42</f>
        <v>123</v>
      </c>
      <c r="I8" s="34">
        <f>'Cost Structure Data'!K42</f>
        <v>157.5</v>
      </c>
      <c r="J8" s="34">
        <f>'Cost Structure Data'!L42</f>
        <v>192</v>
      </c>
      <c r="K8" s="34">
        <f>'Cost Structure Data'!M42</f>
        <v>234</v>
      </c>
      <c r="L8" s="96">
        <f>'Cost Structure Data'!N42</f>
        <v>259</v>
      </c>
      <c r="M8" s="95">
        <f>'Cost Structure Data'!O42</f>
        <v>279</v>
      </c>
      <c r="N8" s="34">
        <f>'Cost Structure Data'!P42</f>
        <v>420</v>
      </c>
      <c r="O8" s="34">
        <f>'Cost Structure Data'!Q42</f>
        <v>746.66666666666663</v>
      </c>
      <c r="P8" s="34">
        <f>'Cost Structure Data'!R42</f>
        <v>1150</v>
      </c>
      <c r="Q8" s="96">
        <f>'Cost Structure Data'!S42</f>
        <v>1900</v>
      </c>
    </row>
    <row r="9" spans="2:17" ht="16" thickBot="1">
      <c r="B9" s="29" t="str">
        <f>Translations!A238</f>
        <v>Profit/(Loss)</v>
      </c>
      <c r="C9" s="807">
        <f>C7-C8</f>
        <v>-47.75</v>
      </c>
      <c r="D9" s="808">
        <f t="shared" ref="D9:Q9" si="0">D7-D8</f>
        <v>-47.125</v>
      </c>
      <c r="E9" s="808">
        <f t="shared" si="0"/>
        <v>-63.5</v>
      </c>
      <c r="F9" s="808">
        <f t="shared" si="0"/>
        <v>-67.25</v>
      </c>
      <c r="G9" s="808">
        <f t="shared" si="0"/>
        <v>-81.75</v>
      </c>
      <c r="H9" s="808">
        <f t="shared" si="0"/>
        <v>-85.5</v>
      </c>
      <c r="I9" s="808">
        <f t="shared" si="0"/>
        <v>-101.25</v>
      </c>
      <c r="J9" s="808">
        <f t="shared" si="0"/>
        <v>-117</v>
      </c>
      <c r="K9" s="808">
        <f t="shared" si="0"/>
        <v>-121.5</v>
      </c>
      <c r="L9" s="809">
        <f t="shared" si="0"/>
        <v>-109</v>
      </c>
      <c r="M9" s="807">
        <f t="shared" si="0"/>
        <v>-54</v>
      </c>
      <c r="N9" s="808">
        <f t="shared" si="0"/>
        <v>-45</v>
      </c>
      <c r="O9" s="808">
        <f t="shared" si="0"/>
        <v>3.3333333333333712</v>
      </c>
      <c r="P9" s="808">
        <f t="shared" si="0"/>
        <v>-25</v>
      </c>
      <c r="Q9" s="809">
        <f t="shared" si="0"/>
        <v>-400</v>
      </c>
    </row>
    <row r="10" spans="2:17" ht="8.25" customHeight="1"/>
  </sheetData>
  <sheetProtection password="DE0E" sheet="1" objects="1" scenarios="1" formatColumns="0"/>
  <mergeCells count="2">
    <mergeCell ref="C4:L4"/>
    <mergeCell ref="M4:Q4"/>
  </mergeCells>
  <phoneticPr fontId="6" type="noConversion"/>
  <conditionalFormatting sqref="C6:Q6">
    <cfRule type="expression" dxfId="9" priority="4" stopIfTrue="1">
      <formula>C6&gt;$H$2</formula>
    </cfRule>
  </conditionalFormatting>
  <dataValidations count="1">
    <dataValidation allowBlank="1" showInputMessage="1" showErrorMessage="1" promptTitle="Effective Interest Rate" prompt="Type in a test figure, and the table and charts will display the breakeven loan size -- the amount where income exactly covers costs, based on the cost information entered on the MAIN DATA sheet." sqref="H2" xr:uid="{00000000-0002-0000-0A00-000000000000}"/>
  </dataValidations>
  <pageMargins left="0.7" right="0.7" top="0.75" bottom="0.75" header="0.3" footer="0.3"/>
  <pageSetup orientation="portrait"/>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angladeshAPR">
    <pageSetUpPr fitToPage="1"/>
  </sheetPr>
  <dimension ref="B1:AE180"/>
  <sheetViews>
    <sheetView showGridLines="0" topLeftCell="B2" workbookViewId="0">
      <pane xSplit="2" ySplit="12" topLeftCell="D14" activePane="bottomRight" state="frozen"/>
      <selection activeCell="B2" sqref="B2"/>
      <selection pane="topRight" activeCell="D2" sqref="D2"/>
      <selection pane="bottomLeft" activeCell="B13" sqref="B13"/>
      <selection pane="bottomRight" activeCell="J64" sqref="J64"/>
    </sheetView>
  </sheetViews>
  <sheetFormatPr baseColWidth="10" defaultColWidth="9.19921875" defaultRowHeight="12"/>
  <cols>
    <col min="1" max="1" width="1.796875" customWidth="1"/>
    <col min="2" max="2" width="6" customWidth="1"/>
    <col min="3" max="3" width="9.3984375" style="138" customWidth="1"/>
    <col min="4" max="4" width="6.3984375" style="311" customWidth="1"/>
    <col min="5" max="5" width="6.796875" style="138" customWidth="1"/>
    <col min="6" max="7" width="10.796875" customWidth="1"/>
    <col min="8" max="8" width="11.19921875" customWidth="1"/>
    <col min="9" max="9" width="9.19921875" customWidth="1"/>
    <col min="10" max="10" width="10.3984375" customWidth="1"/>
    <col min="11" max="13" width="9.796875" customWidth="1"/>
    <col min="14" max="14" width="10.3984375" customWidth="1"/>
    <col min="15" max="15" width="9.19921875" customWidth="1"/>
    <col min="16" max="16" width="12.19921875" customWidth="1"/>
    <col min="17" max="17" width="21.3984375" customWidth="1"/>
    <col min="18" max="22" width="9.19921875" customWidth="1"/>
    <col min="23" max="23" width="20.796875" customWidth="1"/>
    <col min="24" max="26" width="9.19921875" customWidth="1"/>
    <col min="30" max="30" width="9.796875" bestFit="1" customWidth="1"/>
  </cols>
  <sheetData>
    <row r="1" spans="2:31" hidden="1">
      <c r="B1" s="2" t="s">
        <v>6</v>
      </c>
      <c r="C1" s="134"/>
      <c r="D1" s="307"/>
      <c r="E1" s="134"/>
      <c r="F1" s="2"/>
      <c r="G1" s="2"/>
      <c r="H1" s="2"/>
      <c r="I1" s="2"/>
      <c r="J1" s="2"/>
      <c r="K1" s="2"/>
      <c r="L1" s="2"/>
      <c r="M1" s="2"/>
      <c r="N1" s="2"/>
    </row>
    <row r="2" spans="2:31" s="181" customFormat="1" ht="18">
      <c r="C2" s="303" t="str">
        <f>Translations!A163</f>
        <v>Repayment Schedule for Standarized Bangladesh Weekly Loan</v>
      </c>
      <c r="D2" s="308"/>
      <c r="G2" s="303"/>
      <c r="H2" s="304"/>
      <c r="I2" s="305"/>
      <c r="Z2" s="181">
        <v>7</v>
      </c>
    </row>
    <row r="3" spans="2:31" s="181" customFormat="1" ht="13" thickBot="1">
      <c r="C3" s="244"/>
      <c r="D3" s="308"/>
      <c r="E3" s="244"/>
      <c r="F3" s="306"/>
      <c r="G3" s="306"/>
      <c r="AB3" s="181" t="s">
        <v>163</v>
      </c>
    </row>
    <row r="4" spans="2:31" s="181" customFormat="1" ht="16" thickTop="1" thickBot="1">
      <c r="C4" s="316" t="s">
        <v>29</v>
      </c>
      <c r="D4" s="1066">
        <v>1000</v>
      </c>
      <c r="E4" s="1067"/>
      <c r="G4" s="314" t="str">
        <f>Translations!A79</f>
        <v>"i" (period int rate)</v>
      </c>
      <c r="H4" s="297">
        <f>IRR(H14:H134,SeedIRR)</f>
        <v>5.3934164171400845E-3</v>
      </c>
      <c r="I4" s="246"/>
      <c r="J4" s="297">
        <f>IRR(J14:J134,SeedIRR)</f>
        <v>6.1960594369128152E-3</v>
      </c>
      <c r="K4" s="245"/>
      <c r="L4" s="246"/>
      <c r="M4" s="245"/>
      <c r="N4" s="297">
        <f>IRR(N14:N134,SeedIRR)</f>
        <v>6.1960594369128152E-3</v>
      </c>
    </row>
    <row r="5" spans="2:31" ht="15" thickBot="1">
      <c r="C5" s="316" t="s">
        <v>438</v>
      </c>
      <c r="D5" s="1066">
        <v>46</v>
      </c>
      <c r="E5" s="1067"/>
      <c r="F5" s="244"/>
      <c r="G5" s="313" t="str">
        <f>Translations!A80</f>
        <v>"n" (periods per yr)</v>
      </c>
      <c r="H5" s="298">
        <v>52</v>
      </c>
      <c r="I5" s="244"/>
      <c r="J5" s="300">
        <f>$H$5</f>
        <v>52</v>
      </c>
      <c r="K5" s="301"/>
      <c r="L5" s="301"/>
      <c r="M5" s="301"/>
      <c r="N5" s="300">
        <f>$H$5</f>
        <v>52</v>
      </c>
    </row>
    <row r="6" spans="2:31" ht="15" thickBot="1">
      <c r="C6" s="316" t="s">
        <v>444</v>
      </c>
      <c r="D6" s="1066">
        <v>25</v>
      </c>
      <c r="E6" s="1067"/>
      <c r="F6" s="244"/>
      <c r="G6" s="313" t="s">
        <v>443</v>
      </c>
      <c r="H6" s="299">
        <f>H4*H5</f>
        <v>0.28045765369128439</v>
      </c>
      <c r="I6" s="244"/>
      <c r="J6" s="299">
        <f>J4*J5</f>
        <v>0.32219509071946639</v>
      </c>
      <c r="K6" s="301"/>
      <c r="L6" s="301"/>
      <c r="M6" s="301"/>
      <c r="N6" s="299">
        <f>N4*N5</f>
        <v>0.32219509071946639</v>
      </c>
    </row>
    <row r="7" spans="2:31" ht="17" thickTop="1" thickBot="1">
      <c r="C7" s="316" t="s">
        <v>456</v>
      </c>
      <c r="D7" s="1070">
        <f>D5*PaymentAmt</f>
        <v>1150</v>
      </c>
      <c r="E7" s="1071"/>
      <c r="F7" s="244"/>
      <c r="G7" s="359" t="s">
        <v>457</v>
      </c>
      <c r="H7" s="315">
        <f>(1+H4)^H5-1</f>
        <v>0.32273828959363837</v>
      </c>
      <c r="I7" s="244"/>
      <c r="J7" s="315">
        <f>(1+J4)^J5-1</f>
        <v>0.37878272260494739</v>
      </c>
      <c r="K7" s="301"/>
      <c r="L7" s="301"/>
      <c r="M7" s="301"/>
      <c r="N7" s="315">
        <f>(1+N4)^N5-1</f>
        <v>0.37878272260494739</v>
      </c>
    </row>
    <row r="8" spans="2:31" ht="15" thickBot="1">
      <c r="C8" s="316" t="s">
        <v>453</v>
      </c>
      <c r="D8" s="1068">
        <v>0.02</v>
      </c>
      <c r="E8" s="1069"/>
      <c r="F8" s="244"/>
      <c r="H8" s="1" t="s">
        <v>458</v>
      </c>
      <c r="J8" s="1" t="s">
        <v>459</v>
      </c>
      <c r="N8" s="1" t="s">
        <v>460</v>
      </c>
      <c r="AB8" s="188" t="b">
        <v>1</v>
      </c>
      <c r="AC8" t="s">
        <v>446</v>
      </c>
    </row>
    <row r="9" spans="2:31" ht="15" thickBot="1">
      <c r="C9" s="317" t="s">
        <v>442</v>
      </c>
      <c r="D9" s="1072">
        <v>39995</v>
      </c>
      <c r="E9" s="1073"/>
      <c r="F9" s="319" t="s">
        <v>445</v>
      </c>
      <c r="K9" s="348">
        <f>V11</f>
        <v>52</v>
      </c>
      <c r="L9" s="181" t="s">
        <v>452</v>
      </c>
    </row>
    <row r="10" spans="2:31" s="181" customFormat="1" ht="13" thickBot="1">
      <c r="C10" s="244"/>
      <c r="D10" s="308"/>
      <c r="E10" s="244"/>
      <c r="G10" s="306"/>
    </row>
    <row r="11" spans="2:31" ht="17.25" customHeight="1" thickTop="1" thickBot="1">
      <c r="B11" s="11"/>
      <c r="C11" s="135"/>
      <c r="D11" s="361">
        <f>COUNTIF(D13:D135,"=x")</f>
        <v>6</v>
      </c>
      <c r="E11" s="362">
        <f>COUNTA(E13:E135)</f>
        <v>0</v>
      </c>
      <c r="F11" s="880" t="str">
        <f>Translations!A56</f>
        <v>Loan Cost and Cashflow</v>
      </c>
      <c r="G11" s="881"/>
      <c r="H11" s="881"/>
      <c r="I11" s="881"/>
      <c r="J11" s="881"/>
      <c r="K11" s="1074" t="str">
        <f>Translations!A57</f>
        <v>Security Deposit</v>
      </c>
      <c r="L11" s="881"/>
      <c r="M11" s="881"/>
      <c r="N11" s="882"/>
      <c r="P11" s="1075" t="s">
        <v>447</v>
      </c>
      <c r="V11">
        <f>SUM(V15:V134)</f>
        <v>52</v>
      </c>
      <c r="AB11" s="883" t="s">
        <v>32</v>
      </c>
      <c r="AE11" s="4"/>
    </row>
    <row r="12" spans="2:31" ht="35" thickTop="1" thickBot="1">
      <c r="B12" s="12" t="str">
        <f>Translations!A59</f>
        <v>Period #</v>
      </c>
      <c r="C12" s="136" t="str">
        <f>Translations!A60</f>
        <v>Date</v>
      </c>
      <c r="D12" s="309" t="s">
        <v>440</v>
      </c>
      <c r="E12" s="327" t="s">
        <v>439</v>
      </c>
      <c r="F12" s="131" t="str">
        <f>Translations!A61</f>
        <v>Principal Disbursed</v>
      </c>
      <c r="G12" s="337" t="str">
        <f>Translations!A62</f>
        <v>Principal Paid</v>
      </c>
      <c r="H12" s="360" t="str">
        <f>Translations!A65</f>
        <v>Cashflow incl. Interest</v>
      </c>
      <c r="I12" s="133" t="str">
        <f>Translations!A66</f>
        <v>Fees Paid</v>
      </c>
      <c r="J12" s="360" t="str">
        <f>Translations!A67</f>
        <v>Cashflow incl. Fees</v>
      </c>
      <c r="K12" s="312" t="str">
        <f>Translations!A70</f>
        <v>Security Deposit</v>
      </c>
      <c r="L12" s="340" t="str">
        <f>Translations!A72</f>
        <v>Deposit Withdr.</v>
      </c>
      <c r="M12" s="13" t="str">
        <f>Translations!A73</f>
        <v>Deposit Balance</v>
      </c>
      <c r="N12" s="162" t="str">
        <f>Translations!A74</f>
        <v>Cashflow incl. Sec.Dep.</v>
      </c>
      <c r="P12" s="1076"/>
      <c r="Q12" t="s">
        <v>449</v>
      </c>
      <c r="T12" t="s">
        <v>441</v>
      </c>
      <c r="U12" t="s">
        <v>438</v>
      </c>
      <c r="V12" t="s">
        <v>451</v>
      </c>
      <c r="X12" s="1"/>
      <c r="Y12" s="1"/>
      <c r="AB12" s="883"/>
    </row>
    <row r="13" spans="2:31" s="85" customFormat="1" ht="16" thickTop="1" thickBot="1">
      <c r="B13" s="349"/>
      <c r="C13" s="350"/>
      <c r="D13" s="351"/>
      <c r="E13" s="352"/>
      <c r="F13" s="353">
        <f t="shared" ref="F13:L13" si="0">SUM(F14:F134)</f>
        <v>1000</v>
      </c>
      <c r="G13" s="354">
        <f t="shared" si="0"/>
        <v>1150</v>
      </c>
      <c r="H13" s="355">
        <f t="shared" si="0"/>
        <v>-150</v>
      </c>
      <c r="I13" s="353">
        <f t="shared" si="0"/>
        <v>20</v>
      </c>
      <c r="J13" s="356">
        <f t="shared" si="0"/>
        <v>-170</v>
      </c>
      <c r="K13" s="357">
        <f t="shared" si="0"/>
        <v>0</v>
      </c>
      <c r="L13" s="358">
        <f t="shared" si="0"/>
        <v>0</v>
      </c>
      <c r="M13" s="353"/>
      <c r="N13" s="355">
        <f>SUM(N14:N134)</f>
        <v>-170</v>
      </c>
      <c r="Q13" s="85" t="s">
        <v>450</v>
      </c>
    </row>
    <row r="14" spans="2:31" ht="13" thickTop="1">
      <c r="B14" s="231">
        <v>0</v>
      </c>
      <c r="C14" s="318">
        <f>D9</f>
        <v>39995</v>
      </c>
      <c r="D14" s="310"/>
      <c r="E14" s="328"/>
      <c r="F14" s="323">
        <f>D4</f>
        <v>1000</v>
      </c>
      <c r="G14" s="338"/>
      <c r="H14" s="325">
        <f>F14-G14</f>
        <v>1000</v>
      </c>
      <c r="I14" s="343">
        <f>IF(D8&lt;1,D8*D4,D8)</f>
        <v>20</v>
      </c>
      <c r="J14" s="325">
        <f t="shared" ref="J14:J45" si="1">IF(AND(ManualMode=TRUE,NOT(ISBLANK(I14))),H14-I14,H14-I14)</f>
        <v>980</v>
      </c>
      <c r="K14" s="346"/>
      <c r="L14" s="341"/>
      <c r="M14" s="324">
        <f>K14-L14</f>
        <v>0</v>
      </c>
      <c r="N14" s="326">
        <f>J14-K14+L14</f>
        <v>980</v>
      </c>
      <c r="P14" s="320">
        <v>40002</v>
      </c>
      <c r="X14" s="1"/>
      <c r="Y14" s="1"/>
      <c r="AB14" s="1" t="s">
        <v>17</v>
      </c>
      <c r="AD14" s="204"/>
    </row>
    <row r="15" spans="2:31">
      <c r="B15" s="231">
        <v>1</v>
      </c>
      <c r="C15" s="318">
        <f>C14+7</f>
        <v>40002</v>
      </c>
      <c r="D15" s="310" t="str">
        <f t="shared" ref="D15:D46" si="2">IF(HolGrace=FALSE,"",IF(V15=1,IF(ISNA(VLOOKUP(C15,Holidays,1,0)),"","x"),""))</f>
        <v>x</v>
      </c>
      <c r="E15" s="329"/>
      <c r="F15" s="323"/>
      <c r="G15" s="338">
        <f>IF(AND(T15=TRUE,U14&lt;=$D$5),PaymentAmt,0)</f>
        <v>0</v>
      </c>
      <c r="H15" s="325">
        <f t="shared" ref="H15:H78" si="3">F15-G15</f>
        <v>0</v>
      </c>
      <c r="I15" s="344"/>
      <c r="J15" s="325">
        <f t="shared" si="1"/>
        <v>0</v>
      </c>
      <c r="K15" s="346"/>
      <c r="L15" s="341"/>
      <c r="M15" s="324">
        <f>M14+K15-L15</f>
        <v>0</v>
      </c>
      <c r="N15" s="326">
        <f t="shared" ref="N15:N78" si="4">J15-K15+L15</f>
        <v>0</v>
      </c>
      <c r="P15" s="321">
        <f>P14+10</f>
        <v>40012</v>
      </c>
      <c r="T15" t="b">
        <f t="shared" ref="T15:T46" si="5">IF(U14=$D$5,FALSE,IF(OR(LEN(D15)&gt;0,LEN(E15)&gt;0),FALSE,TRUE))</f>
        <v>0</v>
      </c>
      <c r="U15">
        <f>IF(U14=$D$5,U14,U14+IF(T15=TRUE,1,0))</f>
        <v>0</v>
      </c>
      <c r="V15">
        <v>1</v>
      </c>
      <c r="X15" s="5"/>
      <c r="Y15" s="1"/>
      <c r="AB15" s="1" t="s">
        <v>17</v>
      </c>
      <c r="AD15" s="204"/>
    </row>
    <row r="16" spans="2:31">
      <c r="B16" s="231">
        <v>2</v>
      </c>
      <c r="C16" s="318">
        <f t="shared" ref="C16:C79" si="6">C15+7</f>
        <v>40009</v>
      </c>
      <c r="D16" s="310" t="str">
        <f t="shared" si="2"/>
        <v/>
      </c>
      <c r="E16" s="329"/>
      <c r="F16" s="323"/>
      <c r="G16" s="338">
        <f t="shared" ref="G16:G47" si="7">IF(AND(T16=TRUE,U16&lt;=$D$5),PaymentAmt,0)</f>
        <v>25</v>
      </c>
      <c r="H16" s="325">
        <f t="shared" si="3"/>
        <v>-25</v>
      </c>
      <c r="I16" s="344"/>
      <c r="J16" s="325">
        <f t="shared" si="1"/>
        <v>-25</v>
      </c>
      <c r="K16" s="346"/>
      <c r="L16" s="341"/>
      <c r="M16" s="324">
        <f t="shared" ref="M16:M79" si="8">M15+K16-L16</f>
        <v>0</v>
      </c>
      <c r="N16" s="326">
        <f t="shared" si="4"/>
        <v>-25</v>
      </c>
      <c r="P16" s="321">
        <f t="shared" ref="P16:P54" si="9">P15+10</f>
        <v>40022</v>
      </c>
      <c r="T16" t="b">
        <f t="shared" si="5"/>
        <v>1</v>
      </c>
      <c r="U16">
        <f t="shared" ref="U16:U79" si="10">IF(U15=$D$5,U15,U15+IF(T16=TRUE,1,0))</f>
        <v>1</v>
      </c>
      <c r="V16">
        <f>IF(U15&lt;$D$5,1,0)</f>
        <v>1</v>
      </c>
      <c r="X16" s="5"/>
      <c r="Y16" s="1"/>
      <c r="AB16" s="1" t="str">
        <f t="shared" ref="AB16:AB47" si="11">IF(B16&lt;=$D$5,"x",TRUE)</f>
        <v>x</v>
      </c>
      <c r="AD16" s="204"/>
    </row>
    <row r="17" spans="2:30">
      <c r="B17" s="231">
        <v>3</v>
      </c>
      <c r="C17" s="318">
        <f t="shared" si="6"/>
        <v>40016</v>
      </c>
      <c r="D17" s="310" t="str">
        <f t="shared" si="2"/>
        <v/>
      </c>
      <c r="E17" s="329"/>
      <c r="F17" s="323"/>
      <c r="G17" s="338">
        <f t="shared" si="7"/>
        <v>25</v>
      </c>
      <c r="H17" s="325">
        <f t="shared" si="3"/>
        <v>-25</v>
      </c>
      <c r="I17" s="344"/>
      <c r="J17" s="325">
        <f t="shared" si="1"/>
        <v>-25</v>
      </c>
      <c r="K17" s="346"/>
      <c r="L17" s="341"/>
      <c r="M17" s="324">
        <f t="shared" si="8"/>
        <v>0</v>
      </c>
      <c r="N17" s="326">
        <f t="shared" si="4"/>
        <v>-25</v>
      </c>
      <c r="P17" s="321">
        <f t="shared" si="9"/>
        <v>40032</v>
      </c>
      <c r="T17" t="b">
        <f t="shared" si="5"/>
        <v>1</v>
      </c>
      <c r="U17">
        <f t="shared" si="10"/>
        <v>2</v>
      </c>
      <c r="V17">
        <f t="shared" ref="V17:V80" si="12">IF(U16&lt;$D$5,1,0)</f>
        <v>1</v>
      </c>
      <c r="X17" s="5"/>
      <c r="Y17" s="1"/>
      <c r="AB17" s="1" t="str">
        <f t="shared" si="11"/>
        <v>x</v>
      </c>
      <c r="AD17" s="204"/>
    </row>
    <row r="18" spans="2:30">
      <c r="B18" s="231">
        <v>4</v>
      </c>
      <c r="C18" s="318">
        <f t="shared" si="6"/>
        <v>40023</v>
      </c>
      <c r="D18" s="310" t="str">
        <f t="shared" si="2"/>
        <v/>
      </c>
      <c r="E18" s="329"/>
      <c r="F18" s="323"/>
      <c r="G18" s="338">
        <f t="shared" si="7"/>
        <v>25</v>
      </c>
      <c r="H18" s="325">
        <f t="shared" si="3"/>
        <v>-25</v>
      </c>
      <c r="I18" s="344"/>
      <c r="J18" s="325">
        <f t="shared" si="1"/>
        <v>-25</v>
      </c>
      <c r="K18" s="346"/>
      <c r="L18" s="341"/>
      <c r="M18" s="324">
        <f t="shared" si="8"/>
        <v>0</v>
      </c>
      <c r="N18" s="326">
        <f t="shared" si="4"/>
        <v>-25</v>
      </c>
      <c r="P18" s="321">
        <f t="shared" si="9"/>
        <v>40042</v>
      </c>
      <c r="T18" t="b">
        <f t="shared" si="5"/>
        <v>1</v>
      </c>
      <c r="U18">
        <f t="shared" si="10"/>
        <v>3</v>
      </c>
      <c r="V18">
        <f t="shared" si="12"/>
        <v>1</v>
      </c>
      <c r="X18" s="5"/>
      <c r="Y18" s="1"/>
      <c r="AB18" s="1" t="str">
        <f t="shared" si="11"/>
        <v>x</v>
      </c>
      <c r="AD18" s="204"/>
    </row>
    <row r="19" spans="2:30">
      <c r="B19" s="231">
        <v>5</v>
      </c>
      <c r="C19" s="318">
        <f t="shared" si="6"/>
        <v>40030</v>
      </c>
      <c r="D19" s="310" t="str">
        <f t="shared" si="2"/>
        <v/>
      </c>
      <c r="E19" s="328"/>
      <c r="F19" s="323"/>
      <c r="G19" s="338">
        <f t="shared" si="7"/>
        <v>25</v>
      </c>
      <c r="H19" s="325">
        <f t="shared" si="3"/>
        <v>-25</v>
      </c>
      <c r="I19" s="344"/>
      <c r="J19" s="325">
        <f t="shared" si="1"/>
        <v>-25</v>
      </c>
      <c r="K19" s="346"/>
      <c r="L19" s="341"/>
      <c r="M19" s="324">
        <f t="shared" si="8"/>
        <v>0</v>
      </c>
      <c r="N19" s="326">
        <f t="shared" si="4"/>
        <v>-25</v>
      </c>
      <c r="P19" s="321">
        <f t="shared" si="9"/>
        <v>40052</v>
      </c>
      <c r="T19" t="b">
        <f t="shared" si="5"/>
        <v>1</v>
      </c>
      <c r="U19">
        <f t="shared" si="10"/>
        <v>4</v>
      </c>
      <c r="V19">
        <f t="shared" si="12"/>
        <v>1</v>
      </c>
      <c r="X19" s="5"/>
      <c r="Y19" s="1"/>
      <c r="AB19" s="1" t="str">
        <f t="shared" si="11"/>
        <v>x</v>
      </c>
      <c r="AD19" s="204"/>
    </row>
    <row r="20" spans="2:30">
      <c r="B20" s="231">
        <v>6</v>
      </c>
      <c r="C20" s="318">
        <f t="shared" si="6"/>
        <v>40037</v>
      </c>
      <c r="D20" s="310" t="str">
        <f t="shared" si="2"/>
        <v/>
      </c>
      <c r="E20" s="329"/>
      <c r="F20" s="323"/>
      <c r="G20" s="338">
        <f t="shared" si="7"/>
        <v>25</v>
      </c>
      <c r="H20" s="325">
        <f t="shared" si="3"/>
        <v>-25</v>
      </c>
      <c r="I20" s="344"/>
      <c r="J20" s="325">
        <f t="shared" si="1"/>
        <v>-25</v>
      </c>
      <c r="K20" s="346"/>
      <c r="L20" s="341"/>
      <c r="M20" s="324">
        <f t="shared" si="8"/>
        <v>0</v>
      </c>
      <c r="N20" s="326">
        <f t="shared" si="4"/>
        <v>-25</v>
      </c>
      <c r="P20" s="321">
        <f t="shared" si="9"/>
        <v>40062</v>
      </c>
      <c r="T20" t="b">
        <f t="shared" si="5"/>
        <v>1</v>
      </c>
      <c r="U20">
        <f t="shared" si="10"/>
        <v>5</v>
      </c>
      <c r="V20">
        <f t="shared" si="12"/>
        <v>1</v>
      </c>
      <c r="X20" s="5"/>
      <c r="Y20" s="1"/>
      <c r="AB20" s="1" t="str">
        <f t="shared" si="11"/>
        <v>x</v>
      </c>
      <c r="AD20" s="204"/>
    </row>
    <row r="21" spans="2:30">
      <c r="B21" s="231">
        <v>7</v>
      </c>
      <c r="C21" s="318">
        <f t="shared" si="6"/>
        <v>40044</v>
      </c>
      <c r="D21" s="310" t="str">
        <f t="shared" si="2"/>
        <v/>
      </c>
      <c r="E21" s="329"/>
      <c r="F21" s="323"/>
      <c r="G21" s="338">
        <f t="shared" si="7"/>
        <v>25</v>
      </c>
      <c r="H21" s="325">
        <f t="shared" si="3"/>
        <v>-25</v>
      </c>
      <c r="I21" s="344"/>
      <c r="J21" s="325">
        <f t="shared" si="1"/>
        <v>-25</v>
      </c>
      <c r="K21" s="346"/>
      <c r="L21" s="341"/>
      <c r="M21" s="324">
        <f t="shared" si="8"/>
        <v>0</v>
      </c>
      <c r="N21" s="326">
        <f t="shared" si="4"/>
        <v>-25</v>
      </c>
      <c r="P21" s="321">
        <f t="shared" si="9"/>
        <v>40072</v>
      </c>
      <c r="T21" t="b">
        <f t="shared" si="5"/>
        <v>1</v>
      </c>
      <c r="U21">
        <f t="shared" si="10"/>
        <v>6</v>
      </c>
      <c r="V21">
        <f t="shared" si="12"/>
        <v>1</v>
      </c>
      <c r="X21" s="5"/>
      <c r="Y21" s="1"/>
      <c r="AB21" s="1" t="str">
        <f t="shared" si="11"/>
        <v>x</v>
      </c>
      <c r="AD21" s="204"/>
    </row>
    <row r="22" spans="2:30">
      <c r="B22" s="231">
        <v>8</v>
      </c>
      <c r="C22" s="318">
        <f t="shared" si="6"/>
        <v>40051</v>
      </c>
      <c r="D22" s="310" t="str">
        <f t="shared" si="2"/>
        <v/>
      </c>
      <c r="E22" s="329"/>
      <c r="F22" s="323"/>
      <c r="G22" s="338">
        <f t="shared" si="7"/>
        <v>25</v>
      </c>
      <c r="H22" s="325">
        <f t="shared" si="3"/>
        <v>-25</v>
      </c>
      <c r="I22" s="344"/>
      <c r="J22" s="325">
        <f t="shared" si="1"/>
        <v>-25</v>
      </c>
      <c r="K22" s="346"/>
      <c r="L22" s="341"/>
      <c r="M22" s="324">
        <f t="shared" si="8"/>
        <v>0</v>
      </c>
      <c r="N22" s="326">
        <f t="shared" si="4"/>
        <v>-25</v>
      </c>
      <c r="P22" s="321">
        <f t="shared" si="9"/>
        <v>40082</v>
      </c>
      <c r="T22" t="b">
        <f t="shared" si="5"/>
        <v>1</v>
      </c>
      <c r="U22">
        <f t="shared" si="10"/>
        <v>7</v>
      </c>
      <c r="V22">
        <f t="shared" si="12"/>
        <v>1</v>
      </c>
      <c r="X22" s="5"/>
      <c r="Y22" s="1"/>
      <c r="AB22" s="1" t="str">
        <f t="shared" si="11"/>
        <v>x</v>
      </c>
      <c r="AD22" s="204"/>
    </row>
    <row r="23" spans="2:30">
      <c r="B23" s="231">
        <v>9</v>
      </c>
      <c r="C23" s="318">
        <f t="shared" si="6"/>
        <v>40058</v>
      </c>
      <c r="D23" s="310" t="str">
        <f t="shared" si="2"/>
        <v/>
      </c>
      <c r="E23" s="329"/>
      <c r="F23" s="323"/>
      <c r="G23" s="338">
        <f t="shared" si="7"/>
        <v>25</v>
      </c>
      <c r="H23" s="325">
        <f t="shared" si="3"/>
        <v>-25</v>
      </c>
      <c r="I23" s="344"/>
      <c r="J23" s="325">
        <f t="shared" si="1"/>
        <v>-25</v>
      </c>
      <c r="K23" s="346"/>
      <c r="L23" s="341"/>
      <c r="M23" s="324">
        <f t="shared" si="8"/>
        <v>0</v>
      </c>
      <c r="N23" s="326">
        <f t="shared" si="4"/>
        <v>-25</v>
      </c>
      <c r="P23" s="321">
        <f t="shared" si="9"/>
        <v>40092</v>
      </c>
      <c r="T23" t="b">
        <f t="shared" si="5"/>
        <v>1</v>
      </c>
      <c r="U23">
        <f t="shared" si="10"/>
        <v>8</v>
      </c>
      <c r="V23">
        <f t="shared" si="12"/>
        <v>1</v>
      </c>
      <c r="X23" s="5"/>
      <c r="Y23" s="1"/>
      <c r="AB23" s="1" t="str">
        <f t="shared" si="11"/>
        <v>x</v>
      </c>
      <c r="AD23" s="204"/>
    </row>
    <row r="24" spans="2:30">
      <c r="B24" s="231">
        <v>10</v>
      </c>
      <c r="C24" s="318">
        <f t="shared" si="6"/>
        <v>40065</v>
      </c>
      <c r="D24" s="310" t="str">
        <f t="shared" si="2"/>
        <v/>
      </c>
      <c r="E24" s="329"/>
      <c r="F24" s="323"/>
      <c r="G24" s="338">
        <f t="shared" si="7"/>
        <v>25</v>
      </c>
      <c r="H24" s="325">
        <f t="shared" si="3"/>
        <v>-25</v>
      </c>
      <c r="I24" s="344"/>
      <c r="J24" s="325">
        <f t="shared" si="1"/>
        <v>-25</v>
      </c>
      <c r="K24" s="346"/>
      <c r="L24" s="341"/>
      <c r="M24" s="324">
        <f t="shared" si="8"/>
        <v>0</v>
      </c>
      <c r="N24" s="326">
        <f t="shared" si="4"/>
        <v>-25</v>
      </c>
      <c r="P24" s="321">
        <f t="shared" si="9"/>
        <v>40102</v>
      </c>
      <c r="T24" t="b">
        <f t="shared" si="5"/>
        <v>1</v>
      </c>
      <c r="U24">
        <f t="shared" si="10"/>
        <v>9</v>
      </c>
      <c r="V24">
        <f t="shared" si="12"/>
        <v>1</v>
      </c>
      <c r="X24" s="5"/>
      <c r="Y24" s="1"/>
      <c r="AB24" s="1" t="str">
        <f t="shared" si="11"/>
        <v>x</v>
      </c>
      <c r="AD24" s="204"/>
    </row>
    <row r="25" spans="2:30">
      <c r="B25" s="231">
        <v>11</v>
      </c>
      <c r="C25" s="318">
        <f t="shared" si="6"/>
        <v>40072</v>
      </c>
      <c r="D25" s="310" t="str">
        <f t="shared" si="2"/>
        <v>x</v>
      </c>
      <c r="E25" s="329"/>
      <c r="F25" s="323"/>
      <c r="G25" s="338">
        <f t="shared" si="7"/>
        <v>0</v>
      </c>
      <c r="H25" s="325">
        <f t="shared" si="3"/>
        <v>0</v>
      </c>
      <c r="I25" s="344"/>
      <c r="J25" s="325">
        <f t="shared" si="1"/>
        <v>0</v>
      </c>
      <c r="K25" s="346"/>
      <c r="L25" s="341"/>
      <c r="M25" s="324">
        <f t="shared" si="8"/>
        <v>0</v>
      </c>
      <c r="N25" s="326">
        <f t="shared" si="4"/>
        <v>0</v>
      </c>
      <c r="P25" s="321">
        <f t="shared" si="9"/>
        <v>40112</v>
      </c>
      <c r="T25" t="b">
        <f t="shared" si="5"/>
        <v>0</v>
      </c>
      <c r="U25">
        <f t="shared" si="10"/>
        <v>9</v>
      </c>
      <c r="V25">
        <f t="shared" si="12"/>
        <v>1</v>
      </c>
      <c r="X25" s="5"/>
      <c r="Y25" s="1"/>
      <c r="AB25" s="1" t="str">
        <f t="shared" si="11"/>
        <v>x</v>
      </c>
      <c r="AD25" s="204"/>
    </row>
    <row r="26" spans="2:30">
      <c r="B26" s="231">
        <v>12</v>
      </c>
      <c r="C26" s="318">
        <f t="shared" si="6"/>
        <v>40079</v>
      </c>
      <c r="D26" s="310" t="str">
        <f t="shared" si="2"/>
        <v/>
      </c>
      <c r="E26" s="328"/>
      <c r="F26" s="323"/>
      <c r="G26" s="338">
        <f t="shared" si="7"/>
        <v>25</v>
      </c>
      <c r="H26" s="325">
        <f t="shared" si="3"/>
        <v>-25</v>
      </c>
      <c r="I26" s="344"/>
      <c r="J26" s="325">
        <f t="shared" si="1"/>
        <v>-25</v>
      </c>
      <c r="K26" s="346"/>
      <c r="L26" s="341"/>
      <c r="M26" s="324">
        <f t="shared" si="8"/>
        <v>0</v>
      </c>
      <c r="N26" s="326">
        <f t="shared" si="4"/>
        <v>-25</v>
      </c>
      <c r="P26" s="321">
        <f t="shared" si="9"/>
        <v>40122</v>
      </c>
      <c r="T26" t="b">
        <f t="shared" si="5"/>
        <v>1</v>
      </c>
      <c r="U26">
        <f t="shared" si="10"/>
        <v>10</v>
      </c>
      <c r="V26">
        <f t="shared" si="12"/>
        <v>1</v>
      </c>
      <c r="X26" s="5"/>
      <c r="Y26" s="1"/>
      <c r="AB26" s="1" t="str">
        <f t="shared" si="11"/>
        <v>x</v>
      </c>
      <c r="AD26" s="204"/>
    </row>
    <row r="27" spans="2:30">
      <c r="B27" s="231">
        <v>13</v>
      </c>
      <c r="C27" s="318">
        <f t="shared" si="6"/>
        <v>40086</v>
      </c>
      <c r="D27" s="310" t="str">
        <f t="shared" si="2"/>
        <v/>
      </c>
      <c r="E27" s="328"/>
      <c r="F27" s="323"/>
      <c r="G27" s="338">
        <f t="shared" si="7"/>
        <v>25</v>
      </c>
      <c r="H27" s="325">
        <f t="shared" si="3"/>
        <v>-25</v>
      </c>
      <c r="I27" s="344"/>
      <c r="J27" s="325">
        <f t="shared" si="1"/>
        <v>-25</v>
      </c>
      <c r="K27" s="346"/>
      <c r="L27" s="341"/>
      <c r="M27" s="324">
        <f t="shared" si="8"/>
        <v>0</v>
      </c>
      <c r="N27" s="326">
        <f t="shared" si="4"/>
        <v>-25</v>
      </c>
      <c r="P27" s="321">
        <f t="shared" si="9"/>
        <v>40132</v>
      </c>
      <c r="T27" t="b">
        <f t="shared" si="5"/>
        <v>1</v>
      </c>
      <c r="U27">
        <f t="shared" si="10"/>
        <v>11</v>
      </c>
      <c r="V27">
        <f t="shared" si="12"/>
        <v>1</v>
      </c>
      <c r="X27" s="5"/>
      <c r="Y27" s="1"/>
      <c r="AB27" s="1" t="str">
        <f t="shared" si="11"/>
        <v>x</v>
      </c>
      <c r="AD27" s="204"/>
    </row>
    <row r="28" spans="2:30">
      <c r="B28" s="231">
        <v>14</v>
      </c>
      <c r="C28" s="318">
        <f t="shared" si="6"/>
        <v>40093</v>
      </c>
      <c r="D28" s="310" t="str">
        <f t="shared" si="2"/>
        <v/>
      </c>
      <c r="E28" s="329"/>
      <c r="F28" s="323"/>
      <c r="G28" s="338">
        <f t="shared" si="7"/>
        <v>25</v>
      </c>
      <c r="H28" s="325">
        <f t="shared" si="3"/>
        <v>-25</v>
      </c>
      <c r="I28" s="344"/>
      <c r="J28" s="325">
        <f t="shared" si="1"/>
        <v>-25</v>
      </c>
      <c r="K28" s="346"/>
      <c r="L28" s="341"/>
      <c r="M28" s="324">
        <f t="shared" si="8"/>
        <v>0</v>
      </c>
      <c r="N28" s="326">
        <f t="shared" si="4"/>
        <v>-25</v>
      </c>
      <c r="P28" s="321">
        <f t="shared" si="9"/>
        <v>40142</v>
      </c>
      <c r="T28" t="b">
        <f t="shared" si="5"/>
        <v>1</v>
      </c>
      <c r="U28">
        <f t="shared" si="10"/>
        <v>12</v>
      </c>
      <c r="V28">
        <f t="shared" si="12"/>
        <v>1</v>
      </c>
      <c r="X28" s="5"/>
      <c r="Y28" s="1"/>
      <c r="AB28" s="1" t="str">
        <f t="shared" si="11"/>
        <v>x</v>
      </c>
      <c r="AD28" s="204"/>
    </row>
    <row r="29" spans="2:30">
      <c r="B29" s="231">
        <v>15</v>
      </c>
      <c r="C29" s="318">
        <f t="shared" si="6"/>
        <v>40100</v>
      </c>
      <c r="D29" s="310" t="str">
        <f t="shared" si="2"/>
        <v/>
      </c>
      <c r="E29" s="328"/>
      <c r="F29" s="323"/>
      <c r="G29" s="338">
        <f t="shared" si="7"/>
        <v>25</v>
      </c>
      <c r="H29" s="325">
        <f t="shared" si="3"/>
        <v>-25</v>
      </c>
      <c r="I29" s="344"/>
      <c r="J29" s="325">
        <f t="shared" si="1"/>
        <v>-25</v>
      </c>
      <c r="K29" s="346"/>
      <c r="L29" s="341"/>
      <c r="M29" s="324">
        <f t="shared" si="8"/>
        <v>0</v>
      </c>
      <c r="N29" s="326">
        <f t="shared" si="4"/>
        <v>-25</v>
      </c>
      <c r="P29" s="321">
        <f t="shared" si="9"/>
        <v>40152</v>
      </c>
      <c r="T29" t="b">
        <f t="shared" si="5"/>
        <v>1</v>
      </c>
      <c r="U29">
        <f t="shared" si="10"/>
        <v>13</v>
      </c>
      <c r="V29">
        <f t="shared" si="12"/>
        <v>1</v>
      </c>
      <c r="X29" s="5"/>
      <c r="Y29" s="1"/>
      <c r="AB29" s="1" t="str">
        <f t="shared" si="11"/>
        <v>x</v>
      </c>
      <c r="AD29" s="204"/>
    </row>
    <row r="30" spans="2:30">
      <c r="B30" s="231">
        <v>16</v>
      </c>
      <c r="C30" s="318">
        <f t="shared" si="6"/>
        <v>40107</v>
      </c>
      <c r="D30" s="310" t="str">
        <f t="shared" si="2"/>
        <v/>
      </c>
      <c r="E30" s="328"/>
      <c r="F30" s="323"/>
      <c r="G30" s="338">
        <f t="shared" si="7"/>
        <v>25</v>
      </c>
      <c r="H30" s="325">
        <f t="shared" si="3"/>
        <v>-25</v>
      </c>
      <c r="I30" s="344"/>
      <c r="J30" s="325">
        <f t="shared" si="1"/>
        <v>-25</v>
      </c>
      <c r="K30" s="346"/>
      <c r="L30" s="341"/>
      <c r="M30" s="324">
        <f t="shared" si="8"/>
        <v>0</v>
      </c>
      <c r="N30" s="326">
        <f t="shared" si="4"/>
        <v>-25</v>
      </c>
      <c r="P30" s="321">
        <f t="shared" si="9"/>
        <v>40162</v>
      </c>
      <c r="T30" t="b">
        <f t="shared" si="5"/>
        <v>1</v>
      </c>
      <c r="U30">
        <f t="shared" si="10"/>
        <v>14</v>
      </c>
      <c r="V30">
        <f t="shared" si="12"/>
        <v>1</v>
      </c>
      <c r="X30" s="5"/>
      <c r="Y30" s="1"/>
      <c r="AB30" s="1" t="str">
        <f t="shared" si="11"/>
        <v>x</v>
      </c>
      <c r="AD30" s="204"/>
    </row>
    <row r="31" spans="2:30">
      <c r="B31" s="231">
        <v>17</v>
      </c>
      <c r="C31" s="318">
        <f t="shared" si="6"/>
        <v>40114</v>
      </c>
      <c r="D31" s="310" t="str">
        <f t="shared" si="2"/>
        <v/>
      </c>
      <c r="E31" s="329"/>
      <c r="F31" s="323"/>
      <c r="G31" s="338">
        <f t="shared" si="7"/>
        <v>25</v>
      </c>
      <c r="H31" s="325">
        <f t="shared" si="3"/>
        <v>-25</v>
      </c>
      <c r="I31" s="344"/>
      <c r="J31" s="325">
        <f t="shared" si="1"/>
        <v>-25</v>
      </c>
      <c r="K31" s="346"/>
      <c r="L31" s="341"/>
      <c r="M31" s="324">
        <f t="shared" si="8"/>
        <v>0</v>
      </c>
      <c r="N31" s="326">
        <f t="shared" si="4"/>
        <v>-25</v>
      </c>
      <c r="P31" s="321">
        <f t="shared" si="9"/>
        <v>40172</v>
      </c>
      <c r="T31" t="b">
        <f t="shared" si="5"/>
        <v>1</v>
      </c>
      <c r="U31">
        <f t="shared" si="10"/>
        <v>15</v>
      </c>
      <c r="V31">
        <f t="shared" si="12"/>
        <v>1</v>
      </c>
      <c r="X31" s="5"/>
      <c r="Y31" s="1"/>
      <c r="AB31" s="1" t="str">
        <f t="shared" si="11"/>
        <v>x</v>
      </c>
      <c r="AD31" s="204"/>
    </row>
    <row r="32" spans="2:30">
      <c r="B32" s="231">
        <v>18</v>
      </c>
      <c r="C32" s="318">
        <f t="shared" si="6"/>
        <v>40121</v>
      </c>
      <c r="D32" s="310" t="str">
        <f t="shared" si="2"/>
        <v/>
      </c>
      <c r="E32" s="328"/>
      <c r="F32" s="323"/>
      <c r="G32" s="338">
        <f t="shared" si="7"/>
        <v>25</v>
      </c>
      <c r="H32" s="325">
        <f t="shared" si="3"/>
        <v>-25</v>
      </c>
      <c r="I32" s="344"/>
      <c r="J32" s="325">
        <f t="shared" si="1"/>
        <v>-25</v>
      </c>
      <c r="K32" s="346"/>
      <c r="L32" s="341"/>
      <c r="M32" s="324">
        <f t="shared" si="8"/>
        <v>0</v>
      </c>
      <c r="N32" s="326">
        <f t="shared" si="4"/>
        <v>-25</v>
      </c>
      <c r="P32" s="321">
        <f t="shared" si="9"/>
        <v>40182</v>
      </c>
      <c r="T32" t="b">
        <f t="shared" si="5"/>
        <v>1</v>
      </c>
      <c r="U32">
        <f t="shared" si="10"/>
        <v>16</v>
      </c>
      <c r="V32">
        <f t="shared" si="12"/>
        <v>1</v>
      </c>
      <c r="X32" s="5"/>
      <c r="Y32" s="1"/>
      <c r="AB32" s="1" t="str">
        <f t="shared" si="11"/>
        <v>x</v>
      </c>
      <c r="AD32" s="204"/>
    </row>
    <row r="33" spans="2:30">
      <c r="B33" s="231">
        <v>19</v>
      </c>
      <c r="C33" s="318">
        <f t="shared" si="6"/>
        <v>40128</v>
      </c>
      <c r="D33" s="310" t="str">
        <f t="shared" si="2"/>
        <v/>
      </c>
      <c r="E33" s="328"/>
      <c r="F33" s="323"/>
      <c r="G33" s="338">
        <f t="shared" si="7"/>
        <v>25</v>
      </c>
      <c r="H33" s="325">
        <f t="shared" si="3"/>
        <v>-25</v>
      </c>
      <c r="I33" s="344"/>
      <c r="J33" s="325">
        <f t="shared" si="1"/>
        <v>-25</v>
      </c>
      <c r="K33" s="346"/>
      <c r="L33" s="341"/>
      <c r="M33" s="324">
        <f t="shared" si="8"/>
        <v>0</v>
      </c>
      <c r="N33" s="326">
        <f t="shared" si="4"/>
        <v>-25</v>
      </c>
      <c r="P33" s="321">
        <f t="shared" si="9"/>
        <v>40192</v>
      </c>
      <c r="T33" t="b">
        <f t="shared" si="5"/>
        <v>1</v>
      </c>
      <c r="U33">
        <f t="shared" si="10"/>
        <v>17</v>
      </c>
      <c r="V33">
        <f t="shared" si="12"/>
        <v>1</v>
      </c>
      <c r="X33" s="5"/>
      <c r="Y33" s="1"/>
      <c r="AB33" s="1" t="str">
        <f t="shared" si="11"/>
        <v>x</v>
      </c>
      <c r="AD33" s="204"/>
    </row>
    <row r="34" spans="2:30">
      <c r="B34" s="231">
        <v>20</v>
      </c>
      <c r="C34" s="318">
        <f t="shared" si="6"/>
        <v>40135</v>
      </c>
      <c r="D34" s="310" t="str">
        <f t="shared" si="2"/>
        <v/>
      </c>
      <c r="E34" s="328"/>
      <c r="F34" s="323"/>
      <c r="G34" s="338">
        <f t="shared" si="7"/>
        <v>25</v>
      </c>
      <c r="H34" s="325">
        <f t="shared" si="3"/>
        <v>-25</v>
      </c>
      <c r="I34" s="344"/>
      <c r="J34" s="325">
        <f t="shared" si="1"/>
        <v>-25</v>
      </c>
      <c r="K34" s="346"/>
      <c r="L34" s="341"/>
      <c r="M34" s="324">
        <f t="shared" si="8"/>
        <v>0</v>
      </c>
      <c r="N34" s="326">
        <f t="shared" si="4"/>
        <v>-25</v>
      </c>
      <c r="P34" s="321">
        <f t="shared" si="9"/>
        <v>40202</v>
      </c>
      <c r="T34" t="b">
        <f t="shared" si="5"/>
        <v>1</v>
      </c>
      <c r="U34">
        <f t="shared" si="10"/>
        <v>18</v>
      </c>
      <c r="V34">
        <f t="shared" si="12"/>
        <v>1</v>
      </c>
      <c r="X34" s="5"/>
      <c r="Y34" s="1"/>
      <c r="AB34" s="1" t="str">
        <f t="shared" si="11"/>
        <v>x</v>
      </c>
      <c r="AD34" s="204"/>
    </row>
    <row r="35" spans="2:30">
      <c r="B35" s="231">
        <v>21</v>
      </c>
      <c r="C35" s="318">
        <f t="shared" si="6"/>
        <v>40142</v>
      </c>
      <c r="D35" s="310" t="str">
        <f t="shared" si="2"/>
        <v>x</v>
      </c>
      <c r="E35" s="328"/>
      <c r="F35" s="323"/>
      <c r="G35" s="338">
        <f t="shared" si="7"/>
        <v>0</v>
      </c>
      <c r="H35" s="325">
        <f t="shared" si="3"/>
        <v>0</v>
      </c>
      <c r="I35" s="344"/>
      <c r="J35" s="325">
        <f t="shared" si="1"/>
        <v>0</v>
      </c>
      <c r="K35" s="346"/>
      <c r="L35" s="341"/>
      <c r="M35" s="324">
        <f t="shared" si="8"/>
        <v>0</v>
      </c>
      <c r="N35" s="326">
        <f t="shared" si="4"/>
        <v>0</v>
      </c>
      <c r="P35" s="321">
        <f t="shared" si="9"/>
        <v>40212</v>
      </c>
      <c r="T35" t="b">
        <f t="shared" si="5"/>
        <v>0</v>
      </c>
      <c r="U35">
        <f t="shared" si="10"/>
        <v>18</v>
      </c>
      <c r="V35">
        <f t="shared" si="12"/>
        <v>1</v>
      </c>
      <c r="X35" s="5"/>
      <c r="Y35" s="1"/>
      <c r="AB35" s="1" t="str">
        <f t="shared" si="11"/>
        <v>x</v>
      </c>
      <c r="AD35" s="204"/>
    </row>
    <row r="36" spans="2:30">
      <c r="B36" s="231">
        <v>22</v>
      </c>
      <c r="C36" s="318">
        <f t="shared" si="6"/>
        <v>40149</v>
      </c>
      <c r="D36" s="310" t="str">
        <f t="shared" si="2"/>
        <v/>
      </c>
      <c r="E36" s="328"/>
      <c r="F36" s="323"/>
      <c r="G36" s="338">
        <f t="shared" si="7"/>
        <v>25</v>
      </c>
      <c r="H36" s="325">
        <f t="shared" si="3"/>
        <v>-25</v>
      </c>
      <c r="I36" s="344"/>
      <c r="J36" s="325">
        <f t="shared" si="1"/>
        <v>-25</v>
      </c>
      <c r="K36" s="346"/>
      <c r="L36" s="341"/>
      <c r="M36" s="324">
        <f t="shared" si="8"/>
        <v>0</v>
      </c>
      <c r="N36" s="326">
        <f t="shared" si="4"/>
        <v>-25</v>
      </c>
      <c r="P36" s="321">
        <f t="shared" si="9"/>
        <v>40222</v>
      </c>
      <c r="T36" t="b">
        <f t="shared" si="5"/>
        <v>1</v>
      </c>
      <c r="U36">
        <f t="shared" si="10"/>
        <v>19</v>
      </c>
      <c r="V36">
        <f t="shared" si="12"/>
        <v>1</v>
      </c>
      <c r="X36" s="5"/>
      <c r="Y36" s="1"/>
      <c r="AB36" s="1" t="str">
        <f t="shared" si="11"/>
        <v>x</v>
      </c>
      <c r="AD36" s="204"/>
    </row>
    <row r="37" spans="2:30">
      <c r="B37" s="231">
        <v>23</v>
      </c>
      <c r="C37" s="318">
        <f t="shared" si="6"/>
        <v>40156</v>
      </c>
      <c r="D37" s="310" t="str">
        <f t="shared" si="2"/>
        <v/>
      </c>
      <c r="E37" s="328"/>
      <c r="F37" s="323"/>
      <c r="G37" s="338">
        <f t="shared" si="7"/>
        <v>25</v>
      </c>
      <c r="H37" s="325">
        <f t="shared" si="3"/>
        <v>-25</v>
      </c>
      <c r="I37" s="344"/>
      <c r="J37" s="325">
        <f t="shared" si="1"/>
        <v>-25</v>
      </c>
      <c r="K37" s="346"/>
      <c r="L37" s="341"/>
      <c r="M37" s="324">
        <f t="shared" si="8"/>
        <v>0</v>
      </c>
      <c r="N37" s="326">
        <f t="shared" si="4"/>
        <v>-25</v>
      </c>
      <c r="P37" s="321">
        <f t="shared" si="9"/>
        <v>40232</v>
      </c>
      <c r="T37" t="b">
        <f t="shared" si="5"/>
        <v>1</v>
      </c>
      <c r="U37">
        <f t="shared" si="10"/>
        <v>20</v>
      </c>
      <c r="V37">
        <f t="shared" si="12"/>
        <v>1</v>
      </c>
      <c r="X37" s="5"/>
      <c r="Y37" s="1"/>
      <c r="AB37" s="1" t="str">
        <f t="shared" si="11"/>
        <v>x</v>
      </c>
      <c r="AD37" s="204"/>
    </row>
    <row r="38" spans="2:30">
      <c r="B38" s="231">
        <v>24</v>
      </c>
      <c r="C38" s="318">
        <f t="shared" si="6"/>
        <v>40163</v>
      </c>
      <c r="D38" s="310" t="str">
        <f t="shared" si="2"/>
        <v/>
      </c>
      <c r="E38" s="328"/>
      <c r="F38" s="323"/>
      <c r="G38" s="338">
        <f t="shared" si="7"/>
        <v>25</v>
      </c>
      <c r="H38" s="325">
        <f t="shared" si="3"/>
        <v>-25</v>
      </c>
      <c r="I38" s="344"/>
      <c r="J38" s="325">
        <f t="shared" si="1"/>
        <v>-25</v>
      </c>
      <c r="K38" s="346"/>
      <c r="L38" s="341"/>
      <c r="M38" s="324">
        <f t="shared" si="8"/>
        <v>0</v>
      </c>
      <c r="N38" s="326">
        <f t="shared" si="4"/>
        <v>-25</v>
      </c>
      <c r="P38" s="321">
        <f t="shared" si="9"/>
        <v>40242</v>
      </c>
      <c r="T38" t="b">
        <f t="shared" si="5"/>
        <v>1</v>
      </c>
      <c r="U38">
        <f t="shared" si="10"/>
        <v>21</v>
      </c>
      <c r="V38">
        <f t="shared" si="12"/>
        <v>1</v>
      </c>
      <c r="X38" s="5"/>
      <c r="Y38" s="1"/>
      <c r="AB38" s="1" t="str">
        <f t="shared" si="11"/>
        <v>x</v>
      </c>
      <c r="AD38" s="204"/>
    </row>
    <row r="39" spans="2:30">
      <c r="B39" s="231">
        <v>25</v>
      </c>
      <c r="C39" s="318">
        <f t="shared" si="6"/>
        <v>40170</v>
      </c>
      <c r="D39" s="310" t="str">
        <f t="shared" si="2"/>
        <v/>
      </c>
      <c r="E39" s="328"/>
      <c r="F39" s="323"/>
      <c r="G39" s="338">
        <f t="shared" si="7"/>
        <v>25</v>
      </c>
      <c r="H39" s="325">
        <f t="shared" si="3"/>
        <v>-25</v>
      </c>
      <c r="I39" s="344"/>
      <c r="J39" s="325">
        <f t="shared" si="1"/>
        <v>-25</v>
      </c>
      <c r="K39" s="346"/>
      <c r="L39" s="341"/>
      <c r="M39" s="324">
        <f t="shared" si="8"/>
        <v>0</v>
      </c>
      <c r="N39" s="326">
        <f t="shared" si="4"/>
        <v>-25</v>
      </c>
      <c r="P39" s="321">
        <f t="shared" si="9"/>
        <v>40252</v>
      </c>
      <c r="T39" t="b">
        <f t="shared" si="5"/>
        <v>1</v>
      </c>
      <c r="U39">
        <f t="shared" si="10"/>
        <v>22</v>
      </c>
      <c r="V39">
        <f t="shared" si="12"/>
        <v>1</v>
      </c>
      <c r="X39" s="5"/>
      <c r="Y39" s="1"/>
      <c r="AB39" s="1" t="str">
        <f t="shared" si="11"/>
        <v>x</v>
      </c>
      <c r="AD39" s="204"/>
    </row>
    <row r="40" spans="2:30">
      <c r="B40" s="231">
        <v>26</v>
      </c>
      <c r="C40" s="318">
        <f t="shared" si="6"/>
        <v>40177</v>
      </c>
      <c r="D40" s="310" t="str">
        <f t="shared" si="2"/>
        <v/>
      </c>
      <c r="E40" s="328"/>
      <c r="F40" s="323"/>
      <c r="G40" s="338">
        <f t="shared" si="7"/>
        <v>25</v>
      </c>
      <c r="H40" s="325">
        <f t="shared" si="3"/>
        <v>-25</v>
      </c>
      <c r="I40" s="344"/>
      <c r="J40" s="325">
        <f t="shared" si="1"/>
        <v>-25</v>
      </c>
      <c r="K40" s="346"/>
      <c r="L40" s="341"/>
      <c r="M40" s="324">
        <f t="shared" si="8"/>
        <v>0</v>
      </c>
      <c r="N40" s="326">
        <f t="shared" si="4"/>
        <v>-25</v>
      </c>
      <c r="P40" s="321">
        <f t="shared" si="9"/>
        <v>40262</v>
      </c>
      <c r="T40" t="b">
        <f t="shared" si="5"/>
        <v>1</v>
      </c>
      <c r="U40">
        <f t="shared" si="10"/>
        <v>23</v>
      </c>
      <c r="V40">
        <f t="shared" si="12"/>
        <v>1</v>
      </c>
      <c r="X40" s="5"/>
      <c r="Y40" s="1"/>
      <c r="AB40" s="1" t="str">
        <f t="shared" si="11"/>
        <v>x</v>
      </c>
      <c r="AD40" s="204"/>
    </row>
    <row r="41" spans="2:30">
      <c r="B41" s="231">
        <v>27</v>
      </c>
      <c r="C41" s="318">
        <f t="shared" si="6"/>
        <v>40184</v>
      </c>
      <c r="D41" s="310" t="str">
        <f t="shared" si="2"/>
        <v/>
      </c>
      <c r="E41" s="328"/>
      <c r="F41" s="323"/>
      <c r="G41" s="338">
        <f t="shared" si="7"/>
        <v>25</v>
      </c>
      <c r="H41" s="325">
        <f t="shared" si="3"/>
        <v>-25</v>
      </c>
      <c r="I41" s="344"/>
      <c r="J41" s="325">
        <f t="shared" si="1"/>
        <v>-25</v>
      </c>
      <c r="K41" s="346"/>
      <c r="L41" s="341"/>
      <c r="M41" s="324">
        <f t="shared" si="8"/>
        <v>0</v>
      </c>
      <c r="N41" s="326">
        <f t="shared" si="4"/>
        <v>-25</v>
      </c>
      <c r="P41" s="321">
        <f t="shared" si="9"/>
        <v>40272</v>
      </c>
      <c r="T41" t="b">
        <f t="shared" si="5"/>
        <v>1</v>
      </c>
      <c r="U41">
        <f t="shared" si="10"/>
        <v>24</v>
      </c>
      <c r="V41">
        <f t="shared" si="12"/>
        <v>1</v>
      </c>
      <c r="X41" s="5"/>
      <c r="Y41" s="1"/>
      <c r="AB41" s="1" t="str">
        <f t="shared" si="11"/>
        <v>x</v>
      </c>
      <c r="AD41" s="204"/>
    </row>
    <row r="42" spans="2:30">
      <c r="B42" s="231">
        <v>28</v>
      </c>
      <c r="C42" s="318">
        <f t="shared" si="6"/>
        <v>40191</v>
      </c>
      <c r="D42" s="310" t="str">
        <f t="shared" si="2"/>
        <v/>
      </c>
      <c r="E42" s="328"/>
      <c r="F42" s="323"/>
      <c r="G42" s="338">
        <f t="shared" si="7"/>
        <v>25</v>
      </c>
      <c r="H42" s="325">
        <f t="shared" si="3"/>
        <v>-25</v>
      </c>
      <c r="I42" s="344"/>
      <c r="J42" s="325">
        <f t="shared" si="1"/>
        <v>-25</v>
      </c>
      <c r="K42" s="346"/>
      <c r="L42" s="341"/>
      <c r="M42" s="324">
        <f t="shared" si="8"/>
        <v>0</v>
      </c>
      <c r="N42" s="326">
        <f t="shared" si="4"/>
        <v>-25</v>
      </c>
      <c r="P42" s="321">
        <f t="shared" si="9"/>
        <v>40282</v>
      </c>
      <c r="T42" t="b">
        <f t="shared" si="5"/>
        <v>1</v>
      </c>
      <c r="U42">
        <f t="shared" si="10"/>
        <v>25</v>
      </c>
      <c r="V42">
        <f t="shared" si="12"/>
        <v>1</v>
      </c>
      <c r="X42" s="5"/>
      <c r="Y42" s="1"/>
      <c r="AB42" s="1" t="str">
        <f t="shared" si="11"/>
        <v>x</v>
      </c>
      <c r="AD42" s="204"/>
    </row>
    <row r="43" spans="2:30">
      <c r="B43" s="231">
        <v>29</v>
      </c>
      <c r="C43" s="318">
        <f t="shared" si="6"/>
        <v>40198</v>
      </c>
      <c r="D43" s="310" t="str">
        <f t="shared" si="2"/>
        <v/>
      </c>
      <c r="E43" s="328"/>
      <c r="F43" s="323"/>
      <c r="G43" s="338">
        <f t="shared" si="7"/>
        <v>25</v>
      </c>
      <c r="H43" s="325">
        <f t="shared" si="3"/>
        <v>-25</v>
      </c>
      <c r="I43" s="344"/>
      <c r="J43" s="325">
        <f t="shared" si="1"/>
        <v>-25</v>
      </c>
      <c r="K43" s="346"/>
      <c r="L43" s="341"/>
      <c r="M43" s="324">
        <f t="shared" si="8"/>
        <v>0</v>
      </c>
      <c r="N43" s="326">
        <f t="shared" si="4"/>
        <v>-25</v>
      </c>
      <c r="P43" s="321">
        <f t="shared" si="9"/>
        <v>40292</v>
      </c>
      <c r="T43" t="b">
        <f t="shared" si="5"/>
        <v>1</v>
      </c>
      <c r="U43">
        <f t="shared" si="10"/>
        <v>26</v>
      </c>
      <c r="V43">
        <f t="shared" si="12"/>
        <v>1</v>
      </c>
      <c r="X43" s="5"/>
      <c r="Y43" s="1"/>
      <c r="AB43" s="1" t="str">
        <f t="shared" si="11"/>
        <v>x</v>
      </c>
      <c r="AD43" s="204"/>
    </row>
    <row r="44" spans="2:30">
      <c r="B44" s="231">
        <v>30</v>
      </c>
      <c r="C44" s="318">
        <f t="shared" si="6"/>
        <v>40205</v>
      </c>
      <c r="D44" s="310" t="str">
        <f t="shared" si="2"/>
        <v/>
      </c>
      <c r="E44" s="328"/>
      <c r="F44" s="323"/>
      <c r="G44" s="338">
        <f t="shared" si="7"/>
        <v>25</v>
      </c>
      <c r="H44" s="325">
        <f t="shared" si="3"/>
        <v>-25</v>
      </c>
      <c r="I44" s="344"/>
      <c r="J44" s="325">
        <f t="shared" si="1"/>
        <v>-25</v>
      </c>
      <c r="K44" s="346"/>
      <c r="L44" s="341"/>
      <c r="M44" s="324">
        <f t="shared" si="8"/>
        <v>0</v>
      </c>
      <c r="N44" s="326">
        <f t="shared" si="4"/>
        <v>-25</v>
      </c>
      <c r="P44" s="321">
        <f t="shared" si="9"/>
        <v>40302</v>
      </c>
      <c r="T44" t="b">
        <f t="shared" si="5"/>
        <v>1</v>
      </c>
      <c r="U44">
        <f t="shared" si="10"/>
        <v>27</v>
      </c>
      <c r="V44">
        <f t="shared" si="12"/>
        <v>1</v>
      </c>
      <c r="X44" s="5"/>
      <c r="Y44" s="1"/>
      <c r="AB44" s="1" t="str">
        <f t="shared" si="11"/>
        <v>x</v>
      </c>
      <c r="AD44" s="204"/>
    </row>
    <row r="45" spans="2:30">
      <c r="B45" s="231">
        <v>31</v>
      </c>
      <c r="C45" s="318">
        <f t="shared" si="6"/>
        <v>40212</v>
      </c>
      <c r="D45" s="310" t="str">
        <f t="shared" si="2"/>
        <v>x</v>
      </c>
      <c r="E45" s="328"/>
      <c r="F45" s="323"/>
      <c r="G45" s="338">
        <f t="shared" si="7"/>
        <v>0</v>
      </c>
      <c r="H45" s="325">
        <f t="shared" si="3"/>
        <v>0</v>
      </c>
      <c r="I45" s="344"/>
      <c r="J45" s="325">
        <f t="shared" si="1"/>
        <v>0</v>
      </c>
      <c r="K45" s="346"/>
      <c r="L45" s="341"/>
      <c r="M45" s="324">
        <f t="shared" si="8"/>
        <v>0</v>
      </c>
      <c r="N45" s="326">
        <f t="shared" si="4"/>
        <v>0</v>
      </c>
      <c r="P45" s="321">
        <f t="shared" si="9"/>
        <v>40312</v>
      </c>
      <c r="T45" t="b">
        <f t="shared" si="5"/>
        <v>0</v>
      </c>
      <c r="U45">
        <f t="shared" si="10"/>
        <v>27</v>
      </c>
      <c r="V45">
        <f t="shared" si="12"/>
        <v>1</v>
      </c>
      <c r="X45" s="5"/>
      <c r="Y45" s="1"/>
      <c r="AB45" s="1" t="str">
        <f t="shared" si="11"/>
        <v>x</v>
      </c>
      <c r="AD45" s="204"/>
    </row>
    <row r="46" spans="2:30">
      <c r="B46" s="231">
        <v>32</v>
      </c>
      <c r="C46" s="318">
        <f t="shared" si="6"/>
        <v>40219</v>
      </c>
      <c r="D46" s="310" t="str">
        <f t="shared" si="2"/>
        <v/>
      </c>
      <c r="E46" s="328"/>
      <c r="F46" s="323"/>
      <c r="G46" s="338">
        <f t="shared" si="7"/>
        <v>25</v>
      </c>
      <c r="H46" s="325">
        <f t="shared" si="3"/>
        <v>-25</v>
      </c>
      <c r="I46" s="344"/>
      <c r="J46" s="325">
        <f t="shared" ref="J46:J77" si="13">IF(AND(ManualMode=TRUE,NOT(ISBLANK(I46))),H46-I46,H46-I46)</f>
        <v>-25</v>
      </c>
      <c r="K46" s="346"/>
      <c r="L46" s="341"/>
      <c r="M46" s="324">
        <f t="shared" si="8"/>
        <v>0</v>
      </c>
      <c r="N46" s="326">
        <f t="shared" si="4"/>
        <v>-25</v>
      </c>
      <c r="P46" s="321">
        <f t="shared" si="9"/>
        <v>40322</v>
      </c>
      <c r="T46" t="b">
        <f t="shared" si="5"/>
        <v>1</v>
      </c>
      <c r="U46">
        <f t="shared" si="10"/>
        <v>28</v>
      </c>
      <c r="V46">
        <f t="shared" si="12"/>
        <v>1</v>
      </c>
      <c r="X46" s="5"/>
      <c r="Y46" s="1"/>
      <c r="AB46" s="1" t="str">
        <f t="shared" si="11"/>
        <v>x</v>
      </c>
      <c r="AD46" s="204"/>
    </row>
    <row r="47" spans="2:30">
      <c r="B47" s="231">
        <v>33</v>
      </c>
      <c r="C47" s="318">
        <f t="shared" si="6"/>
        <v>40226</v>
      </c>
      <c r="D47" s="310" t="str">
        <f t="shared" ref="D47:D78" si="14">IF(HolGrace=FALSE,"",IF(V47=1,IF(ISNA(VLOOKUP(C47,Holidays,1,0)),"","x"),""))</f>
        <v/>
      </c>
      <c r="E47" s="328"/>
      <c r="F47" s="323"/>
      <c r="G47" s="338">
        <f t="shared" si="7"/>
        <v>25</v>
      </c>
      <c r="H47" s="325">
        <f t="shared" si="3"/>
        <v>-25</v>
      </c>
      <c r="I47" s="344"/>
      <c r="J47" s="325">
        <f t="shared" si="13"/>
        <v>-25</v>
      </c>
      <c r="K47" s="346"/>
      <c r="L47" s="341"/>
      <c r="M47" s="324">
        <f t="shared" si="8"/>
        <v>0</v>
      </c>
      <c r="N47" s="326">
        <f t="shared" si="4"/>
        <v>-25</v>
      </c>
      <c r="P47" s="321">
        <f t="shared" si="9"/>
        <v>40332</v>
      </c>
      <c r="T47" t="b">
        <f t="shared" ref="T47:T78" si="15">IF(U46=$D$5,FALSE,IF(OR(LEN(D47)&gt;0,LEN(E47)&gt;0),FALSE,TRUE))</f>
        <v>1</v>
      </c>
      <c r="U47">
        <f t="shared" si="10"/>
        <v>29</v>
      </c>
      <c r="V47">
        <f t="shared" si="12"/>
        <v>1</v>
      </c>
      <c r="X47" s="5"/>
      <c r="Y47" s="1"/>
      <c r="AB47" s="1" t="str">
        <f t="shared" si="11"/>
        <v>x</v>
      </c>
      <c r="AD47" s="204"/>
    </row>
    <row r="48" spans="2:30">
      <c r="B48" s="231">
        <v>34</v>
      </c>
      <c r="C48" s="318">
        <f t="shared" si="6"/>
        <v>40233</v>
      </c>
      <c r="D48" s="310" t="str">
        <f t="shared" si="14"/>
        <v/>
      </c>
      <c r="E48" s="328"/>
      <c r="F48" s="323"/>
      <c r="G48" s="338">
        <f t="shared" ref="G48:G79" si="16">IF(AND(T48=TRUE,U48&lt;=$D$5),PaymentAmt,0)</f>
        <v>25</v>
      </c>
      <c r="H48" s="325">
        <f t="shared" si="3"/>
        <v>-25</v>
      </c>
      <c r="I48" s="344"/>
      <c r="J48" s="325">
        <f t="shared" si="13"/>
        <v>-25</v>
      </c>
      <c r="K48" s="346"/>
      <c r="L48" s="341"/>
      <c r="M48" s="324">
        <f t="shared" si="8"/>
        <v>0</v>
      </c>
      <c r="N48" s="326">
        <f t="shared" si="4"/>
        <v>-25</v>
      </c>
      <c r="P48" s="321">
        <f t="shared" si="9"/>
        <v>40342</v>
      </c>
      <c r="T48" t="b">
        <f t="shared" si="15"/>
        <v>1</v>
      </c>
      <c r="U48">
        <f t="shared" si="10"/>
        <v>30</v>
      </c>
      <c r="V48">
        <f t="shared" si="12"/>
        <v>1</v>
      </c>
      <c r="X48" s="5"/>
      <c r="Y48" s="1"/>
      <c r="AB48" s="1" t="str">
        <f t="shared" ref="AB48:AB79" si="17">IF(B48&lt;=$D$5,"x",TRUE)</f>
        <v>x</v>
      </c>
      <c r="AD48" s="204"/>
    </row>
    <row r="49" spans="2:30">
      <c r="B49" s="231">
        <v>35</v>
      </c>
      <c r="C49" s="318">
        <f t="shared" si="6"/>
        <v>40240</v>
      </c>
      <c r="D49" s="310" t="str">
        <f t="shared" si="14"/>
        <v/>
      </c>
      <c r="E49" s="328"/>
      <c r="F49" s="323"/>
      <c r="G49" s="338">
        <f t="shared" si="16"/>
        <v>25</v>
      </c>
      <c r="H49" s="325">
        <f t="shared" si="3"/>
        <v>-25</v>
      </c>
      <c r="I49" s="344"/>
      <c r="J49" s="325">
        <f t="shared" si="13"/>
        <v>-25</v>
      </c>
      <c r="K49" s="346"/>
      <c r="L49" s="341"/>
      <c r="M49" s="324">
        <f t="shared" si="8"/>
        <v>0</v>
      </c>
      <c r="N49" s="326">
        <f t="shared" si="4"/>
        <v>-25</v>
      </c>
      <c r="P49" s="321">
        <f t="shared" si="9"/>
        <v>40352</v>
      </c>
      <c r="T49" t="b">
        <f t="shared" si="15"/>
        <v>1</v>
      </c>
      <c r="U49">
        <f t="shared" si="10"/>
        <v>31</v>
      </c>
      <c r="V49">
        <f t="shared" si="12"/>
        <v>1</v>
      </c>
      <c r="X49" s="5"/>
      <c r="Y49" s="1"/>
      <c r="AB49" s="1" t="str">
        <f t="shared" si="17"/>
        <v>x</v>
      </c>
      <c r="AD49" s="204"/>
    </row>
    <row r="50" spans="2:30">
      <c r="B50" s="231">
        <v>36</v>
      </c>
      <c r="C50" s="318">
        <f t="shared" si="6"/>
        <v>40247</v>
      </c>
      <c r="D50" s="310" t="str">
        <f t="shared" si="14"/>
        <v/>
      </c>
      <c r="E50" s="328"/>
      <c r="F50" s="323"/>
      <c r="G50" s="338">
        <f t="shared" si="16"/>
        <v>25</v>
      </c>
      <c r="H50" s="325">
        <f t="shared" si="3"/>
        <v>-25</v>
      </c>
      <c r="I50" s="344"/>
      <c r="J50" s="325">
        <f t="shared" si="13"/>
        <v>-25</v>
      </c>
      <c r="K50" s="346"/>
      <c r="L50" s="341"/>
      <c r="M50" s="324">
        <f t="shared" si="8"/>
        <v>0</v>
      </c>
      <c r="N50" s="326">
        <f t="shared" si="4"/>
        <v>-25</v>
      </c>
      <c r="P50" s="321">
        <f t="shared" si="9"/>
        <v>40362</v>
      </c>
      <c r="T50" t="b">
        <f t="shared" si="15"/>
        <v>1</v>
      </c>
      <c r="U50">
        <f t="shared" si="10"/>
        <v>32</v>
      </c>
      <c r="V50">
        <f t="shared" si="12"/>
        <v>1</v>
      </c>
      <c r="X50" s="5"/>
      <c r="Y50" s="1"/>
      <c r="AB50" s="1" t="str">
        <f t="shared" si="17"/>
        <v>x</v>
      </c>
      <c r="AD50" s="204"/>
    </row>
    <row r="51" spans="2:30">
      <c r="B51" s="231">
        <v>37</v>
      </c>
      <c r="C51" s="318">
        <f t="shared" si="6"/>
        <v>40254</v>
      </c>
      <c r="D51" s="310" t="str">
        <f t="shared" si="14"/>
        <v/>
      </c>
      <c r="E51" s="328"/>
      <c r="F51" s="323"/>
      <c r="G51" s="338">
        <f t="shared" si="16"/>
        <v>25</v>
      </c>
      <c r="H51" s="325">
        <f t="shared" si="3"/>
        <v>-25</v>
      </c>
      <c r="I51" s="344"/>
      <c r="J51" s="325">
        <f t="shared" si="13"/>
        <v>-25</v>
      </c>
      <c r="K51" s="346"/>
      <c r="L51" s="341"/>
      <c r="M51" s="324">
        <f t="shared" si="8"/>
        <v>0</v>
      </c>
      <c r="N51" s="326">
        <f t="shared" si="4"/>
        <v>-25</v>
      </c>
      <c r="P51" s="321">
        <f t="shared" si="9"/>
        <v>40372</v>
      </c>
      <c r="T51" t="b">
        <f t="shared" si="15"/>
        <v>1</v>
      </c>
      <c r="U51">
        <f t="shared" si="10"/>
        <v>33</v>
      </c>
      <c r="V51">
        <f t="shared" si="12"/>
        <v>1</v>
      </c>
      <c r="X51" s="5"/>
      <c r="Y51" s="1"/>
      <c r="AB51" s="1" t="str">
        <f t="shared" si="17"/>
        <v>x</v>
      </c>
      <c r="AD51" s="204"/>
    </row>
    <row r="52" spans="2:30">
      <c r="B52" s="231">
        <v>38</v>
      </c>
      <c r="C52" s="318">
        <f t="shared" si="6"/>
        <v>40261</v>
      </c>
      <c r="D52" s="310" t="str">
        <f t="shared" si="14"/>
        <v/>
      </c>
      <c r="E52" s="328"/>
      <c r="F52" s="323"/>
      <c r="G52" s="338">
        <f t="shared" si="16"/>
        <v>25</v>
      </c>
      <c r="H52" s="325">
        <f t="shared" si="3"/>
        <v>-25</v>
      </c>
      <c r="I52" s="344"/>
      <c r="J52" s="325">
        <f t="shared" si="13"/>
        <v>-25</v>
      </c>
      <c r="K52" s="346"/>
      <c r="L52" s="341"/>
      <c r="M52" s="324">
        <f t="shared" si="8"/>
        <v>0</v>
      </c>
      <c r="N52" s="326">
        <f t="shared" si="4"/>
        <v>-25</v>
      </c>
      <c r="P52" s="321">
        <f t="shared" si="9"/>
        <v>40382</v>
      </c>
      <c r="T52" t="b">
        <f t="shared" si="15"/>
        <v>1</v>
      </c>
      <c r="U52">
        <f t="shared" si="10"/>
        <v>34</v>
      </c>
      <c r="V52">
        <f t="shared" si="12"/>
        <v>1</v>
      </c>
      <c r="X52" s="5"/>
      <c r="Y52" s="1"/>
      <c r="AB52" s="1" t="str">
        <f t="shared" si="17"/>
        <v>x</v>
      </c>
      <c r="AD52" s="204"/>
    </row>
    <row r="53" spans="2:30">
      <c r="B53" s="231">
        <v>39</v>
      </c>
      <c r="C53" s="318">
        <f t="shared" si="6"/>
        <v>40268</v>
      </c>
      <c r="D53" s="310" t="str">
        <f t="shared" si="14"/>
        <v/>
      </c>
      <c r="E53" s="328"/>
      <c r="F53" s="323"/>
      <c r="G53" s="338">
        <f t="shared" si="16"/>
        <v>25</v>
      </c>
      <c r="H53" s="325">
        <f t="shared" si="3"/>
        <v>-25</v>
      </c>
      <c r="I53" s="344"/>
      <c r="J53" s="325">
        <f t="shared" si="13"/>
        <v>-25</v>
      </c>
      <c r="K53" s="346"/>
      <c r="L53" s="341"/>
      <c r="M53" s="324">
        <f t="shared" si="8"/>
        <v>0</v>
      </c>
      <c r="N53" s="326">
        <f t="shared" si="4"/>
        <v>-25</v>
      </c>
      <c r="P53" s="321">
        <f t="shared" si="9"/>
        <v>40392</v>
      </c>
      <c r="T53" t="b">
        <f t="shared" si="15"/>
        <v>1</v>
      </c>
      <c r="U53">
        <f t="shared" si="10"/>
        <v>35</v>
      </c>
      <c r="V53">
        <f t="shared" si="12"/>
        <v>1</v>
      </c>
      <c r="X53" s="5"/>
      <c r="Y53" s="1"/>
      <c r="AB53" s="1" t="str">
        <f t="shared" si="17"/>
        <v>x</v>
      </c>
      <c r="AD53" s="204"/>
    </row>
    <row r="54" spans="2:30">
      <c r="B54" s="231">
        <v>40</v>
      </c>
      <c r="C54" s="318">
        <f t="shared" si="6"/>
        <v>40275</v>
      </c>
      <c r="D54" s="310" t="str">
        <f t="shared" si="14"/>
        <v/>
      </c>
      <c r="E54" s="328"/>
      <c r="F54" s="323"/>
      <c r="G54" s="338">
        <f t="shared" si="16"/>
        <v>25</v>
      </c>
      <c r="H54" s="325">
        <f t="shared" si="3"/>
        <v>-25</v>
      </c>
      <c r="I54" s="344"/>
      <c r="J54" s="325">
        <f t="shared" si="13"/>
        <v>-25</v>
      </c>
      <c r="K54" s="346"/>
      <c r="L54" s="341"/>
      <c r="M54" s="324">
        <f t="shared" si="8"/>
        <v>0</v>
      </c>
      <c r="N54" s="326">
        <f t="shared" si="4"/>
        <v>-25</v>
      </c>
      <c r="P54" s="321">
        <f t="shared" si="9"/>
        <v>40402</v>
      </c>
      <c r="T54" t="b">
        <f t="shared" si="15"/>
        <v>1</v>
      </c>
      <c r="U54">
        <f t="shared" si="10"/>
        <v>36</v>
      </c>
      <c r="V54">
        <f t="shared" si="12"/>
        <v>1</v>
      </c>
      <c r="X54" s="5"/>
      <c r="Y54" s="1"/>
      <c r="AB54" s="1" t="str">
        <f t="shared" si="17"/>
        <v>x</v>
      </c>
      <c r="AD54" s="204"/>
    </row>
    <row r="55" spans="2:30">
      <c r="B55" s="231">
        <v>41</v>
      </c>
      <c r="C55" s="318">
        <f t="shared" si="6"/>
        <v>40282</v>
      </c>
      <c r="D55" s="310" t="str">
        <f t="shared" si="14"/>
        <v>x</v>
      </c>
      <c r="E55" s="328"/>
      <c r="F55" s="323"/>
      <c r="G55" s="338">
        <f t="shared" si="16"/>
        <v>0</v>
      </c>
      <c r="H55" s="325">
        <f t="shared" si="3"/>
        <v>0</v>
      </c>
      <c r="I55" s="344"/>
      <c r="J55" s="325">
        <f t="shared" si="13"/>
        <v>0</v>
      </c>
      <c r="K55" s="346"/>
      <c r="L55" s="341"/>
      <c r="M55" s="324">
        <f t="shared" si="8"/>
        <v>0</v>
      </c>
      <c r="N55" s="326">
        <f t="shared" si="4"/>
        <v>0</v>
      </c>
      <c r="P55" s="321"/>
      <c r="T55" t="b">
        <f t="shared" si="15"/>
        <v>0</v>
      </c>
      <c r="U55">
        <f t="shared" si="10"/>
        <v>36</v>
      </c>
      <c r="V55">
        <f t="shared" si="12"/>
        <v>1</v>
      </c>
      <c r="X55" s="5"/>
      <c r="Y55" s="1"/>
      <c r="AB55" s="1" t="str">
        <f t="shared" si="17"/>
        <v>x</v>
      </c>
      <c r="AD55" s="204"/>
    </row>
    <row r="56" spans="2:30">
      <c r="B56" s="231">
        <v>42</v>
      </c>
      <c r="C56" s="318">
        <f t="shared" si="6"/>
        <v>40289</v>
      </c>
      <c r="D56" s="310" t="str">
        <f t="shared" si="14"/>
        <v/>
      </c>
      <c r="E56" s="329"/>
      <c r="F56" s="323"/>
      <c r="G56" s="338">
        <f t="shared" si="16"/>
        <v>25</v>
      </c>
      <c r="H56" s="325">
        <f t="shared" si="3"/>
        <v>-25</v>
      </c>
      <c r="I56" s="344"/>
      <c r="J56" s="325">
        <f t="shared" si="13"/>
        <v>-25</v>
      </c>
      <c r="K56" s="346"/>
      <c r="L56" s="341"/>
      <c r="M56" s="324">
        <f t="shared" si="8"/>
        <v>0</v>
      </c>
      <c r="N56" s="326">
        <f t="shared" si="4"/>
        <v>-25</v>
      </c>
      <c r="P56" s="321"/>
      <c r="T56" t="b">
        <f t="shared" si="15"/>
        <v>1</v>
      </c>
      <c r="U56">
        <f t="shared" si="10"/>
        <v>37</v>
      </c>
      <c r="V56">
        <f t="shared" si="12"/>
        <v>1</v>
      </c>
      <c r="X56" s="5"/>
      <c r="Y56" s="1"/>
      <c r="AB56" s="1" t="str">
        <f t="shared" si="17"/>
        <v>x</v>
      </c>
      <c r="AD56" s="204"/>
    </row>
    <row r="57" spans="2:30">
      <c r="B57" s="231">
        <v>43</v>
      </c>
      <c r="C57" s="318">
        <f t="shared" si="6"/>
        <v>40296</v>
      </c>
      <c r="D57" s="310" t="str">
        <f t="shared" si="14"/>
        <v/>
      </c>
      <c r="E57" s="329"/>
      <c r="F57" s="323"/>
      <c r="G57" s="338">
        <f t="shared" si="16"/>
        <v>25</v>
      </c>
      <c r="H57" s="325">
        <f t="shared" si="3"/>
        <v>-25</v>
      </c>
      <c r="I57" s="344"/>
      <c r="J57" s="325">
        <f t="shared" si="13"/>
        <v>-25</v>
      </c>
      <c r="K57" s="346"/>
      <c r="L57" s="341"/>
      <c r="M57" s="324">
        <f t="shared" si="8"/>
        <v>0</v>
      </c>
      <c r="N57" s="326">
        <f t="shared" si="4"/>
        <v>-25</v>
      </c>
      <c r="P57" s="321"/>
      <c r="T57" t="b">
        <f t="shared" si="15"/>
        <v>1</v>
      </c>
      <c r="U57">
        <f t="shared" si="10"/>
        <v>38</v>
      </c>
      <c r="V57">
        <f t="shared" si="12"/>
        <v>1</v>
      </c>
      <c r="X57" s="5"/>
      <c r="Y57" s="1"/>
      <c r="AB57" s="1" t="str">
        <f t="shared" si="17"/>
        <v>x</v>
      </c>
      <c r="AD57" s="204"/>
    </row>
    <row r="58" spans="2:30">
      <c r="B58" s="231">
        <v>44</v>
      </c>
      <c r="C58" s="318">
        <f t="shared" si="6"/>
        <v>40303</v>
      </c>
      <c r="D58" s="310" t="str">
        <f t="shared" si="14"/>
        <v/>
      </c>
      <c r="E58" s="329"/>
      <c r="F58" s="323"/>
      <c r="G58" s="338">
        <f t="shared" si="16"/>
        <v>25</v>
      </c>
      <c r="H58" s="325">
        <f t="shared" si="3"/>
        <v>-25</v>
      </c>
      <c r="I58" s="344"/>
      <c r="J58" s="325">
        <f t="shared" si="13"/>
        <v>-25</v>
      </c>
      <c r="K58" s="346"/>
      <c r="L58" s="341"/>
      <c r="M58" s="324">
        <f t="shared" si="8"/>
        <v>0</v>
      </c>
      <c r="N58" s="326">
        <f t="shared" si="4"/>
        <v>-25</v>
      </c>
      <c r="P58" s="321"/>
      <c r="T58" t="b">
        <f t="shared" si="15"/>
        <v>1</v>
      </c>
      <c r="U58">
        <f t="shared" si="10"/>
        <v>39</v>
      </c>
      <c r="V58">
        <f t="shared" si="12"/>
        <v>1</v>
      </c>
      <c r="X58" s="5"/>
      <c r="Y58" s="1"/>
      <c r="AB58" s="1" t="str">
        <f t="shared" si="17"/>
        <v>x</v>
      </c>
      <c r="AD58" s="204"/>
    </row>
    <row r="59" spans="2:30">
      <c r="B59" s="231">
        <v>45</v>
      </c>
      <c r="C59" s="318">
        <f t="shared" si="6"/>
        <v>40310</v>
      </c>
      <c r="D59" s="310" t="str">
        <f t="shared" si="14"/>
        <v/>
      </c>
      <c r="E59" s="329"/>
      <c r="F59" s="323"/>
      <c r="G59" s="338">
        <f t="shared" si="16"/>
        <v>25</v>
      </c>
      <c r="H59" s="325">
        <f t="shared" si="3"/>
        <v>-25</v>
      </c>
      <c r="I59" s="344"/>
      <c r="J59" s="325">
        <f t="shared" si="13"/>
        <v>-25</v>
      </c>
      <c r="K59" s="346"/>
      <c r="L59" s="341"/>
      <c r="M59" s="324">
        <f t="shared" si="8"/>
        <v>0</v>
      </c>
      <c r="N59" s="326">
        <f t="shared" si="4"/>
        <v>-25</v>
      </c>
      <c r="P59" s="321"/>
      <c r="T59" t="b">
        <f t="shared" si="15"/>
        <v>1</v>
      </c>
      <c r="U59">
        <f t="shared" si="10"/>
        <v>40</v>
      </c>
      <c r="V59">
        <f t="shared" si="12"/>
        <v>1</v>
      </c>
      <c r="X59" s="5"/>
      <c r="Y59" s="1"/>
      <c r="AB59" s="1" t="str">
        <f t="shared" si="17"/>
        <v>x</v>
      </c>
      <c r="AD59" s="204"/>
    </row>
    <row r="60" spans="2:30">
      <c r="B60" s="231">
        <v>46</v>
      </c>
      <c r="C60" s="318">
        <f t="shared" si="6"/>
        <v>40317</v>
      </c>
      <c r="D60" s="310" t="str">
        <f t="shared" si="14"/>
        <v/>
      </c>
      <c r="E60" s="329"/>
      <c r="F60" s="323"/>
      <c r="G60" s="338">
        <f t="shared" si="16"/>
        <v>25</v>
      </c>
      <c r="H60" s="325">
        <f t="shared" si="3"/>
        <v>-25</v>
      </c>
      <c r="I60" s="344"/>
      <c r="J60" s="325">
        <f t="shared" si="13"/>
        <v>-25</v>
      </c>
      <c r="K60" s="346"/>
      <c r="L60" s="341"/>
      <c r="M60" s="324">
        <f t="shared" si="8"/>
        <v>0</v>
      </c>
      <c r="N60" s="326">
        <f t="shared" si="4"/>
        <v>-25</v>
      </c>
      <c r="P60" s="321"/>
      <c r="T60" t="b">
        <f t="shared" si="15"/>
        <v>1</v>
      </c>
      <c r="U60">
        <f t="shared" si="10"/>
        <v>41</v>
      </c>
      <c r="V60">
        <f t="shared" si="12"/>
        <v>1</v>
      </c>
      <c r="X60" s="5"/>
      <c r="Y60" s="1"/>
      <c r="AB60" s="1" t="str">
        <f t="shared" si="17"/>
        <v>x</v>
      </c>
      <c r="AD60" s="204"/>
    </row>
    <row r="61" spans="2:30">
      <c r="B61" s="231">
        <v>47</v>
      </c>
      <c r="C61" s="318">
        <f t="shared" si="6"/>
        <v>40324</v>
      </c>
      <c r="D61" s="310" t="str">
        <f t="shared" si="14"/>
        <v/>
      </c>
      <c r="E61" s="329"/>
      <c r="F61" s="323"/>
      <c r="G61" s="338">
        <f t="shared" si="16"/>
        <v>25</v>
      </c>
      <c r="H61" s="325">
        <f t="shared" si="3"/>
        <v>-25</v>
      </c>
      <c r="I61" s="344"/>
      <c r="J61" s="325">
        <f t="shared" si="13"/>
        <v>-25</v>
      </c>
      <c r="K61" s="346"/>
      <c r="L61" s="341"/>
      <c r="M61" s="324">
        <f t="shared" si="8"/>
        <v>0</v>
      </c>
      <c r="N61" s="326">
        <f t="shared" si="4"/>
        <v>-25</v>
      </c>
      <c r="P61" s="321"/>
      <c r="T61" t="b">
        <f t="shared" si="15"/>
        <v>1</v>
      </c>
      <c r="U61">
        <f t="shared" si="10"/>
        <v>42</v>
      </c>
      <c r="V61">
        <f t="shared" si="12"/>
        <v>1</v>
      </c>
      <c r="X61" s="5"/>
      <c r="Y61" s="1"/>
      <c r="AB61" s="1" t="b">
        <f t="shared" si="17"/>
        <v>1</v>
      </c>
      <c r="AD61" s="204"/>
    </row>
    <row r="62" spans="2:30">
      <c r="B62" s="231">
        <v>48</v>
      </c>
      <c r="C62" s="318">
        <f t="shared" si="6"/>
        <v>40331</v>
      </c>
      <c r="D62" s="310" t="str">
        <f t="shared" si="14"/>
        <v/>
      </c>
      <c r="E62" s="329"/>
      <c r="F62" s="323"/>
      <c r="G62" s="338">
        <f t="shared" si="16"/>
        <v>25</v>
      </c>
      <c r="H62" s="325">
        <f t="shared" si="3"/>
        <v>-25</v>
      </c>
      <c r="I62" s="344"/>
      <c r="J62" s="325">
        <f t="shared" si="13"/>
        <v>-25</v>
      </c>
      <c r="K62" s="346"/>
      <c r="L62" s="341"/>
      <c r="M62" s="324">
        <f t="shared" si="8"/>
        <v>0</v>
      </c>
      <c r="N62" s="326">
        <f t="shared" si="4"/>
        <v>-25</v>
      </c>
      <c r="P62" s="321"/>
      <c r="T62" t="b">
        <f t="shared" si="15"/>
        <v>1</v>
      </c>
      <c r="U62">
        <f t="shared" si="10"/>
        <v>43</v>
      </c>
      <c r="V62">
        <f t="shared" si="12"/>
        <v>1</v>
      </c>
      <c r="X62" s="5"/>
      <c r="Y62" s="1"/>
      <c r="AB62" s="1" t="b">
        <f t="shared" si="17"/>
        <v>1</v>
      </c>
      <c r="AD62" s="204"/>
    </row>
    <row r="63" spans="2:30">
      <c r="B63" s="231">
        <v>49</v>
      </c>
      <c r="C63" s="318">
        <f t="shared" si="6"/>
        <v>40338</v>
      </c>
      <c r="D63" s="310" t="str">
        <f t="shared" si="14"/>
        <v/>
      </c>
      <c r="E63" s="329"/>
      <c r="F63" s="323"/>
      <c r="G63" s="338">
        <f t="shared" si="16"/>
        <v>25</v>
      </c>
      <c r="H63" s="325">
        <f t="shared" si="3"/>
        <v>-25</v>
      </c>
      <c r="I63" s="344"/>
      <c r="J63" s="325">
        <f t="shared" si="13"/>
        <v>-25</v>
      </c>
      <c r="K63" s="346"/>
      <c r="L63" s="341"/>
      <c r="M63" s="324">
        <f t="shared" si="8"/>
        <v>0</v>
      </c>
      <c r="N63" s="326">
        <f t="shared" si="4"/>
        <v>-25</v>
      </c>
      <c r="P63" s="321"/>
      <c r="T63" t="b">
        <f t="shared" si="15"/>
        <v>1</v>
      </c>
      <c r="U63">
        <f t="shared" si="10"/>
        <v>44</v>
      </c>
      <c r="V63">
        <f t="shared" si="12"/>
        <v>1</v>
      </c>
      <c r="X63" s="5"/>
      <c r="Y63" s="1"/>
      <c r="AB63" s="1" t="b">
        <f t="shared" si="17"/>
        <v>1</v>
      </c>
      <c r="AD63" s="204"/>
    </row>
    <row r="64" spans="2:30">
      <c r="B64" s="231">
        <v>50</v>
      </c>
      <c r="C64" s="318">
        <f t="shared" si="6"/>
        <v>40345</v>
      </c>
      <c r="D64" s="310" t="str">
        <f t="shared" si="14"/>
        <v/>
      </c>
      <c r="E64" s="328"/>
      <c r="F64" s="323"/>
      <c r="G64" s="338">
        <f t="shared" si="16"/>
        <v>25</v>
      </c>
      <c r="H64" s="325">
        <f t="shared" si="3"/>
        <v>-25</v>
      </c>
      <c r="I64" s="344"/>
      <c r="J64" s="325">
        <f t="shared" si="13"/>
        <v>-25</v>
      </c>
      <c r="K64" s="346"/>
      <c r="L64" s="341"/>
      <c r="M64" s="324">
        <f t="shared" si="8"/>
        <v>0</v>
      </c>
      <c r="N64" s="326">
        <f t="shared" si="4"/>
        <v>-25</v>
      </c>
      <c r="P64" s="321"/>
      <c r="T64" t="b">
        <f t="shared" si="15"/>
        <v>1</v>
      </c>
      <c r="U64">
        <f t="shared" si="10"/>
        <v>45</v>
      </c>
      <c r="V64">
        <f t="shared" si="12"/>
        <v>1</v>
      </c>
      <c r="X64" s="5"/>
      <c r="Y64" s="1"/>
      <c r="AB64" s="1" t="b">
        <f t="shared" si="17"/>
        <v>1</v>
      </c>
      <c r="AD64" s="204"/>
    </row>
    <row r="65" spans="2:30">
      <c r="B65" s="231">
        <v>51</v>
      </c>
      <c r="C65" s="318">
        <f t="shared" si="6"/>
        <v>40352</v>
      </c>
      <c r="D65" s="310" t="str">
        <f t="shared" si="14"/>
        <v>x</v>
      </c>
      <c r="E65" s="328"/>
      <c r="F65" s="323"/>
      <c r="G65" s="338">
        <f t="shared" si="16"/>
        <v>0</v>
      </c>
      <c r="H65" s="325">
        <f t="shared" si="3"/>
        <v>0</v>
      </c>
      <c r="I65" s="344"/>
      <c r="J65" s="325">
        <f t="shared" si="13"/>
        <v>0</v>
      </c>
      <c r="K65" s="346"/>
      <c r="L65" s="341"/>
      <c r="M65" s="324">
        <f t="shared" si="8"/>
        <v>0</v>
      </c>
      <c r="N65" s="326">
        <f t="shared" si="4"/>
        <v>0</v>
      </c>
      <c r="P65" s="321"/>
      <c r="T65" t="b">
        <f t="shared" si="15"/>
        <v>0</v>
      </c>
      <c r="U65">
        <f t="shared" si="10"/>
        <v>45</v>
      </c>
      <c r="V65">
        <f t="shared" si="12"/>
        <v>1</v>
      </c>
      <c r="X65" s="5"/>
      <c r="Y65" s="1"/>
      <c r="AB65" s="1" t="b">
        <f t="shared" si="17"/>
        <v>1</v>
      </c>
      <c r="AD65" s="204"/>
    </row>
    <row r="66" spans="2:30">
      <c r="B66" s="231">
        <v>52</v>
      </c>
      <c r="C66" s="318">
        <f t="shared" si="6"/>
        <v>40359</v>
      </c>
      <c r="D66" s="310" t="str">
        <f t="shared" si="14"/>
        <v/>
      </c>
      <c r="E66" s="328"/>
      <c r="F66" s="323"/>
      <c r="G66" s="338">
        <f t="shared" si="16"/>
        <v>25</v>
      </c>
      <c r="H66" s="325">
        <f t="shared" si="3"/>
        <v>-25</v>
      </c>
      <c r="I66" s="344"/>
      <c r="J66" s="325">
        <f t="shared" si="13"/>
        <v>-25</v>
      </c>
      <c r="K66" s="346"/>
      <c r="L66" s="341"/>
      <c r="M66" s="324">
        <f t="shared" si="8"/>
        <v>0</v>
      </c>
      <c r="N66" s="326">
        <f t="shared" si="4"/>
        <v>-25</v>
      </c>
      <c r="P66" s="321"/>
      <c r="T66" t="b">
        <f t="shared" si="15"/>
        <v>1</v>
      </c>
      <c r="U66">
        <f t="shared" si="10"/>
        <v>46</v>
      </c>
      <c r="V66">
        <f t="shared" si="12"/>
        <v>1</v>
      </c>
      <c r="X66" s="5"/>
      <c r="Y66" s="1"/>
      <c r="AB66" s="1" t="b">
        <f t="shared" si="17"/>
        <v>1</v>
      </c>
      <c r="AD66" s="204"/>
    </row>
    <row r="67" spans="2:30">
      <c r="B67" s="231">
        <v>53</v>
      </c>
      <c r="C67" s="318">
        <f t="shared" si="6"/>
        <v>40366</v>
      </c>
      <c r="D67" s="310" t="str">
        <f t="shared" si="14"/>
        <v/>
      </c>
      <c r="E67" s="328"/>
      <c r="F67" s="323"/>
      <c r="G67" s="338">
        <f t="shared" si="16"/>
        <v>0</v>
      </c>
      <c r="H67" s="325">
        <f t="shared" si="3"/>
        <v>0</v>
      </c>
      <c r="I67" s="344"/>
      <c r="J67" s="325">
        <f t="shared" si="13"/>
        <v>0</v>
      </c>
      <c r="K67" s="346"/>
      <c r="L67" s="341"/>
      <c r="M67" s="324">
        <f t="shared" si="8"/>
        <v>0</v>
      </c>
      <c r="N67" s="326">
        <f t="shared" si="4"/>
        <v>0</v>
      </c>
      <c r="P67" s="321"/>
      <c r="T67" t="b">
        <f t="shared" si="15"/>
        <v>0</v>
      </c>
      <c r="U67">
        <f t="shared" si="10"/>
        <v>46</v>
      </c>
      <c r="V67">
        <f t="shared" si="12"/>
        <v>0</v>
      </c>
      <c r="X67" s="5"/>
      <c r="Y67" s="1"/>
      <c r="AB67" s="1" t="b">
        <f t="shared" si="17"/>
        <v>1</v>
      </c>
      <c r="AD67" s="204"/>
    </row>
    <row r="68" spans="2:30">
      <c r="B68" s="231">
        <v>54</v>
      </c>
      <c r="C68" s="318">
        <f t="shared" si="6"/>
        <v>40373</v>
      </c>
      <c r="D68" s="310" t="str">
        <f t="shared" si="14"/>
        <v/>
      </c>
      <c r="E68" s="328"/>
      <c r="F68" s="323"/>
      <c r="G68" s="338">
        <f t="shared" si="16"/>
        <v>0</v>
      </c>
      <c r="H68" s="325">
        <f t="shared" si="3"/>
        <v>0</v>
      </c>
      <c r="I68" s="344"/>
      <c r="J68" s="325">
        <f t="shared" si="13"/>
        <v>0</v>
      </c>
      <c r="K68" s="346"/>
      <c r="L68" s="341"/>
      <c r="M68" s="324">
        <f t="shared" si="8"/>
        <v>0</v>
      </c>
      <c r="N68" s="326">
        <f t="shared" si="4"/>
        <v>0</v>
      </c>
      <c r="P68" s="321"/>
      <c r="T68" t="b">
        <f t="shared" si="15"/>
        <v>0</v>
      </c>
      <c r="U68">
        <f t="shared" si="10"/>
        <v>46</v>
      </c>
      <c r="V68">
        <f t="shared" si="12"/>
        <v>0</v>
      </c>
      <c r="X68" s="5"/>
      <c r="Y68" s="1"/>
      <c r="AB68" s="1" t="b">
        <f t="shared" si="17"/>
        <v>1</v>
      </c>
      <c r="AD68" s="204"/>
    </row>
    <row r="69" spans="2:30">
      <c r="B69" s="231">
        <v>55</v>
      </c>
      <c r="C69" s="318">
        <f t="shared" si="6"/>
        <v>40380</v>
      </c>
      <c r="D69" s="310" t="str">
        <f t="shared" si="14"/>
        <v/>
      </c>
      <c r="E69" s="328"/>
      <c r="F69" s="323"/>
      <c r="G69" s="338">
        <f t="shared" si="16"/>
        <v>0</v>
      </c>
      <c r="H69" s="325">
        <f t="shared" si="3"/>
        <v>0</v>
      </c>
      <c r="I69" s="344"/>
      <c r="J69" s="325">
        <f t="shared" si="13"/>
        <v>0</v>
      </c>
      <c r="K69" s="346"/>
      <c r="L69" s="341"/>
      <c r="M69" s="324">
        <f t="shared" si="8"/>
        <v>0</v>
      </c>
      <c r="N69" s="326">
        <f t="shared" si="4"/>
        <v>0</v>
      </c>
      <c r="P69" s="321"/>
      <c r="T69" t="b">
        <f t="shared" si="15"/>
        <v>0</v>
      </c>
      <c r="U69">
        <f t="shared" si="10"/>
        <v>46</v>
      </c>
      <c r="V69">
        <f t="shared" si="12"/>
        <v>0</v>
      </c>
      <c r="X69" s="5"/>
      <c r="Y69" s="1"/>
      <c r="AB69" s="1" t="b">
        <f t="shared" si="17"/>
        <v>1</v>
      </c>
      <c r="AD69" s="204"/>
    </row>
    <row r="70" spans="2:30">
      <c r="B70" s="231">
        <v>56</v>
      </c>
      <c r="C70" s="318">
        <f t="shared" si="6"/>
        <v>40387</v>
      </c>
      <c r="D70" s="310" t="str">
        <f t="shared" si="14"/>
        <v/>
      </c>
      <c r="E70" s="328"/>
      <c r="F70" s="323"/>
      <c r="G70" s="338">
        <f t="shared" si="16"/>
        <v>0</v>
      </c>
      <c r="H70" s="325">
        <f t="shared" si="3"/>
        <v>0</v>
      </c>
      <c r="I70" s="344"/>
      <c r="J70" s="325">
        <f t="shared" si="13"/>
        <v>0</v>
      </c>
      <c r="K70" s="346"/>
      <c r="L70" s="341"/>
      <c r="M70" s="324">
        <f t="shared" si="8"/>
        <v>0</v>
      </c>
      <c r="N70" s="326">
        <f t="shared" si="4"/>
        <v>0</v>
      </c>
      <c r="P70" s="321"/>
      <c r="T70" t="b">
        <f t="shared" si="15"/>
        <v>0</v>
      </c>
      <c r="U70">
        <f t="shared" si="10"/>
        <v>46</v>
      </c>
      <c r="V70">
        <f t="shared" si="12"/>
        <v>0</v>
      </c>
      <c r="X70" s="5"/>
      <c r="Y70" s="1"/>
      <c r="AB70" s="1" t="b">
        <f t="shared" si="17"/>
        <v>1</v>
      </c>
      <c r="AD70" s="204"/>
    </row>
    <row r="71" spans="2:30">
      <c r="B71" s="231">
        <v>57</v>
      </c>
      <c r="C71" s="318">
        <f t="shared" si="6"/>
        <v>40394</v>
      </c>
      <c r="D71" s="310" t="str">
        <f t="shared" si="14"/>
        <v/>
      </c>
      <c r="E71" s="328"/>
      <c r="F71" s="323"/>
      <c r="G71" s="338">
        <f t="shared" si="16"/>
        <v>0</v>
      </c>
      <c r="H71" s="325">
        <f t="shared" si="3"/>
        <v>0</v>
      </c>
      <c r="I71" s="344"/>
      <c r="J71" s="325">
        <f t="shared" si="13"/>
        <v>0</v>
      </c>
      <c r="K71" s="346"/>
      <c r="L71" s="341"/>
      <c r="M71" s="324">
        <f t="shared" si="8"/>
        <v>0</v>
      </c>
      <c r="N71" s="326">
        <f t="shared" si="4"/>
        <v>0</v>
      </c>
      <c r="P71" s="321"/>
      <c r="T71" t="b">
        <f t="shared" si="15"/>
        <v>0</v>
      </c>
      <c r="U71">
        <f t="shared" si="10"/>
        <v>46</v>
      </c>
      <c r="V71">
        <f t="shared" si="12"/>
        <v>0</v>
      </c>
      <c r="X71" s="5"/>
      <c r="Y71" s="1"/>
      <c r="AB71" s="1" t="b">
        <f t="shared" si="17"/>
        <v>1</v>
      </c>
      <c r="AD71" s="204"/>
    </row>
    <row r="72" spans="2:30">
      <c r="B72" s="231">
        <v>58</v>
      </c>
      <c r="C72" s="318">
        <f t="shared" si="6"/>
        <v>40401</v>
      </c>
      <c r="D72" s="310" t="str">
        <f t="shared" si="14"/>
        <v/>
      </c>
      <c r="E72" s="328"/>
      <c r="F72" s="323"/>
      <c r="G72" s="338">
        <f t="shared" si="16"/>
        <v>0</v>
      </c>
      <c r="H72" s="325">
        <f t="shared" si="3"/>
        <v>0</v>
      </c>
      <c r="I72" s="344"/>
      <c r="J72" s="325">
        <f t="shared" si="13"/>
        <v>0</v>
      </c>
      <c r="K72" s="346"/>
      <c r="L72" s="341"/>
      <c r="M72" s="324">
        <f t="shared" si="8"/>
        <v>0</v>
      </c>
      <c r="N72" s="326">
        <f t="shared" si="4"/>
        <v>0</v>
      </c>
      <c r="P72" s="321"/>
      <c r="T72" t="b">
        <f t="shared" si="15"/>
        <v>0</v>
      </c>
      <c r="U72">
        <f t="shared" si="10"/>
        <v>46</v>
      </c>
      <c r="V72">
        <f t="shared" si="12"/>
        <v>0</v>
      </c>
      <c r="X72" s="5"/>
      <c r="Y72" s="1"/>
      <c r="AB72" s="1" t="b">
        <f t="shared" si="17"/>
        <v>1</v>
      </c>
      <c r="AD72" s="204"/>
    </row>
    <row r="73" spans="2:30">
      <c r="B73" s="231">
        <v>59</v>
      </c>
      <c r="C73" s="318">
        <f t="shared" si="6"/>
        <v>40408</v>
      </c>
      <c r="D73" s="310" t="str">
        <f t="shared" si="14"/>
        <v/>
      </c>
      <c r="E73" s="328"/>
      <c r="F73" s="323"/>
      <c r="G73" s="338">
        <f t="shared" si="16"/>
        <v>0</v>
      </c>
      <c r="H73" s="325">
        <f t="shared" si="3"/>
        <v>0</v>
      </c>
      <c r="I73" s="344"/>
      <c r="J73" s="325">
        <f t="shared" si="13"/>
        <v>0</v>
      </c>
      <c r="K73" s="346"/>
      <c r="L73" s="341"/>
      <c r="M73" s="324">
        <f t="shared" si="8"/>
        <v>0</v>
      </c>
      <c r="N73" s="326">
        <f t="shared" si="4"/>
        <v>0</v>
      </c>
      <c r="P73" s="321"/>
      <c r="T73" t="b">
        <f t="shared" si="15"/>
        <v>0</v>
      </c>
      <c r="U73">
        <f t="shared" si="10"/>
        <v>46</v>
      </c>
      <c r="V73">
        <f t="shared" si="12"/>
        <v>0</v>
      </c>
      <c r="X73" s="5"/>
      <c r="Y73" s="1"/>
      <c r="AB73" s="1" t="b">
        <f t="shared" si="17"/>
        <v>1</v>
      </c>
      <c r="AD73" s="204"/>
    </row>
    <row r="74" spans="2:30">
      <c r="B74" s="231">
        <v>60</v>
      </c>
      <c r="C74" s="318">
        <f t="shared" si="6"/>
        <v>40415</v>
      </c>
      <c r="D74" s="310" t="str">
        <f t="shared" si="14"/>
        <v/>
      </c>
      <c r="E74" s="328"/>
      <c r="F74" s="323"/>
      <c r="G74" s="338">
        <f t="shared" si="16"/>
        <v>0</v>
      </c>
      <c r="H74" s="325">
        <f t="shared" si="3"/>
        <v>0</v>
      </c>
      <c r="I74" s="344"/>
      <c r="J74" s="325">
        <f t="shared" si="13"/>
        <v>0</v>
      </c>
      <c r="K74" s="346"/>
      <c r="L74" s="341"/>
      <c r="M74" s="324">
        <f t="shared" si="8"/>
        <v>0</v>
      </c>
      <c r="N74" s="326">
        <f t="shared" si="4"/>
        <v>0</v>
      </c>
      <c r="P74" s="321"/>
      <c r="T74" t="b">
        <f t="shared" si="15"/>
        <v>0</v>
      </c>
      <c r="U74">
        <f t="shared" si="10"/>
        <v>46</v>
      </c>
      <c r="V74">
        <f t="shared" si="12"/>
        <v>0</v>
      </c>
      <c r="X74" s="5"/>
      <c r="Y74" s="1"/>
      <c r="AB74" s="1" t="b">
        <f t="shared" si="17"/>
        <v>1</v>
      </c>
      <c r="AD74" s="204"/>
    </row>
    <row r="75" spans="2:30">
      <c r="B75" s="231">
        <v>61</v>
      </c>
      <c r="C75" s="318">
        <f t="shared" si="6"/>
        <v>40422</v>
      </c>
      <c r="D75" s="310" t="str">
        <f t="shared" si="14"/>
        <v/>
      </c>
      <c r="E75" s="328"/>
      <c r="F75" s="323"/>
      <c r="G75" s="338">
        <f t="shared" si="16"/>
        <v>0</v>
      </c>
      <c r="H75" s="325">
        <f t="shared" si="3"/>
        <v>0</v>
      </c>
      <c r="I75" s="344"/>
      <c r="J75" s="325">
        <f t="shared" si="13"/>
        <v>0</v>
      </c>
      <c r="K75" s="346"/>
      <c r="L75" s="341"/>
      <c r="M75" s="324">
        <f t="shared" si="8"/>
        <v>0</v>
      </c>
      <c r="N75" s="326">
        <f t="shared" si="4"/>
        <v>0</v>
      </c>
      <c r="P75" s="321"/>
      <c r="T75" t="b">
        <f t="shared" si="15"/>
        <v>0</v>
      </c>
      <c r="U75">
        <f t="shared" si="10"/>
        <v>46</v>
      </c>
      <c r="V75">
        <f t="shared" si="12"/>
        <v>0</v>
      </c>
      <c r="X75" s="5"/>
      <c r="Y75" s="1"/>
      <c r="AB75" s="1" t="b">
        <f t="shared" si="17"/>
        <v>1</v>
      </c>
      <c r="AD75" s="204"/>
    </row>
    <row r="76" spans="2:30">
      <c r="B76" s="231">
        <v>62</v>
      </c>
      <c r="C76" s="318">
        <f t="shared" si="6"/>
        <v>40429</v>
      </c>
      <c r="D76" s="310" t="str">
        <f t="shared" si="14"/>
        <v/>
      </c>
      <c r="E76" s="328"/>
      <c r="F76" s="323"/>
      <c r="G76" s="338">
        <f t="shared" si="16"/>
        <v>0</v>
      </c>
      <c r="H76" s="325">
        <f t="shared" si="3"/>
        <v>0</v>
      </c>
      <c r="I76" s="344"/>
      <c r="J76" s="325">
        <f t="shared" si="13"/>
        <v>0</v>
      </c>
      <c r="K76" s="346"/>
      <c r="L76" s="341"/>
      <c r="M76" s="324">
        <f t="shared" si="8"/>
        <v>0</v>
      </c>
      <c r="N76" s="326">
        <f t="shared" si="4"/>
        <v>0</v>
      </c>
      <c r="P76" s="321"/>
      <c r="T76" t="b">
        <f t="shared" si="15"/>
        <v>0</v>
      </c>
      <c r="U76">
        <f t="shared" si="10"/>
        <v>46</v>
      </c>
      <c r="V76">
        <f t="shared" si="12"/>
        <v>0</v>
      </c>
      <c r="X76" s="5"/>
      <c r="Y76" s="1"/>
      <c r="AB76" s="1" t="b">
        <f t="shared" si="17"/>
        <v>1</v>
      </c>
      <c r="AD76" s="204"/>
    </row>
    <row r="77" spans="2:30">
      <c r="B77" s="231">
        <v>63</v>
      </c>
      <c r="C77" s="318">
        <f t="shared" si="6"/>
        <v>40436</v>
      </c>
      <c r="D77" s="310" t="str">
        <f t="shared" si="14"/>
        <v/>
      </c>
      <c r="E77" s="328"/>
      <c r="F77" s="323"/>
      <c r="G77" s="338">
        <f t="shared" si="16"/>
        <v>0</v>
      </c>
      <c r="H77" s="325">
        <f t="shared" si="3"/>
        <v>0</v>
      </c>
      <c r="I77" s="344"/>
      <c r="J77" s="325">
        <f t="shared" si="13"/>
        <v>0</v>
      </c>
      <c r="K77" s="346"/>
      <c r="L77" s="341"/>
      <c r="M77" s="324">
        <f t="shared" si="8"/>
        <v>0</v>
      </c>
      <c r="N77" s="326">
        <f t="shared" si="4"/>
        <v>0</v>
      </c>
      <c r="P77" s="321"/>
      <c r="T77" t="b">
        <f t="shared" si="15"/>
        <v>0</v>
      </c>
      <c r="U77">
        <f t="shared" si="10"/>
        <v>46</v>
      </c>
      <c r="V77">
        <f t="shared" si="12"/>
        <v>0</v>
      </c>
      <c r="X77" s="5"/>
      <c r="Y77" s="1"/>
      <c r="AB77" s="1" t="b">
        <f t="shared" si="17"/>
        <v>1</v>
      </c>
      <c r="AD77" s="204"/>
    </row>
    <row r="78" spans="2:30">
      <c r="B78" s="231">
        <v>64</v>
      </c>
      <c r="C78" s="318">
        <f t="shared" si="6"/>
        <v>40443</v>
      </c>
      <c r="D78" s="310" t="str">
        <f t="shared" si="14"/>
        <v/>
      </c>
      <c r="E78" s="328"/>
      <c r="F78" s="323"/>
      <c r="G78" s="338">
        <f t="shared" si="16"/>
        <v>0</v>
      </c>
      <c r="H78" s="325">
        <f t="shared" si="3"/>
        <v>0</v>
      </c>
      <c r="I78" s="344"/>
      <c r="J78" s="325">
        <f t="shared" ref="J78:J109" si="18">IF(AND(ManualMode=TRUE,NOT(ISBLANK(I78))),H78-I78,H78-I78)</f>
        <v>0</v>
      </c>
      <c r="K78" s="346"/>
      <c r="L78" s="341"/>
      <c r="M78" s="324">
        <f t="shared" si="8"/>
        <v>0</v>
      </c>
      <c r="N78" s="326">
        <f t="shared" si="4"/>
        <v>0</v>
      </c>
      <c r="P78" s="321"/>
      <c r="T78" t="b">
        <f t="shared" si="15"/>
        <v>0</v>
      </c>
      <c r="U78">
        <f t="shared" si="10"/>
        <v>46</v>
      </c>
      <c r="V78">
        <f t="shared" si="12"/>
        <v>0</v>
      </c>
      <c r="X78" s="5"/>
      <c r="Y78" s="1"/>
      <c r="AB78" s="1" t="b">
        <f t="shared" si="17"/>
        <v>1</v>
      </c>
      <c r="AD78" s="204"/>
    </row>
    <row r="79" spans="2:30">
      <c r="B79" s="231">
        <v>65</v>
      </c>
      <c r="C79" s="318">
        <f t="shared" si="6"/>
        <v>40450</v>
      </c>
      <c r="D79" s="310" t="str">
        <f t="shared" ref="D79:D110" si="19">IF(HolGrace=FALSE,"",IF(V79=1,IF(ISNA(VLOOKUP(C79,Holidays,1,0)),"","x"),""))</f>
        <v/>
      </c>
      <c r="E79" s="328"/>
      <c r="F79" s="323"/>
      <c r="G79" s="338">
        <f t="shared" si="16"/>
        <v>0</v>
      </c>
      <c r="H79" s="325">
        <f t="shared" ref="H79:H134" si="20">F79-G79</f>
        <v>0</v>
      </c>
      <c r="I79" s="344"/>
      <c r="J79" s="325">
        <f t="shared" si="18"/>
        <v>0</v>
      </c>
      <c r="K79" s="346"/>
      <c r="L79" s="341"/>
      <c r="M79" s="324">
        <f t="shared" si="8"/>
        <v>0</v>
      </c>
      <c r="N79" s="326">
        <f t="shared" ref="N79:N134" si="21">J79-K79+L79</f>
        <v>0</v>
      </c>
      <c r="P79" s="321"/>
      <c r="T79" t="b">
        <f t="shared" ref="T79:T110" si="22">IF(U78=$D$5,FALSE,IF(OR(LEN(D79)&gt;0,LEN(E79)&gt;0),FALSE,TRUE))</f>
        <v>0</v>
      </c>
      <c r="U79">
        <f t="shared" si="10"/>
        <v>46</v>
      </c>
      <c r="V79">
        <f t="shared" si="12"/>
        <v>0</v>
      </c>
      <c r="X79" s="5"/>
      <c r="Y79" s="1"/>
      <c r="AB79" s="1" t="b">
        <f t="shared" si="17"/>
        <v>1</v>
      </c>
      <c r="AD79" s="204"/>
    </row>
    <row r="80" spans="2:30">
      <c r="B80" s="231">
        <v>66</v>
      </c>
      <c r="C80" s="318">
        <f t="shared" ref="C80:C134" si="23">C79+7</f>
        <v>40457</v>
      </c>
      <c r="D80" s="310" t="str">
        <f t="shared" si="19"/>
        <v/>
      </c>
      <c r="E80" s="328"/>
      <c r="F80" s="323"/>
      <c r="G80" s="338">
        <f t="shared" ref="G80:G111" si="24">IF(AND(T80=TRUE,U80&lt;=$D$5),PaymentAmt,0)</f>
        <v>0</v>
      </c>
      <c r="H80" s="325">
        <f t="shared" si="20"/>
        <v>0</v>
      </c>
      <c r="I80" s="344"/>
      <c r="J80" s="325">
        <f t="shared" si="18"/>
        <v>0</v>
      </c>
      <c r="K80" s="346"/>
      <c r="L80" s="341"/>
      <c r="M80" s="324">
        <f t="shared" ref="M80:M134" si="25">M79+K80-L80</f>
        <v>0</v>
      </c>
      <c r="N80" s="326">
        <f t="shared" si="21"/>
        <v>0</v>
      </c>
      <c r="P80" s="321"/>
      <c r="T80" t="b">
        <f t="shared" si="22"/>
        <v>0</v>
      </c>
      <c r="U80">
        <f t="shared" ref="U80:U134" si="26">IF(U79=$D$5,U79,U79+IF(T80=TRUE,1,0))</f>
        <v>46</v>
      </c>
      <c r="V80">
        <f t="shared" si="12"/>
        <v>0</v>
      </c>
      <c r="X80" s="5"/>
      <c r="Y80" s="1"/>
      <c r="AB80" s="1" t="b">
        <f t="shared" ref="AB80:AB111" si="27">IF(B80&lt;=$D$5,"x",TRUE)</f>
        <v>1</v>
      </c>
      <c r="AD80" s="204"/>
    </row>
    <row r="81" spans="2:30">
      <c r="B81" s="231">
        <v>67</v>
      </c>
      <c r="C81" s="318">
        <f t="shared" si="23"/>
        <v>40464</v>
      </c>
      <c r="D81" s="310" t="str">
        <f t="shared" si="19"/>
        <v/>
      </c>
      <c r="E81" s="328"/>
      <c r="F81" s="323"/>
      <c r="G81" s="338">
        <f t="shared" si="24"/>
        <v>0</v>
      </c>
      <c r="H81" s="325">
        <f t="shared" si="20"/>
        <v>0</v>
      </c>
      <c r="I81" s="344"/>
      <c r="J81" s="325">
        <f t="shared" si="18"/>
        <v>0</v>
      </c>
      <c r="K81" s="346"/>
      <c r="L81" s="341"/>
      <c r="M81" s="324">
        <f t="shared" si="25"/>
        <v>0</v>
      </c>
      <c r="N81" s="326">
        <f t="shared" si="21"/>
        <v>0</v>
      </c>
      <c r="P81" s="321"/>
      <c r="T81" t="b">
        <f t="shared" si="22"/>
        <v>0</v>
      </c>
      <c r="U81">
        <f t="shared" si="26"/>
        <v>46</v>
      </c>
      <c r="V81">
        <f t="shared" ref="V81:V134" si="28">IF(U80&lt;$D$5,1,0)</f>
        <v>0</v>
      </c>
      <c r="X81" s="5"/>
      <c r="Y81" s="1"/>
      <c r="AB81" s="1" t="b">
        <f t="shared" si="27"/>
        <v>1</v>
      </c>
      <c r="AD81" s="204"/>
    </row>
    <row r="82" spans="2:30">
      <c r="B82" s="231">
        <v>68</v>
      </c>
      <c r="C82" s="318">
        <f t="shared" si="23"/>
        <v>40471</v>
      </c>
      <c r="D82" s="310" t="str">
        <f t="shared" si="19"/>
        <v/>
      </c>
      <c r="E82" s="328"/>
      <c r="F82" s="323"/>
      <c r="G82" s="338">
        <f t="shared" si="24"/>
        <v>0</v>
      </c>
      <c r="H82" s="325">
        <f t="shared" si="20"/>
        <v>0</v>
      </c>
      <c r="I82" s="344"/>
      <c r="J82" s="325">
        <f t="shared" si="18"/>
        <v>0</v>
      </c>
      <c r="K82" s="346"/>
      <c r="L82" s="341"/>
      <c r="M82" s="324">
        <f t="shared" si="25"/>
        <v>0</v>
      </c>
      <c r="N82" s="326">
        <f t="shared" si="21"/>
        <v>0</v>
      </c>
      <c r="P82" s="321"/>
      <c r="T82" t="b">
        <f t="shared" si="22"/>
        <v>0</v>
      </c>
      <c r="U82">
        <f t="shared" si="26"/>
        <v>46</v>
      </c>
      <c r="V82">
        <f t="shared" si="28"/>
        <v>0</v>
      </c>
      <c r="X82" s="5"/>
      <c r="Y82" s="1"/>
      <c r="AB82" s="1" t="b">
        <f t="shared" si="27"/>
        <v>1</v>
      </c>
      <c r="AD82" s="204"/>
    </row>
    <row r="83" spans="2:30">
      <c r="B83" s="231">
        <v>69</v>
      </c>
      <c r="C83" s="318">
        <f t="shared" si="23"/>
        <v>40478</v>
      </c>
      <c r="D83" s="310" t="str">
        <f t="shared" si="19"/>
        <v/>
      </c>
      <c r="E83" s="328"/>
      <c r="F83" s="323"/>
      <c r="G83" s="338">
        <f t="shared" si="24"/>
        <v>0</v>
      </c>
      <c r="H83" s="325">
        <f t="shared" si="20"/>
        <v>0</v>
      </c>
      <c r="I83" s="344"/>
      <c r="J83" s="325">
        <f t="shared" si="18"/>
        <v>0</v>
      </c>
      <c r="K83" s="346"/>
      <c r="L83" s="341"/>
      <c r="M83" s="324">
        <f t="shared" si="25"/>
        <v>0</v>
      </c>
      <c r="N83" s="326">
        <f t="shared" si="21"/>
        <v>0</v>
      </c>
      <c r="P83" s="321"/>
      <c r="T83" t="b">
        <f t="shared" si="22"/>
        <v>0</v>
      </c>
      <c r="U83">
        <f t="shared" si="26"/>
        <v>46</v>
      </c>
      <c r="V83">
        <f t="shared" si="28"/>
        <v>0</v>
      </c>
      <c r="X83" s="5"/>
      <c r="Y83" s="1"/>
      <c r="AB83" s="1" t="b">
        <f t="shared" si="27"/>
        <v>1</v>
      </c>
      <c r="AD83" s="204"/>
    </row>
    <row r="84" spans="2:30">
      <c r="B84" s="231">
        <v>70</v>
      </c>
      <c r="C84" s="318">
        <f t="shared" si="23"/>
        <v>40485</v>
      </c>
      <c r="D84" s="310" t="str">
        <f t="shared" si="19"/>
        <v/>
      </c>
      <c r="E84" s="328"/>
      <c r="F84" s="323"/>
      <c r="G84" s="338">
        <f t="shared" si="24"/>
        <v>0</v>
      </c>
      <c r="H84" s="325">
        <f t="shared" si="20"/>
        <v>0</v>
      </c>
      <c r="I84" s="344"/>
      <c r="J84" s="325">
        <f t="shared" si="18"/>
        <v>0</v>
      </c>
      <c r="K84" s="346"/>
      <c r="L84" s="341"/>
      <c r="M84" s="324">
        <f t="shared" si="25"/>
        <v>0</v>
      </c>
      <c r="N84" s="326">
        <f t="shared" si="21"/>
        <v>0</v>
      </c>
      <c r="P84" s="321"/>
      <c r="T84" t="b">
        <f t="shared" si="22"/>
        <v>0</v>
      </c>
      <c r="U84">
        <f t="shared" si="26"/>
        <v>46</v>
      </c>
      <c r="V84">
        <f t="shared" si="28"/>
        <v>0</v>
      </c>
      <c r="X84" s="5"/>
      <c r="Y84" s="1"/>
      <c r="AB84" s="1" t="b">
        <f t="shared" si="27"/>
        <v>1</v>
      </c>
      <c r="AD84" s="204"/>
    </row>
    <row r="85" spans="2:30">
      <c r="B85" s="231">
        <v>71</v>
      </c>
      <c r="C85" s="318">
        <f t="shared" si="23"/>
        <v>40492</v>
      </c>
      <c r="D85" s="310" t="str">
        <f t="shared" si="19"/>
        <v/>
      </c>
      <c r="E85" s="328"/>
      <c r="F85" s="323"/>
      <c r="G85" s="338">
        <f t="shared" si="24"/>
        <v>0</v>
      </c>
      <c r="H85" s="325">
        <f t="shared" si="20"/>
        <v>0</v>
      </c>
      <c r="I85" s="344"/>
      <c r="J85" s="325">
        <f t="shared" si="18"/>
        <v>0</v>
      </c>
      <c r="K85" s="346"/>
      <c r="L85" s="341"/>
      <c r="M85" s="324">
        <f t="shared" si="25"/>
        <v>0</v>
      </c>
      <c r="N85" s="326">
        <f t="shared" si="21"/>
        <v>0</v>
      </c>
      <c r="P85" s="321"/>
      <c r="T85" t="b">
        <f t="shared" si="22"/>
        <v>0</v>
      </c>
      <c r="U85">
        <f t="shared" si="26"/>
        <v>46</v>
      </c>
      <c r="V85">
        <f t="shared" si="28"/>
        <v>0</v>
      </c>
      <c r="X85" s="5"/>
      <c r="Y85" s="1"/>
      <c r="AB85" s="1" t="b">
        <f t="shared" si="27"/>
        <v>1</v>
      </c>
      <c r="AD85" s="204"/>
    </row>
    <row r="86" spans="2:30">
      <c r="B86" s="231">
        <v>72</v>
      </c>
      <c r="C86" s="318">
        <f t="shared" si="23"/>
        <v>40499</v>
      </c>
      <c r="D86" s="310" t="str">
        <f t="shared" si="19"/>
        <v/>
      </c>
      <c r="E86" s="328"/>
      <c r="F86" s="323"/>
      <c r="G86" s="338">
        <f t="shared" si="24"/>
        <v>0</v>
      </c>
      <c r="H86" s="325">
        <f t="shared" si="20"/>
        <v>0</v>
      </c>
      <c r="I86" s="344"/>
      <c r="J86" s="325">
        <f t="shared" si="18"/>
        <v>0</v>
      </c>
      <c r="K86" s="346"/>
      <c r="L86" s="341"/>
      <c r="M86" s="324">
        <f t="shared" si="25"/>
        <v>0</v>
      </c>
      <c r="N86" s="326">
        <f t="shared" si="21"/>
        <v>0</v>
      </c>
      <c r="P86" s="321"/>
      <c r="T86" t="b">
        <f t="shared" si="22"/>
        <v>0</v>
      </c>
      <c r="U86">
        <f t="shared" si="26"/>
        <v>46</v>
      </c>
      <c r="V86">
        <f t="shared" si="28"/>
        <v>0</v>
      </c>
      <c r="X86" s="5"/>
      <c r="Y86" s="1"/>
      <c r="AB86" s="1" t="b">
        <f t="shared" si="27"/>
        <v>1</v>
      </c>
      <c r="AD86" s="204"/>
    </row>
    <row r="87" spans="2:30">
      <c r="B87" s="231">
        <v>73</v>
      </c>
      <c r="C87" s="318">
        <f t="shared" si="23"/>
        <v>40506</v>
      </c>
      <c r="D87" s="310" t="str">
        <f t="shared" si="19"/>
        <v/>
      </c>
      <c r="E87" s="328"/>
      <c r="F87" s="323"/>
      <c r="G87" s="338">
        <f t="shared" si="24"/>
        <v>0</v>
      </c>
      <c r="H87" s="325">
        <f t="shared" si="20"/>
        <v>0</v>
      </c>
      <c r="I87" s="344"/>
      <c r="J87" s="325">
        <f t="shared" si="18"/>
        <v>0</v>
      </c>
      <c r="K87" s="346"/>
      <c r="L87" s="341"/>
      <c r="M87" s="324">
        <f t="shared" si="25"/>
        <v>0</v>
      </c>
      <c r="N87" s="326">
        <f t="shared" si="21"/>
        <v>0</v>
      </c>
      <c r="P87" s="321"/>
      <c r="T87" t="b">
        <f t="shared" si="22"/>
        <v>0</v>
      </c>
      <c r="U87">
        <f t="shared" si="26"/>
        <v>46</v>
      </c>
      <c r="V87">
        <f t="shared" si="28"/>
        <v>0</v>
      </c>
      <c r="X87" s="5"/>
      <c r="Y87" s="1"/>
      <c r="AB87" s="1" t="b">
        <f t="shared" si="27"/>
        <v>1</v>
      </c>
      <c r="AD87" s="204"/>
    </row>
    <row r="88" spans="2:30">
      <c r="B88" s="231">
        <v>74</v>
      </c>
      <c r="C88" s="318">
        <f t="shared" si="23"/>
        <v>40513</v>
      </c>
      <c r="D88" s="310" t="str">
        <f t="shared" si="19"/>
        <v/>
      </c>
      <c r="E88" s="328"/>
      <c r="F88" s="323"/>
      <c r="G88" s="338">
        <f t="shared" si="24"/>
        <v>0</v>
      </c>
      <c r="H88" s="325">
        <f t="shared" si="20"/>
        <v>0</v>
      </c>
      <c r="I88" s="344"/>
      <c r="J88" s="325">
        <f t="shared" si="18"/>
        <v>0</v>
      </c>
      <c r="K88" s="346"/>
      <c r="L88" s="341"/>
      <c r="M88" s="324">
        <f t="shared" si="25"/>
        <v>0</v>
      </c>
      <c r="N88" s="326">
        <f t="shared" si="21"/>
        <v>0</v>
      </c>
      <c r="P88" s="321"/>
      <c r="T88" t="b">
        <f t="shared" si="22"/>
        <v>0</v>
      </c>
      <c r="U88">
        <f t="shared" si="26"/>
        <v>46</v>
      </c>
      <c r="V88">
        <f t="shared" si="28"/>
        <v>0</v>
      </c>
      <c r="X88" s="5"/>
      <c r="Y88" s="1"/>
      <c r="AB88" s="1" t="b">
        <f t="shared" si="27"/>
        <v>1</v>
      </c>
      <c r="AD88" s="204"/>
    </row>
    <row r="89" spans="2:30">
      <c r="B89" s="231">
        <v>75</v>
      </c>
      <c r="C89" s="318">
        <f t="shared" si="23"/>
        <v>40520</v>
      </c>
      <c r="D89" s="310" t="str">
        <f t="shared" si="19"/>
        <v/>
      </c>
      <c r="E89" s="328"/>
      <c r="F89" s="323"/>
      <c r="G89" s="338">
        <f t="shared" si="24"/>
        <v>0</v>
      </c>
      <c r="H89" s="325">
        <f t="shared" si="20"/>
        <v>0</v>
      </c>
      <c r="I89" s="344"/>
      <c r="J89" s="325">
        <f t="shared" si="18"/>
        <v>0</v>
      </c>
      <c r="K89" s="346"/>
      <c r="L89" s="341"/>
      <c r="M89" s="324">
        <f t="shared" si="25"/>
        <v>0</v>
      </c>
      <c r="N89" s="326">
        <f t="shared" si="21"/>
        <v>0</v>
      </c>
      <c r="P89" s="321"/>
      <c r="T89" t="b">
        <f t="shared" si="22"/>
        <v>0</v>
      </c>
      <c r="U89">
        <f t="shared" si="26"/>
        <v>46</v>
      </c>
      <c r="V89">
        <f t="shared" si="28"/>
        <v>0</v>
      </c>
      <c r="X89" s="5"/>
      <c r="Y89" s="1"/>
      <c r="AB89" s="1" t="b">
        <f t="shared" si="27"/>
        <v>1</v>
      </c>
      <c r="AD89" s="204"/>
    </row>
    <row r="90" spans="2:30" ht="13" thickBot="1">
      <c r="B90" s="231">
        <v>76</v>
      </c>
      <c r="C90" s="318">
        <f t="shared" si="23"/>
        <v>40527</v>
      </c>
      <c r="D90" s="310" t="str">
        <f t="shared" si="19"/>
        <v/>
      </c>
      <c r="E90" s="328"/>
      <c r="F90" s="323"/>
      <c r="G90" s="338">
        <f t="shared" si="24"/>
        <v>0</v>
      </c>
      <c r="H90" s="325">
        <f t="shared" si="20"/>
        <v>0</v>
      </c>
      <c r="I90" s="344"/>
      <c r="J90" s="325">
        <f t="shared" si="18"/>
        <v>0</v>
      </c>
      <c r="K90" s="346"/>
      <c r="L90" s="341"/>
      <c r="M90" s="324">
        <f t="shared" si="25"/>
        <v>0</v>
      </c>
      <c r="N90" s="326">
        <f t="shared" si="21"/>
        <v>0</v>
      </c>
      <c r="P90" s="322"/>
      <c r="T90" t="b">
        <f t="shared" si="22"/>
        <v>0</v>
      </c>
      <c r="U90">
        <f t="shared" si="26"/>
        <v>46</v>
      </c>
      <c r="V90">
        <f t="shared" si="28"/>
        <v>0</v>
      </c>
      <c r="X90" s="5"/>
      <c r="Y90" s="1"/>
      <c r="AB90" s="1" t="b">
        <f t="shared" si="27"/>
        <v>1</v>
      </c>
      <c r="AD90" s="204"/>
    </row>
    <row r="91" spans="2:30">
      <c r="B91" s="231">
        <v>77</v>
      </c>
      <c r="C91" s="318">
        <f t="shared" si="23"/>
        <v>40534</v>
      </c>
      <c r="D91" s="310" t="str">
        <f t="shared" si="19"/>
        <v/>
      </c>
      <c r="E91" s="328"/>
      <c r="F91" s="323"/>
      <c r="G91" s="338">
        <f t="shared" si="24"/>
        <v>0</v>
      </c>
      <c r="H91" s="325">
        <f t="shared" si="20"/>
        <v>0</v>
      </c>
      <c r="I91" s="344"/>
      <c r="J91" s="325">
        <f t="shared" si="18"/>
        <v>0</v>
      </c>
      <c r="K91" s="346"/>
      <c r="L91" s="341"/>
      <c r="M91" s="324">
        <f t="shared" si="25"/>
        <v>0</v>
      </c>
      <c r="N91" s="326">
        <f t="shared" si="21"/>
        <v>0</v>
      </c>
      <c r="T91" t="b">
        <f t="shared" si="22"/>
        <v>0</v>
      </c>
      <c r="U91">
        <f t="shared" si="26"/>
        <v>46</v>
      </c>
      <c r="V91">
        <f t="shared" si="28"/>
        <v>0</v>
      </c>
      <c r="X91" s="5"/>
      <c r="Y91" s="1"/>
      <c r="AB91" s="1" t="b">
        <f t="shared" si="27"/>
        <v>1</v>
      </c>
      <c r="AD91" s="204"/>
    </row>
    <row r="92" spans="2:30">
      <c r="B92" s="231">
        <v>78</v>
      </c>
      <c r="C92" s="318">
        <f t="shared" si="23"/>
        <v>40541</v>
      </c>
      <c r="D92" s="310" t="str">
        <f t="shared" si="19"/>
        <v/>
      </c>
      <c r="E92" s="328"/>
      <c r="F92" s="323"/>
      <c r="G92" s="338">
        <f t="shared" si="24"/>
        <v>0</v>
      </c>
      <c r="H92" s="325">
        <f t="shared" si="20"/>
        <v>0</v>
      </c>
      <c r="I92" s="344"/>
      <c r="J92" s="325">
        <f t="shared" si="18"/>
        <v>0</v>
      </c>
      <c r="K92" s="346"/>
      <c r="L92" s="341"/>
      <c r="M92" s="324">
        <f t="shared" si="25"/>
        <v>0</v>
      </c>
      <c r="N92" s="326">
        <f t="shared" si="21"/>
        <v>0</v>
      </c>
      <c r="T92" t="b">
        <f t="shared" si="22"/>
        <v>0</v>
      </c>
      <c r="U92">
        <f t="shared" si="26"/>
        <v>46</v>
      </c>
      <c r="V92">
        <f t="shared" si="28"/>
        <v>0</v>
      </c>
      <c r="X92" s="5"/>
      <c r="Y92" s="1"/>
      <c r="AB92" s="1" t="b">
        <f t="shared" si="27"/>
        <v>1</v>
      </c>
      <c r="AD92" s="204"/>
    </row>
    <row r="93" spans="2:30">
      <c r="B93" s="231">
        <v>79</v>
      </c>
      <c r="C93" s="318">
        <f t="shared" si="23"/>
        <v>40548</v>
      </c>
      <c r="D93" s="310" t="str">
        <f t="shared" si="19"/>
        <v/>
      </c>
      <c r="E93" s="328"/>
      <c r="F93" s="323"/>
      <c r="G93" s="338">
        <f t="shared" si="24"/>
        <v>0</v>
      </c>
      <c r="H93" s="325">
        <f t="shared" si="20"/>
        <v>0</v>
      </c>
      <c r="I93" s="344"/>
      <c r="J93" s="325">
        <f t="shared" si="18"/>
        <v>0</v>
      </c>
      <c r="K93" s="346"/>
      <c r="L93" s="341"/>
      <c r="M93" s="324">
        <f t="shared" si="25"/>
        <v>0</v>
      </c>
      <c r="N93" s="326">
        <f t="shared" si="21"/>
        <v>0</v>
      </c>
      <c r="T93" t="b">
        <f t="shared" si="22"/>
        <v>0</v>
      </c>
      <c r="U93">
        <f t="shared" si="26"/>
        <v>46</v>
      </c>
      <c r="V93">
        <f t="shared" si="28"/>
        <v>0</v>
      </c>
      <c r="X93" s="5"/>
      <c r="Y93" s="1"/>
      <c r="AB93" s="1" t="b">
        <f t="shared" si="27"/>
        <v>1</v>
      </c>
      <c r="AD93" s="204"/>
    </row>
    <row r="94" spans="2:30">
      <c r="B94" s="231">
        <v>80</v>
      </c>
      <c r="C94" s="318">
        <f t="shared" si="23"/>
        <v>40555</v>
      </c>
      <c r="D94" s="310" t="str">
        <f t="shared" si="19"/>
        <v/>
      </c>
      <c r="E94" s="328"/>
      <c r="F94" s="323"/>
      <c r="G94" s="338">
        <f t="shared" si="24"/>
        <v>0</v>
      </c>
      <c r="H94" s="325">
        <f t="shared" si="20"/>
        <v>0</v>
      </c>
      <c r="I94" s="344"/>
      <c r="J94" s="325">
        <f t="shared" si="18"/>
        <v>0</v>
      </c>
      <c r="K94" s="346"/>
      <c r="L94" s="341"/>
      <c r="M94" s="324">
        <f t="shared" si="25"/>
        <v>0</v>
      </c>
      <c r="N94" s="326">
        <f t="shared" si="21"/>
        <v>0</v>
      </c>
      <c r="T94" t="b">
        <f t="shared" si="22"/>
        <v>0</v>
      </c>
      <c r="U94">
        <f t="shared" si="26"/>
        <v>46</v>
      </c>
      <c r="V94">
        <f t="shared" si="28"/>
        <v>0</v>
      </c>
      <c r="X94" s="5"/>
      <c r="Y94" s="1"/>
      <c r="AB94" s="1" t="b">
        <f t="shared" si="27"/>
        <v>1</v>
      </c>
      <c r="AD94" s="204"/>
    </row>
    <row r="95" spans="2:30">
      <c r="B95" s="231">
        <v>81</v>
      </c>
      <c r="C95" s="318">
        <f t="shared" si="23"/>
        <v>40562</v>
      </c>
      <c r="D95" s="310" t="str">
        <f t="shared" si="19"/>
        <v/>
      </c>
      <c r="E95" s="328"/>
      <c r="F95" s="323"/>
      <c r="G95" s="338">
        <f t="shared" si="24"/>
        <v>0</v>
      </c>
      <c r="H95" s="325">
        <f t="shared" si="20"/>
        <v>0</v>
      </c>
      <c r="I95" s="344"/>
      <c r="J95" s="325">
        <f t="shared" si="18"/>
        <v>0</v>
      </c>
      <c r="K95" s="346"/>
      <c r="L95" s="341"/>
      <c r="M95" s="324">
        <f t="shared" si="25"/>
        <v>0</v>
      </c>
      <c r="N95" s="326">
        <f t="shared" si="21"/>
        <v>0</v>
      </c>
      <c r="T95" t="b">
        <f t="shared" si="22"/>
        <v>0</v>
      </c>
      <c r="U95">
        <f t="shared" si="26"/>
        <v>46</v>
      </c>
      <c r="V95">
        <f t="shared" si="28"/>
        <v>0</v>
      </c>
      <c r="X95" s="5"/>
      <c r="Y95" s="1"/>
      <c r="AB95" s="1" t="b">
        <f t="shared" si="27"/>
        <v>1</v>
      </c>
      <c r="AD95" s="204"/>
    </row>
    <row r="96" spans="2:30">
      <c r="B96" s="231">
        <v>82</v>
      </c>
      <c r="C96" s="318">
        <f t="shared" si="23"/>
        <v>40569</v>
      </c>
      <c r="D96" s="310" t="str">
        <f t="shared" si="19"/>
        <v/>
      </c>
      <c r="E96" s="328"/>
      <c r="F96" s="323"/>
      <c r="G96" s="338">
        <f t="shared" si="24"/>
        <v>0</v>
      </c>
      <c r="H96" s="325">
        <f t="shared" si="20"/>
        <v>0</v>
      </c>
      <c r="I96" s="344"/>
      <c r="J96" s="325">
        <f t="shared" si="18"/>
        <v>0</v>
      </c>
      <c r="K96" s="346"/>
      <c r="L96" s="341"/>
      <c r="M96" s="324">
        <f t="shared" si="25"/>
        <v>0</v>
      </c>
      <c r="N96" s="326">
        <f t="shared" si="21"/>
        <v>0</v>
      </c>
      <c r="T96" t="b">
        <f t="shared" si="22"/>
        <v>0</v>
      </c>
      <c r="U96">
        <f t="shared" si="26"/>
        <v>46</v>
      </c>
      <c r="V96">
        <f t="shared" si="28"/>
        <v>0</v>
      </c>
      <c r="X96" s="5"/>
      <c r="Y96" s="1"/>
      <c r="AB96" s="1" t="b">
        <f t="shared" si="27"/>
        <v>1</v>
      </c>
      <c r="AD96" s="204"/>
    </row>
    <row r="97" spans="2:30">
      <c r="B97" s="231">
        <v>83</v>
      </c>
      <c r="C97" s="318">
        <f t="shared" si="23"/>
        <v>40576</v>
      </c>
      <c r="D97" s="310" t="str">
        <f t="shared" si="19"/>
        <v/>
      </c>
      <c r="E97" s="328"/>
      <c r="F97" s="323"/>
      <c r="G97" s="338">
        <f t="shared" si="24"/>
        <v>0</v>
      </c>
      <c r="H97" s="325">
        <f t="shared" si="20"/>
        <v>0</v>
      </c>
      <c r="I97" s="344"/>
      <c r="J97" s="325">
        <f t="shared" si="18"/>
        <v>0</v>
      </c>
      <c r="K97" s="346"/>
      <c r="L97" s="341"/>
      <c r="M97" s="324">
        <f t="shared" si="25"/>
        <v>0</v>
      </c>
      <c r="N97" s="326">
        <f t="shared" si="21"/>
        <v>0</v>
      </c>
      <c r="T97" t="b">
        <f t="shared" si="22"/>
        <v>0</v>
      </c>
      <c r="U97">
        <f t="shared" si="26"/>
        <v>46</v>
      </c>
      <c r="V97">
        <f t="shared" si="28"/>
        <v>0</v>
      </c>
      <c r="X97" s="5"/>
      <c r="Y97" s="1"/>
      <c r="AB97" s="1" t="b">
        <f t="shared" si="27"/>
        <v>1</v>
      </c>
      <c r="AD97" s="204"/>
    </row>
    <row r="98" spans="2:30">
      <c r="B98" s="231">
        <v>84</v>
      </c>
      <c r="C98" s="318">
        <f t="shared" si="23"/>
        <v>40583</v>
      </c>
      <c r="D98" s="310" t="str">
        <f t="shared" si="19"/>
        <v/>
      </c>
      <c r="E98" s="328"/>
      <c r="F98" s="323"/>
      <c r="G98" s="338">
        <f t="shared" si="24"/>
        <v>0</v>
      </c>
      <c r="H98" s="325">
        <f t="shared" si="20"/>
        <v>0</v>
      </c>
      <c r="I98" s="344"/>
      <c r="J98" s="325">
        <f t="shared" si="18"/>
        <v>0</v>
      </c>
      <c r="K98" s="346"/>
      <c r="L98" s="341"/>
      <c r="M98" s="324">
        <f t="shared" si="25"/>
        <v>0</v>
      </c>
      <c r="N98" s="326">
        <f t="shared" si="21"/>
        <v>0</v>
      </c>
      <c r="T98" t="b">
        <f t="shared" si="22"/>
        <v>0</v>
      </c>
      <c r="U98">
        <f t="shared" si="26"/>
        <v>46</v>
      </c>
      <c r="V98">
        <f t="shared" si="28"/>
        <v>0</v>
      </c>
      <c r="X98" s="5"/>
      <c r="Y98" s="1"/>
      <c r="AB98" s="1" t="b">
        <f t="shared" si="27"/>
        <v>1</v>
      </c>
      <c r="AD98" s="204"/>
    </row>
    <row r="99" spans="2:30">
      <c r="B99" s="231">
        <v>85</v>
      </c>
      <c r="C99" s="318">
        <f t="shared" si="23"/>
        <v>40590</v>
      </c>
      <c r="D99" s="310" t="str">
        <f t="shared" si="19"/>
        <v/>
      </c>
      <c r="E99" s="328"/>
      <c r="F99" s="323"/>
      <c r="G99" s="338">
        <f t="shared" si="24"/>
        <v>0</v>
      </c>
      <c r="H99" s="325">
        <f t="shared" si="20"/>
        <v>0</v>
      </c>
      <c r="I99" s="344"/>
      <c r="J99" s="325">
        <f t="shared" si="18"/>
        <v>0</v>
      </c>
      <c r="K99" s="346"/>
      <c r="L99" s="341"/>
      <c r="M99" s="324">
        <f t="shared" si="25"/>
        <v>0</v>
      </c>
      <c r="N99" s="326">
        <f t="shared" si="21"/>
        <v>0</v>
      </c>
      <c r="T99" t="b">
        <f t="shared" si="22"/>
        <v>0</v>
      </c>
      <c r="U99">
        <f t="shared" si="26"/>
        <v>46</v>
      </c>
      <c r="V99">
        <f t="shared" si="28"/>
        <v>0</v>
      </c>
      <c r="X99" s="5"/>
      <c r="Y99" s="1"/>
      <c r="AB99" s="1" t="b">
        <f t="shared" si="27"/>
        <v>1</v>
      </c>
      <c r="AD99" s="204"/>
    </row>
    <row r="100" spans="2:30">
      <c r="B100" s="231">
        <v>86</v>
      </c>
      <c r="C100" s="318">
        <f t="shared" si="23"/>
        <v>40597</v>
      </c>
      <c r="D100" s="310" t="str">
        <f t="shared" si="19"/>
        <v/>
      </c>
      <c r="E100" s="328"/>
      <c r="F100" s="323"/>
      <c r="G100" s="338">
        <f t="shared" si="24"/>
        <v>0</v>
      </c>
      <c r="H100" s="325">
        <f t="shared" si="20"/>
        <v>0</v>
      </c>
      <c r="I100" s="344"/>
      <c r="J100" s="325">
        <f t="shared" si="18"/>
        <v>0</v>
      </c>
      <c r="K100" s="346"/>
      <c r="L100" s="341"/>
      <c r="M100" s="324">
        <f t="shared" si="25"/>
        <v>0</v>
      </c>
      <c r="N100" s="326">
        <f t="shared" si="21"/>
        <v>0</v>
      </c>
      <c r="T100" t="b">
        <f t="shared" si="22"/>
        <v>0</v>
      </c>
      <c r="U100">
        <f t="shared" si="26"/>
        <v>46</v>
      </c>
      <c r="V100">
        <f t="shared" si="28"/>
        <v>0</v>
      </c>
      <c r="X100" s="5"/>
      <c r="Y100" s="1"/>
      <c r="AB100" s="1" t="b">
        <f t="shared" si="27"/>
        <v>1</v>
      </c>
      <c r="AD100" s="204"/>
    </row>
    <row r="101" spans="2:30">
      <c r="B101" s="231">
        <v>87</v>
      </c>
      <c r="C101" s="318">
        <f t="shared" si="23"/>
        <v>40604</v>
      </c>
      <c r="D101" s="310" t="str">
        <f t="shared" si="19"/>
        <v/>
      </c>
      <c r="E101" s="328"/>
      <c r="F101" s="323"/>
      <c r="G101" s="338">
        <f t="shared" si="24"/>
        <v>0</v>
      </c>
      <c r="H101" s="325">
        <f t="shared" si="20"/>
        <v>0</v>
      </c>
      <c r="I101" s="344"/>
      <c r="J101" s="325">
        <f t="shared" si="18"/>
        <v>0</v>
      </c>
      <c r="K101" s="346"/>
      <c r="L101" s="341"/>
      <c r="M101" s="324">
        <f t="shared" si="25"/>
        <v>0</v>
      </c>
      <c r="N101" s="326">
        <f t="shared" si="21"/>
        <v>0</v>
      </c>
      <c r="T101" t="b">
        <f t="shared" si="22"/>
        <v>0</v>
      </c>
      <c r="U101">
        <f t="shared" si="26"/>
        <v>46</v>
      </c>
      <c r="V101">
        <f t="shared" si="28"/>
        <v>0</v>
      </c>
      <c r="X101" s="5"/>
      <c r="Y101" s="1"/>
      <c r="AB101" s="1" t="b">
        <f t="shared" si="27"/>
        <v>1</v>
      </c>
      <c r="AD101" s="204"/>
    </row>
    <row r="102" spans="2:30">
      <c r="B102" s="231">
        <v>88</v>
      </c>
      <c r="C102" s="318">
        <f t="shared" si="23"/>
        <v>40611</v>
      </c>
      <c r="D102" s="310" t="str">
        <f t="shared" si="19"/>
        <v/>
      </c>
      <c r="E102" s="328"/>
      <c r="F102" s="323"/>
      <c r="G102" s="338">
        <f t="shared" si="24"/>
        <v>0</v>
      </c>
      <c r="H102" s="325">
        <f t="shared" si="20"/>
        <v>0</v>
      </c>
      <c r="I102" s="344"/>
      <c r="J102" s="325">
        <f t="shared" si="18"/>
        <v>0</v>
      </c>
      <c r="K102" s="346"/>
      <c r="L102" s="341"/>
      <c r="M102" s="324">
        <f t="shared" si="25"/>
        <v>0</v>
      </c>
      <c r="N102" s="326">
        <f t="shared" si="21"/>
        <v>0</v>
      </c>
      <c r="T102" t="b">
        <f t="shared" si="22"/>
        <v>0</v>
      </c>
      <c r="U102">
        <f t="shared" si="26"/>
        <v>46</v>
      </c>
      <c r="V102">
        <f t="shared" si="28"/>
        <v>0</v>
      </c>
      <c r="X102" s="5"/>
      <c r="Y102" s="1"/>
      <c r="AB102" s="1" t="b">
        <f t="shared" si="27"/>
        <v>1</v>
      </c>
      <c r="AD102" s="204"/>
    </row>
    <row r="103" spans="2:30">
      <c r="B103" s="231">
        <v>89</v>
      </c>
      <c r="C103" s="318">
        <f t="shared" si="23"/>
        <v>40618</v>
      </c>
      <c r="D103" s="310" t="str">
        <f t="shared" si="19"/>
        <v/>
      </c>
      <c r="E103" s="328"/>
      <c r="F103" s="323"/>
      <c r="G103" s="338">
        <f t="shared" si="24"/>
        <v>0</v>
      </c>
      <c r="H103" s="325">
        <f t="shared" si="20"/>
        <v>0</v>
      </c>
      <c r="I103" s="344"/>
      <c r="J103" s="325">
        <f t="shared" si="18"/>
        <v>0</v>
      </c>
      <c r="K103" s="346"/>
      <c r="L103" s="341"/>
      <c r="M103" s="324">
        <f t="shared" si="25"/>
        <v>0</v>
      </c>
      <c r="N103" s="326">
        <f t="shared" si="21"/>
        <v>0</v>
      </c>
      <c r="T103" t="b">
        <f t="shared" si="22"/>
        <v>0</v>
      </c>
      <c r="U103">
        <f t="shared" si="26"/>
        <v>46</v>
      </c>
      <c r="V103">
        <f t="shared" si="28"/>
        <v>0</v>
      </c>
      <c r="X103" s="5"/>
      <c r="Y103" s="1"/>
      <c r="AB103" s="1" t="b">
        <f t="shared" si="27"/>
        <v>1</v>
      </c>
      <c r="AD103" s="204"/>
    </row>
    <row r="104" spans="2:30">
      <c r="B104" s="231">
        <v>90</v>
      </c>
      <c r="C104" s="318">
        <f t="shared" si="23"/>
        <v>40625</v>
      </c>
      <c r="D104" s="310" t="str">
        <f t="shared" si="19"/>
        <v/>
      </c>
      <c r="E104" s="328"/>
      <c r="F104" s="323"/>
      <c r="G104" s="338">
        <f t="shared" si="24"/>
        <v>0</v>
      </c>
      <c r="H104" s="325">
        <f t="shared" si="20"/>
        <v>0</v>
      </c>
      <c r="I104" s="344"/>
      <c r="J104" s="325">
        <f t="shared" si="18"/>
        <v>0</v>
      </c>
      <c r="K104" s="346"/>
      <c r="L104" s="341"/>
      <c r="M104" s="324">
        <f t="shared" si="25"/>
        <v>0</v>
      </c>
      <c r="N104" s="326">
        <f t="shared" si="21"/>
        <v>0</v>
      </c>
      <c r="T104" t="b">
        <f t="shared" si="22"/>
        <v>0</v>
      </c>
      <c r="U104">
        <f t="shared" si="26"/>
        <v>46</v>
      </c>
      <c r="V104">
        <f t="shared" si="28"/>
        <v>0</v>
      </c>
      <c r="X104" s="5"/>
      <c r="Y104" s="1"/>
      <c r="AB104" s="1" t="b">
        <f t="shared" si="27"/>
        <v>1</v>
      </c>
      <c r="AD104" s="204"/>
    </row>
    <row r="105" spans="2:30">
      <c r="B105" s="231">
        <v>91</v>
      </c>
      <c r="C105" s="318">
        <f t="shared" si="23"/>
        <v>40632</v>
      </c>
      <c r="D105" s="310" t="str">
        <f t="shared" si="19"/>
        <v/>
      </c>
      <c r="E105" s="328"/>
      <c r="F105" s="323"/>
      <c r="G105" s="338">
        <f t="shared" si="24"/>
        <v>0</v>
      </c>
      <c r="H105" s="325">
        <f t="shared" si="20"/>
        <v>0</v>
      </c>
      <c r="I105" s="344"/>
      <c r="J105" s="325">
        <f t="shared" si="18"/>
        <v>0</v>
      </c>
      <c r="K105" s="346"/>
      <c r="L105" s="341"/>
      <c r="M105" s="324">
        <f t="shared" si="25"/>
        <v>0</v>
      </c>
      <c r="N105" s="326">
        <f t="shared" si="21"/>
        <v>0</v>
      </c>
      <c r="T105" t="b">
        <f t="shared" si="22"/>
        <v>0</v>
      </c>
      <c r="U105">
        <f t="shared" si="26"/>
        <v>46</v>
      </c>
      <c r="V105">
        <f t="shared" si="28"/>
        <v>0</v>
      </c>
      <c r="X105" s="5"/>
      <c r="Y105" s="1"/>
      <c r="AB105" s="1" t="b">
        <f t="shared" si="27"/>
        <v>1</v>
      </c>
      <c r="AD105" s="204"/>
    </row>
    <row r="106" spans="2:30">
      <c r="B106" s="231">
        <v>92</v>
      </c>
      <c r="C106" s="318">
        <f t="shared" si="23"/>
        <v>40639</v>
      </c>
      <c r="D106" s="310" t="str">
        <f t="shared" si="19"/>
        <v/>
      </c>
      <c r="E106" s="328"/>
      <c r="F106" s="323"/>
      <c r="G106" s="338">
        <f t="shared" si="24"/>
        <v>0</v>
      </c>
      <c r="H106" s="325">
        <f t="shared" si="20"/>
        <v>0</v>
      </c>
      <c r="I106" s="344"/>
      <c r="J106" s="325">
        <f t="shared" si="18"/>
        <v>0</v>
      </c>
      <c r="K106" s="346"/>
      <c r="L106" s="341"/>
      <c r="M106" s="324">
        <f t="shared" si="25"/>
        <v>0</v>
      </c>
      <c r="N106" s="326">
        <f t="shared" si="21"/>
        <v>0</v>
      </c>
      <c r="T106" t="b">
        <f t="shared" si="22"/>
        <v>0</v>
      </c>
      <c r="U106">
        <f t="shared" si="26"/>
        <v>46</v>
      </c>
      <c r="V106">
        <f t="shared" si="28"/>
        <v>0</v>
      </c>
      <c r="X106" s="5"/>
      <c r="Y106" s="1"/>
      <c r="AB106" s="1" t="b">
        <f t="shared" si="27"/>
        <v>1</v>
      </c>
      <c r="AD106" s="204"/>
    </row>
    <row r="107" spans="2:30">
      <c r="B107" s="231">
        <v>93</v>
      </c>
      <c r="C107" s="318">
        <f t="shared" si="23"/>
        <v>40646</v>
      </c>
      <c r="D107" s="310" t="str">
        <f t="shared" si="19"/>
        <v/>
      </c>
      <c r="E107" s="328"/>
      <c r="F107" s="323"/>
      <c r="G107" s="338">
        <f t="shared" si="24"/>
        <v>0</v>
      </c>
      <c r="H107" s="325">
        <f t="shared" si="20"/>
        <v>0</v>
      </c>
      <c r="I107" s="344"/>
      <c r="J107" s="325">
        <f t="shared" si="18"/>
        <v>0</v>
      </c>
      <c r="K107" s="346"/>
      <c r="L107" s="341"/>
      <c r="M107" s="324">
        <f t="shared" si="25"/>
        <v>0</v>
      </c>
      <c r="N107" s="326">
        <f t="shared" si="21"/>
        <v>0</v>
      </c>
      <c r="T107" t="b">
        <f t="shared" si="22"/>
        <v>0</v>
      </c>
      <c r="U107">
        <f t="shared" si="26"/>
        <v>46</v>
      </c>
      <c r="V107">
        <f t="shared" si="28"/>
        <v>0</v>
      </c>
      <c r="X107" s="5"/>
      <c r="Y107" s="1"/>
      <c r="AB107" s="1" t="b">
        <f t="shared" si="27"/>
        <v>1</v>
      </c>
      <c r="AD107" s="204"/>
    </row>
    <row r="108" spans="2:30">
      <c r="B108" s="231">
        <v>94</v>
      </c>
      <c r="C108" s="318">
        <f t="shared" si="23"/>
        <v>40653</v>
      </c>
      <c r="D108" s="310" t="str">
        <f t="shared" si="19"/>
        <v/>
      </c>
      <c r="E108" s="328"/>
      <c r="F108" s="323"/>
      <c r="G108" s="338">
        <f t="shared" si="24"/>
        <v>0</v>
      </c>
      <c r="H108" s="325">
        <f t="shared" si="20"/>
        <v>0</v>
      </c>
      <c r="I108" s="344"/>
      <c r="J108" s="325">
        <f t="shared" si="18"/>
        <v>0</v>
      </c>
      <c r="K108" s="346"/>
      <c r="L108" s="341"/>
      <c r="M108" s="324">
        <f t="shared" si="25"/>
        <v>0</v>
      </c>
      <c r="N108" s="326">
        <f t="shared" si="21"/>
        <v>0</v>
      </c>
      <c r="T108" t="b">
        <f t="shared" si="22"/>
        <v>0</v>
      </c>
      <c r="U108">
        <f t="shared" si="26"/>
        <v>46</v>
      </c>
      <c r="V108">
        <f t="shared" si="28"/>
        <v>0</v>
      </c>
      <c r="X108" s="5"/>
      <c r="Y108" s="1"/>
      <c r="AB108" s="1" t="b">
        <f t="shared" si="27"/>
        <v>1</v>
      </c>
      <c r="AD108" s="204"/>
    </row>
    <row r="109" spans="2:30">
      <c r="B109" s="231">
        <v>95</v>
      </c>
      <c r="C109" s="318">
        <f t="shared" si="23"/>
        <v>40660</v>
      </c>
      <c r="D109" s="310" t="str">
        <f t="shared" si="19"/>
        <v/>
      </c>
      <c r="E109" s="328"/>
      <c r="F109" s="323"/>
      <c r="G109" s="338">
        <f t="shared" si="24"/>
        <v>0</v>
      </c>
      <c r="H109" s="325">
        <f t="shared" si="20"/>
        <v>0</v>
      </c>
      <c r="I109" s="344"/>
      <c r="J109" s="325">
        <f t="shared" si="18"/>
        <v>0</v>
      </c>
      <c r="K109" s="346"/>
      <c r="L109" s="341"/>
      <c r="M109" s="324">
        <f t="shared" si="25"/>
        <v>0</v>
      </c>
      <c r="N109" s="326">
        <f t="shared" si="21"/>
        <v>0</v>
      </c>
      <c r="T109" t="b">
        <f t="shared" si="22"/>
        <v>0</v>
      </c>
      <c r="U109">
        <f t="shared" si="26"/>
        <v>46</v>
      </c>
      <c r="V109">
        <f t="shared" si="28"/>
        <v>0</v>
      </c>
      <c r="X109" s="5"/>
      <c r="Y109" s="1"/>
      <c r="AB109" s="1" t="b">
        <f t="shared" si="27"/>
        <v>1</v>
      </c>
      <c r="AD109" s="204"/>
    </row>
    <row r="110" spans="2:30">
      <c r="B110" s="231">
        <v>96</v>
      </c>
      <c r="C110" s="318">
        <f t="shared" si="23"/>
        <v>40667</v>
      </c>
      <c r="D110" s="310" t="str">
        <f t="shared" si="19"/>
        <v/>
      </c>
      <c r="E110" s="328"/>
      <c r="F110" s="323"/>
      <c r="G110" s="338">
        <f t="shared" si="24"/>
        <v>0</v>
      </c>
      <c r="H110" s="325">
        <f t="shared" si="20"/>
        <v>0</v>
      </c>
      <c r="I110" s="344"/>
      <c r="J110" s="325">
        <f t="shared" ref="J110:J134" si="29">IF(AND(ManualMode=TRUE,NOT(ISBLANK(I110))),H110-I110,H110-I110)</f>
        <v>0</v>
      </c>
      <c r="K110" s="346"/>
      <c r="L110" s="341"/>
      <c r="M110" s="324">
        <f t="shared" si="25"/>
        <v>0</v>
      </c>
      <c r="N110" s="326">
        <f t="shared" si="21"/>
        <v>0</v>
      </c>
      <c r="T110" t="b">
        <f t="shared" si="22"/>
        <v>0</v>
      </c>
      <c r="U110">
        <f t="shared" si="26"/>
        <v>46</v>
      </c>
      <c r="V110">
        <f t="shared" si="28"/>
        <v>0</v>
      </c>
      <c r="X110" s="5"/>
      <c r="Y110" s="1"/>
      <c r="AB110" s="1" t="b">
        <f t="shared" si="27"/>
        <v>1</v>
      </c>
      <c r="AD110" s="204"/>
    </row>
    <row r="111" spans="2:30">
      <c r="B111" s="231">
        <v>97</v>
      </c>
      <c r="C111" s="318">
        <f t="shared" si="23"/>
        <v>40674</v>
      </c>
      <c r="D111" s="310" t="str">
        <f t="shared" ref="D111:D134" si="30">IF(HolGrace=FALSE,"",IF(V111=1,IF(ISNA(VLOOKUP(C111,Holidays,1,0)),"","x"),""))</f>
        <v/>
      </c>
      <c r="E111" s="328"/>
      <c r="F111" s="323"/>
      <c r="G111" s="338">
        <f t="shared" si="24"/>
        <v>0</v>
      </c>
      <c r="H111" s="325">
        <f t="shared" si="20"/>
        <v>0</v>
      </c>
      <c r="I111" s="344"/>
      <c r="J111" s="325">
        <f t="shared" si="29"/>
        <v>0</v>
      </c>
      <c r="K111" s="346"/>
      <c r="L111" s="341"/>
      <c r="M111" s="324">
        <f t="shared" si="25"/>
        <v>0</v>
      </c>
      <c r="N111" s="326">
        <f t="shared" si="21"/>
        <v>0</v>
      </c>
      <c r="T111" t="b">
        <f t="shared" ref="T111:T134" si="31">IF(U110=$D$5,FALSE,IF(OR(LEN(D111)&gt;0,LEN(E111)&gt;0),FALSE,TRUE))</f>
        <v>0</v>
      </c>
      <c r="U111">
        <f t="shared" si="26"/>
        <v>46</v>
      </c>
      <c r="V111">
        <f t="shared" si="28"/>
        <v>0</v>
      </c>
      <c r="X111" s="5"/>
      <c r="Y111" s="1"/>
      <c r="AB111" s="1" t="b">
        <f t="shared" si="27"/>
        <v>1</v>
      </c>
      <c r="AD111" s="204"/>
    </row>
    <row r="112" spans="2:30">
      <c r="B112" s="231">
        <v>98</v>
      </c>
      <c r="C112" s="318">
        <f t="shared" si="23"/>
        <v>40681</v>
      </c>
      <c r="D112" s="310" t="str">
        <f t="shared" si="30"/>
        <v/>
      </c>
      <c r="E112" s="328"/>
      <c r="F112" s="323"/>
      <c r="G112" s="338">
        <f t="shared" ref="G112:G134" si="32">IF(AND(T112=TRUE,U112&lt;=$D$5),PaymentAmt,0)</f>
        <v>0</v>
      </c>
      <c r="H112" s="325">
        <f t="shared" si="20"/>
        <v>0</v>
      </c>
      <c r="I112" s="344"/>
      <c r="J112" s="325">
        <f t="shared" si="29"/>
        <v>0</v>
      </c>
      <c r="K112" s="346"/>
      <c r="L112" s="341"/>
      <c r="M112" s="324">
        <f t="shared" si="25"/>
        <v>0</v>
      </c>
      <c r="N112" s="326">
        <f t="shared" si="21"/>
        <v>0</v>
      </c>
      <c r="T112" t="b">
        <f t="shared" si="31"/>
        <v>0</v>
      </c>
      <c r="U112">
        <f t="shared" si="26"/>
        <v>46</v>
      </c>
      <c r="V112">
        <f t="shared" si="28"/>
        <v>0</v>
      </c>
      <c r="X112" s="5"/>
      <c r="Y112" s="1"/>
      <c r="AB112" s="1" t="b">
        <f t="shared" ref="AB112:AB134" si="33">IF(B112&lt;=$D$5,"x",TRUE)</f>
        <v>1</v>
      </c>
      <c r="AD112" s="204"/>
    </row>
    <row r="113" spans="2:30">
      <c r="B113" s="231">
        <v>99</v>
      </c>
      <c r="C113" s="318">
        <f t="shared" si="23"/>
        <v>40688</v>
      </c>
      <c r="D113" s="310" t="str">
        <f t="shared" si="30"/>
        <v/>
      </c>
      <c r="E113" s="328"/>
      <c r="F113" s="323"/>
      <c r="G113" s="338">
        <f t="shared" si="32"/>
        <v>0</v>
      </c>
      <c r="H113" s="325">
        <f t="shared" si="20"/>
        <v>0</v>
      </c>
      <c r="I113" s="344"/>
      <c r="J113" s="325">
        <f t="shared" si="29"/>
        <v>0</v>
      </c>
      <c r="K113" s="346"/>
      <c r="L113" s="341"/>
      <c r="M113" s="324">
        <f t="shared" si="25"/>
        <v>0</v>
      </c>
      <c r="N113" s="326">
        <f t="shared" si="21"/>
        <v>0</v>
      </c>
      <c r="T113" t="b">
        <f t="shared" si="31"/>
        <v>0</v>
      </c>
      <c r="U113">
        <f t="shared" si="26"/>
        <v>46</v>
      </c>
      <c r="V113">
        <f t="shared" si="28"/>
        <v>0</v>
      </c>
      <c r="X113" s="5"/>
      <c r="Y113" s="1"/>
      <c r="AB113" s="1" t="b">
        <f t="shared" si="33"/>
        <v>1</v>
      </c>
      <c r="AD113" s="204"/>
    </row>
    <row r="114" spans="2:30">
      <c r="B114" s="231">
        <v>100</v>
      </c>
      <c r="C114" s="318">
        <f t="shared" si="23"/>
        <v>40695</v>
      </c>
      <c r="D114" s="310" t="str">
        <f t="shared" si="30"/>
        <v/>
      </c>
      <c r="E114" s="328"/>
      <c r="F114" s="323"/>
      <c r="G114" s="338">
        <f t="shared" si="32"/>
        <v>0</v>
      </c>
      <c r="H114" s="325">
        <f t="shared" si="20"/>
        <v>0</v>
      </c>
      <c r="I114" s="344"/>
      <c r="J114" s="325">
        <f t="shared" si="29"/>
        <v>0</v>
      </c>
      <c r="K114" s="346"/>
      <c r="L114" s="341"/>
      <c r="M114" s="324">
        <f t="shared" si="25"/>
        <v>0</v>
      </c>
      <c r="N114" s="326">
        <f t="shared" si="21"/>
        <v>0</v>
      </c>
      <c r="T114" t="b">
        <f t="shared" si="31"/>
        <v>0</v>
      </c>
      <c r="U114">
        <f t="shared" si="26"/>
        <v>46</v>
      </c>
      <c r="V114">
        <f t="shared" si="28"/>
        <v>0</v>
      </c>
      <c r="X114" s="5"/>
      <c r="Y114" s="1"/>
      <c r="AB114" s="1" t="b">
        <f t="shared" si="33"/>
        <v>1</v>
      </c>
      <c r="AD114" s="204"/>
    </row>
    <row r="115" spans="2:30">
      <c r="B115" s="231">
        <v>101</v>
      </c>
      <c r="C115" s="318">
        <f t="shared" si="23"/>
        <v>40702</v>
      </c>
      <c r="D115" s="310" t="str">
        <f t="shared" si="30"/>
        <v/>
      </c>
      <c r="E115" s="328"/>
      <c r="F115" s="323"/>
      <c r="G115" s="338">
        <f t="shared" si="32"/>
        <v>0</v>
      </c>
      <c r="H115" s="325">
        <f t="shared" si="20"/>
        <v>0</v>
      </c>
      <c r="I115" s="344"/>
      <c r="J115" s="325">
        <f t="shared" si="29"/>
        <v>0</v>
      </c>
      <c r="K115" s="346"/>
      <c r="L115" s="341"/>
      <c r="M115" s="324">
        <f t="shared" si="25"/>
        <v>0</v>
      </c>
      <c r="N115" s="326">
        <f t="shared" si="21"/>
        <v>0</v>
      </c>
      <c r="T115" t="b">
        <f t="shared" si="31"/>
        <v>0</v>
      </c>
      <c r="U115">
        <f t="shared" si="26"/>
        <v>46</v>
      </c>
      <c r="V115">
        <f t="shared" si="28"/>
        <v>0</v>
      </c>
      <c r="X115" s="5"/>
      <c r="Y115" s="1"/>
      <c r="AB115" s="1" t="b">
        <f t="shared" si="33"/>
        <v>1</v>
      </c>
      <c r="AD115" s="204"/>
    </row>
    <row r="116" spans="2:30">
      <c r="B116" s="231">
        <v>102</v>
      </c>
      <c r="C116" s="318">
        <f t="shared" si="23"/>
        <v>40709</v>
      </c>
      <c r="D116" s="310" t="str">
        <f t="shared" si="30"/>
        <v/>
      </c>
      <c r="E116" s="328"/>
      <c r="F116" s="323"/>
      <c r="G116" s="338">
        <f t="shared" si="32"/>
        <v>0</v>
      </c>
      <c r="H116" s="325">
        <f t="shared" si="20"/>
        <v>0</v>
      </c>
      <c r="I116" s="344"/>
      <c r="J116" s="325">
        <f t="shared" si="29"/>
        <v>0</v>
      </c>
      <c r="K116" s="346"/>
      <c r="L116" s="341"/>
      <c r="M116" s="324">
        <f t="shared" si="25"/>
        <v>0</v>
      </c>
      <c r="N116" s="326">
        <f t="shared" si="21"/>
        <v>0</v>
      </c>
      <c r="T116" t="b">
        <f t="shared" si="31"/>
        <v>0</v>
      </c>
      <c r="U116">
        <f t="shared" si="26"/>
        <v>46</v>
      </c>
      <c r="V116">
        <f t="shared" si="28"/>
        <v>0</v>
      </c>
      <c r="X116" s="5"/>
      <c r="Y116" s="1"/>
      <c r="AB116" s="1" t="b">
        <f t="shared" si="33"/>
        <v>1</v>
      </c>
      <c r="AD116" s="204"/>
    </row>
    <row r="117" spans="2:30">
      <c r="B117" s="231">
        <v>103</v>
      </c>
      <c r="C117" s="318">
        <f t="shared" si="23"/>
        <v>40716</v>
      </c>
      <c r="D117" s="310" t="str">
        <f t="shared" si="30"/>
        <v/>
      </c>
      <c r="E117" s="328"/>
      <c r="F117" s="323"/>
      <c r="G117" s="338">
        <f t="shared" si="32"/>
        <v>0</v>
      </c>
      <c r="H117" s="325">
        <f t="shared" si="20"/>
        <v>0</v>
      </c>
      <c r="I117" s="344"/>
      <c r="J117" s="325">
        <f t="shared" si="29"/>
        <v>0</v>
      </c>
      <c r="K117" s="346"/>
      <c r="L117" s="341"/>
      <c r="M117" s="324">
        <f t="shared" si="25"/>
        <v>0</v>
      </c>
      <c r="N117" s="326">
        <f t="shared" si="21"/>
        <v>0</v>
      </c>
      <c r="T117" t="b">
        <f t="shared" si="31"/>
        <v>0</v>
      </c>
      <c r="U117">
        <f t="shared" si="26"/>
        <v>46</v>
      </c>
      <c r="V117">
        <f t="shared" si="28"/>
        <v>0</v>
      </c>
      <c r="X117" s="5"/>
      <c r="Y117" s="1"/>
      <c r="AB117" s="1" t="b">
        <f t="shared" si="33"/>
        <v>1</v>
      </c>
      <c r="AD117" s="204"/>
    </row>
    <row r="118" spans="2:30">
      <c r="B118" s="231">
        <v>104</v>
      </c>
      <c r="C118" s="318">
        <f t="shared" si="23"/>
        <v>40723</v>
      </c>
      <c r="D118" s="310" t="str">
        <f t="shared" si="30"/>
        <v/>
      </c>
      <c r="E118" s="328"/>
      <c r="F118" s="323"/>
      <c r="G118" s="338">
        <f t="shared" si="32"/>
        <v>0</v>
      </c>
      <c r="H118" s="325">
        <f t="shared" si="20"/>
        <v>0</v>
      </c>
      <c r="I118" s="344"/>
      <c r="J118" s="325">
        <f t="shared" si="29"/>
        <v>0</v>
      </c>
      <c r="K118" s="346"/>
      <c r="L118" s="341"/>
      <c r="M118" s="324">
        <f t="shared" si="25"/>
        <v>0</v>
      </c>
      <c r="N118" s="326">
        <f t="shared" si="21"/>
        <v>0</v>
      </c>
      <c r="T118" t="b">
        <f t="shared" si="31"/>
        <v>0</v>
      </c>
      <c r="U118">
        <f t="shared" si="26"/>
        <v>46</v>
      </c>
      <c r="V118">
        <f t="shared" si="28"/>
        <v>0</v>
      </c>
      <c r="X118" s="5"/>
      <c r="Y118" s="1"/>
      <c r="AB118" s="1" t="b">
        <f t="shared" si="33"/>
        <v>1</v>
      </c>
      <c r="AD118" s="204"/>
    </row>
    <row r="119" spans="2:30">
      <c r="B119" s="231">
        <v>105</v>
      </c>
      <c r="C119" s="318">
        <f t="shared" si="23"/>
        <v>40730</v>
      </c>
      <c r="D119" s="310" t="str">
        <f t="shared" si="30"/>
        <v/>
      </c>
      <c r="E119" s="328"/>
      <c r="F119" s="323"/>
      <c r="G119" s="338">
        <f t="shared" si="32"/>
        <v>0</v>
      </c>
      <c r="H119" s="325">
        <f t="shared" si="20"/>
        <v>0</v>
      </c>
      <c r="I119" s="344"/>
      <c r="J119" s="325">
        <f t="shared" si="29"/>
        <v>0</v>
      </c>
      <c r="K119" s="346"/>
      <c r="L119" s="341"/>
      <c r="M119" s="324">
        <f t="shared" si="25"/>
        <v>0</v>
      </c>
      <c r="N119" s="326">
        <f t="shared" si="21"/>
        <v>0</v>
      </c>
      <c r="T119" t="b">
        <f t="shared" si="31"/>
        <v>0</v>
      </c>
      <c r="U119">
        <f t="shared" si="26"/>
        <v>46</v>
      </c>
      <c r="V119">
        <f t="shared" si="28"/>
        <v>0</v>
      </c>
      <c r="X119" s="5"/>
      <c r="Y119" s="1"/>
      <c r="AB119" s="1" t="b">
        <f t="shared" si="33"/>
        <v>1</v>
      </c>
      <c r="AD119" s="204"/>
    </row>
    <row r="120" spans="2:30">
      <c r="B120" s="231">
        <v>106</v>
      </c>
      <c r="C120" s="318">
        <f t="shared" si="23"/>
        <v>40737</v>
      </c>
      <c r="D120" s="310" t="str">
        <f t="shared" si="30"/>
        <v/>
      </c>
      <c r="E120" s="328"/>
      <c r="F120" s="323"/>
      <c r="G120" s="338">
        <f t="shared" si="32"/>
        <v>0</v>
      </c>
      <c r="H120" s="325">
        <f t="shared" si="20"/>
        <v>0</v>
      </c>
      <c r="I120" s="344"/>
      <c r="J120" s="325">
        <f t="shared" si="29"/>
        <v>0</v>
      </c>
      <c r="K120" s="346"/>
      <c r="L120" s="341"/>
      <c r="M120" s="324">
        <f t="shared" si="25"/>
        <v>0</v>
      </c>
      <c r="N120" s="326">
        <f t="shared" si="21"/>
        <v>0</v>
      </c>
      <c r="T120" t="b">
        <f t="shared" si="31"/>
        <v>0</v>
      </c>
      <c r="U120">
        <f t="shared" si="26"/>
        <v>46</v>
      </c>
      <c r="V120">
        <f t="shared" si="28"/>
        <v>0</v>
      </c>
      <c r="X120" s="5"/>
      <c r="Y120" s="1"/>
      <c r="AB120" s="1" t="b">
        <f t="shared" si="33"/>
        <v>1</v>
      </c>
      <c r="AD120" s="204"/>
    </row>
    <row r="121" spans="2:30">
      <c r="B121" s="231">
        <v>107</v>
      </c>
      <c r="C121" s="318">
        <f t="shared" si="23"/>
        <v>40744</v>
      </c>
      <c r="D121" s="310" t="str">
        <f t="shared" si="30"/>
        <v/>
      </c>
      <c r="E121" s="328"/>
      <c r="F121" s="323"/>
      <c r="G121" s="338">
        <f t="shared" si="32"/>
        <v>0</v>
      </c>
      <c r="H121" s="325">
        <f t="shared" si="20"/>
        <v>0</v>
      </c>
      <c r="I121" s="344"/>
      <c r="J121" s="325">
        <f t="shared" si="29"/>
        <v>0</v>
      </c>
      <c r="K121" s="346"/>
      <c r="L121" s="341"/>
      <c r="M121" s="324">
        <f t="shared" si="25"/>
        <v>0</v>
      </c>
      <c r="N121" s="326">
        <f t="shared" si="21"/>
        <v>0</v>
      </c>
      <c r="T121" t="b">
        <f t="shared" si="31"/>
        <v>0</v>
      </c>
      <c r="U121">
        <f t="shared" si="26"/>
        <v>46</v>
      </c>
      <c r="V121">
        <f t="shared" si="28"/>
        <v>0</v>
      </c>
      <c r="X121" s="5"/>
      <c r="Y121" s="1"/>
      <c r="AB121" s="1" t="b">
        <f t="shared" si="33"/>
        <v>1</v>
      </c>
      <c r="AD121" s="204"/>
    </row>
    <row r="122" spans="2:30">
      <c r="B122" s="231">
        <v>108</v>
      </c>
      <c r="C122" s="318">
        <f t="shared" si="23"/>
        <v>40751</v>
      </c>
      <c r="D122" s="310" t="str">
        <f t="shared" si="30"/>
        <v/>
      </c>
      <c r="E122" s="328"/>
      <c r="F122" s="323"/>
      <c r="G122" s="338">
        <f t="shared" si="32"/>
        <v>0</v>
      </c>
      <c r="H122" s="325">
        <f t="shared" si="20"/>
        <v>0</v>
      </c>
      <c r="I122" s="344"/>
      <c r="J122" s="325">
        <f t="shared" si="29"/>
        <v>0</v>
      </c>
      <c r="K122" s="346"/>
      <c r="L122" s="341"/>
      <c r="M122" s="324">
        <f t="shared" si="25"/>
        <v>0</v>
      </c>
      <c r="N122" s="326">
        <f t="shared" si="21"/>
        <v>0</v>
      </c>
      <c r="T122" t="b">
        <f t="shared" si="31"/>
        <v>0</v>
      </c>
      <c r="U122">
        <f t="shared" si="26"/>
        <v>46</v>
      </c>
      <c r="V122">
        <f t="shared" si="28"/>
        <v>0</v>
      </c>
      <c r="X122" s="5"/>
      <c r="Y122" s="1"/>
      <c r="AB122" s="1" t="b">
        <f t="shared" si="33"/>
        <v>1</v>
      </c>
      <c r="AD122" s="204"/>
    </row>
    <row r="123" spans="2:30">
      <c r="B123" s="231">
        <v>109</v>
      </c>
      <c r="C123" s="318">
        <f t="shared" si="23"/>
        <v>40758</v>
      </c>
      <c r="D123" s="310" t="str">
        <f t="shared" si="30"/>
        <v/>
      </c>
      <c r="E123" s="328"/>
      <c r="F123" s="323"/>
      <c r="G123" s="338">
        <f t="shared" si="32"/>
        <v>0</v>
      </c>
      <c r="H123" s="325">
        <f t="shared" si="20"/>
        <v>0</v>
      </c>
      <c r="I123" s="344"/>
      <c r="J123" s="325">
        <f t="shared" si="29"/>
        <v>0</v>
      </c>
      <c r="K123" s="346"/>
      <c r="L123" s="341"/>
      <c r="M123" s="324">
        <f t="shared" si="25"/>
        <v>0</v>
      </c>
      <c r="N123" s="326">
        <f t="shared" si="21"/>
        <v>0</v>
      </c>
      <c r="T123" t="b">
        <f t="shared" si="31"/>
        <v>0</v>
      </c>
      <c r="U123">
        <f t="shared" si="26"/>
        <v>46</v>
      </c>
      <c r="V123">
        <f t="shared" si="28"/>
        <v>0</v>
      </c>
      <c r="X123" s="5"/>
      <c r="Y123" s="1"/>
      <c r="AB123" s="1" t="b">
        <f t="shared" si="33"/>
        <v>1</v>
      </c>
      <c r="AD123" s="204"/>
    </row>
    <row r="124" spans="2:30">
      <c r="B124" s="231">
        <v>110</v>
      </c>
      <c r="C124" s="318">
        <f t="shared" si="23"/>
        <v>40765</v>
      </c>
      <c r="D124" s="310" t="str">
        <f t="shared" si="30"/>
        <v/>
      </c>
      <c r="E124" s="328"/>
      <c r="F124" s="323"/>
      <c r="G124" s="338">
        <f t="shared" si="32"/>
        <v>0</v>
      </c>
      <c r="H124" s="325">
        <f t="shared" si="20"/>
        <v>0</v>
      </c>
      <c r="I124" s="344"/>
      <c r="J124" s="325">
        <f t="shared" si="29"/>
        <v>0</v>
      </c>
      <c r="K124" s="346"/>
      <c r="L124" s="341"/>
      <c r="M124" s="324">
        <f t="shared" si="25"/>
        <v>0</v>
      </c>
      <c r="N124" s="326">
        <f t="shared" si="21"/>
        <v>0</v>
      </c>
      <c r="T124" t="b">
        <f t="shared" si="31"/>
        <v>0</v>
      </c>
      <c r="U124">
        <f t="shared" si="26"/>
        <v>46</v>
      </c>
      <c r="V124">
        <f t="shared" si="28"/>
        <v>0</v>
      </c>
      <c r="X124" s="5"/>
      <c r="Y124" s="1"/>
      <c r="AB124" s="1" t="b">
        <f t="shared" si="33"/>
        <v>1</v>
      </c>
      <c r="AD124" s="204"/>
    </row>
    <row r="125" spans="2:30">
      <c r="B125" s="231">
        <v>111</v>
      </c>
      <c r="C125" s="318">
        <f t="shared" si="23"/>
        <v>40772</v>
      </c>
      <c r="D125" s="310" t="str">
        <f t="shared" si="30"/>
        <v/>
      </c>
      <c r="E125" s="328"/>
      <c r="F125" s="323"/>
      <c r="G125" s="338">
        <f t="shared" si="32"/>
        <v>0</v>
      </c>
      <c r="H125" s="325">
        <f t="shared" si="20"/>
        <v>0</v>
      </c>
      <c r="I125" s="344"/>
      <c r="J125" s="325">
        <f t="shared" si="29"/>
        <v>0</v>
      </c>
      <c r="K125" s="346"/>
      <c r="L125" s="341"/>
      <c r="M125" s="324">
        <f t="shared" si="25"/>
        <v>0</v>
      </c>
      <c r="N125" s="326">
        <f t="shared" si="21"/>
        <v>0</v>
      </c>
      <c r="T125" t="b">
        <f t="shared" si="31"/>
        <v>0</v>
      </c>
      <c r="U125">
        <f t="shared" si="26"/>
        <v>46</v>
      </c>
      <c r="V125">
        <f t="shared" si="28"/>
        <v>0</v>
      </c>
      <c r="X125" s="5"/>
      <c r="Y125" s="1"/>
      <c r="AB125" s="1" t="b">
        <f t="shared" si="33"/>
        <v>1</v>
      </c>
      <c r="AD125" s="204"/>
    </row>
    <row r="126" spans="2:30">
      <c r="B126" s="231">
        <v>112</v>
      </c>
      <c r="C126" s="318">
        <f t="shared" si="23"/>
        <v>40779</v>
      </c>
      <c r="D126" s="310" t="str">
        <f t="shared" si="30"/>
        <v/>
      </c>
      <c r="E126" s="328"/>
      <c r="F126" s="323"/>
      <c r="G126" s="338">
        <f t="shared" si="32"/>
        <v>0</v>
      </c>
      <c r="H126" s="325">
        <f t="shared" si="20"/>
        <v>0</v>
      </c>
      <c r="I126" s="344"/>
      <c r="J126" s="325">
        <f t="shared" si="29"/>
        <v>0</v>
      </c>
      <c r="K126" s="346"/>
      <c r="L126" s="341"/>
      <c r="M126" s="324">
        <f t="shared" si="25"/>
        <v>0</v>
      </c>
      <c r="N126" s="326">
        <f t="shared" si="21"/>
        <v>0</v>
      </c>
      <c r="T126" t="b">
        <f t="shared" si="31"/>
        <v>0</v>
      </c>
      <c r="U126">
        <f t="shared" si="26"/>
        <v>46</v>
      </c>
      <c r="V126">
        <f t="shared" si="28"/>
        <v>0</v>
      </c>
      <c r="X126" s="5"/>
      <c r="Y126" s="1"/>
      <c r="AB126" s="1" t="b">
        <f t="shared" si="33"/>
        <v>1</v>
      </c>
      <c r="AD126" s="204"/>
    </row>
    <row r="127" spans="2:30">
      <c r="B127" s="231">
        <v>113</v>
      </c>
      <c r="C127" s="318">
        <f t="shared" si="23"/>
        <v>40786</v>
      </c>
      <c r="D127" s="310" t="str">
        <f t="shared" si="30"/>
        <v/>
      </c>
      <c r="E127" s="328"/>
      <c r="F127" s="323"/>
      <c r="G127" s="338">
        <f t="shared" si="32"/>
        <v>0</v>
      </c>
      <c r="H127" s="325">
        <f t="shared" si="20"/>
        <v>0</v>
      </c>
      <c r="I127" s="344"/>
      <c r="J127" s="325">
        <f t="shared" si="29"/>
        <v>0</v>
      </c>
      <c r="K127" s="346"/>
      <c r="L127" s="341"/>
      <c r="M127" s="324">
        <f t="shared" si="25"/>
        <v>0</v>
      </c>
      <c r="N127" s="326">
        <f t="shared" si="21"/>
        <v>0</v>
      </c>
      <c r="T127" t="b">
        <f t="shared" si="31"/>
        <v>0</v>
      </c>
      <c r="U127">
        <f t="shared" si="26"/>
        <v>46</v>
      </c>
      <c r="V127">
        <f t="shared" si="28"/>
        <v>0</v>
      </c>
      <c r="X127" s="5"/>
      <c r="Y127" s="1"/>
      <c r="AB127" s="1" t="b">
        <f t="shared" si="33"/>
        <v>1</v>
      </c>
      <c r="AD127" s="204"/>
    </row>
    <row r="128" spans="2:30">
      <c r="B128" s="231">
        <v>114</v>
      </c>
      <c r="C128" s="318">
        <f t="shared" si="23"/>
        <v>40793</v>
      </c>
      <c r="D128" s="310" t="str">
        <f t="shared" si="30"/>
        <v/>
      </c>
      <c r="E128" s="328"/>
      <c r="F128" s="323"/>
      <c r="G128" s="338">
        <f t="shared" si="32"/>
        <v>0</v>
      </c>
      <c r="H128" s="325">
        <f t="shared" si="20"/>
        <v>0</v>
      </c>
      <c r="I128" s="344"/>
      <c r="J128" s="325">
        <f t="shared" si="29"/>
        <v>0</v>
      </c>
      <c r="K128" s="346"/>
      <c r="L128" s="341"/>
      <c r="M128" s="324">
        <f t="shared" si="25"/>
        <v>0</v>
      </c>
      <c r="N128" s="326">
        <f t="shared" si="21"/>
        <v>0</v>
      </c>
      <c r="T128" t="b">
        <f t="shared" si="31"/>
        <v>0</v>
      </c>
      <c r="U128">
        <f t="shared" si="26"/>
        <v>46</v>
      </c>
      <c r="V128">
        <f t="shared" si="28"/>
        <v>0</v>
      </c>
      <c r="X128" s="5"/>
      <c r="Y128" s="1"/>
      <c r="AB128" s="1" t="b">
        <f t="shared" si="33"/>
        <v>1</v>
      </c>
      <c r="AD128" s="204"/>
    </row>
    <row r="129" spans="2:30">
      <c r="B129" s="231">
        <v>115</v>
      </c>
      <c r="C129" s="318">
        <f t="shared" si="23"/>
        <v>40800</v>
      </c>
      <c r="D129" s="310" t="str">
        <f t="shared" si="30"/>
        <v/>
      </c>
      <c r="E129" s="328"/>
      <c r="F129" s="323"/>
      <c r="G129" s="338">
        <f t="shared" si="32"/>
        <v>0</v>
      </c>
      <c r="H129" s="325">
        <f t="shared" si="20"/>
        <v>0</v>
      </c>
      <c r="I129" s="344"/>
      <c r="J129" s="325">
        <f t="shared" si="29"/>
        <v>0</v>
      </c>
      <c r="K129" s="346"/>
      <c r="L129" s="341"/>
      <c r="M129" s="324">
        <f t="shared" si="25"/>
        <v>0</v>
      </c>
      <c r="N129" s="326">
        <f t="shared" si="21"/>
        <v>0</v>
      </c>
      <c r="T129" t="b">
        <f t="shared" si="31"/>
        <v>0</v>
      </c>
      <c r="U129">
        <f t="shared" si="26"/>
        <v>46</v>
      </c>
      <c r="V129">
        <f t="shared" si="28"/>
        <v>0</v>
      </c>
      <c r="X129" s="5"/>
      <c r="Y129" s="1"/>
      <c r="AB129" s="1" t="b">
        <f t="shared" si="33"/>
        <v>1</v>
      </c>
      <c r="AD129" s="204"/>
    </row>
    <row r="130" spans="2:30">
      <c r="B130" s="231">
        <v>116</v>
      </c>
      <c r="C130" s="318">
        <f t="shared" si="23"/>
        <v>40807</v>
      </c>
      <c r="D130" s="310" t="str">
        <f t="shared" si="30"/>
        <v/>
      </c>
      <c r="E130" s="328"/>
      <c r="F130" s="323"/>
      <c r="G130" s="338">
        <f t="shared" si="32"/>
        <v>0</v>
      </c>
      <c r="H130" s="325">
        <f t="shared" si="20"/>
        <v>0</v>
      </c>
      <c r="I130" s="344"/>
      <c r="J130" s="325">
        <f t="shared" si="29"/>
        <v>0</v>
      </c>
      <c r="K130" s="346"/>
      <c r="L130" s="341"/>
      <c r="M130" s="324">
        <f t="shared" si="25"/>
        <v>0</v>
      </c>
      <c r="N130" s="326">
        <f t="shared" si="21"/>
        <v>0</v>
      </c>
      <c r="T130" t="b">
        <f t="shared" si="31"/>
        <v>0</v>
      </c>
      <c r="U130">
        <f t="shared" si="26"/>
        <v>46</v>
      </c>
      <c r="V130">
        <f t="shared" si="28"/>
        <v>0</v>
      </c>
      <c r="X130" s="5"/>
      <c r="Y130" s="1"/>
      <c r="AB130" s="1" t="b">
        <f t="shared" si="33"/>
        <v>1</v>
      </c>
      <c r="AD130" s="204"/>
    </row>
    <row r="131" spans="2:30">
      <c r="B131" s="231">
        <v>117</v>
      </c>
      <c r="C131" s="318">
        <f t="shared" si="23"/>
        <v>40814</v>
      </c>
      <c r="D131" s="310" t="str">
        <f t="shared" si="30"/>
        <v/>
      </c>
      <c r="E131" s="328"/>
      <c r="F131" s="323"/>
      <c r="G131" s="338">
        <f t="shared" si="32"/>
        <v>0</v>
      </c>
      <c r="H131" s="325">
        <f t="shared" si="20"/>
        <v>0</v>
      </c>
      <c r="I131" s="344"/>
      <c r="J131" s="325">
        <f t="shared" si="29"/>
        <v>0</v>
      </c>
      <c r="K131" s="346"/>
      <c r="L131" s="341"/>
      <c r="M131" s="324">
        <f t="shared" si="25"/>
        <v>0</v>
      </c>
      <c r="N131" s="326">
        <f t="shared" si="21"/>
        <v>0</v>
      </c>
      <c r="T131" t="b">
        <f t="shared" si="31"/>
        <v>0</v>
      </c>
      <c r="U131">
        <f t="shared" si="26"/>
        <v>46</v>
      </c>
      <c r="V131">
        <f t="shared" si="28"/>
        <v>0</v>
      </c>
      <c r="X131" s="5"/>
      <c r="Y131" s="1"/>
      <c r="AB131" s="1" t="b">
        <f t="shared" si="33"/>
        <v>1</v>
      </c>
      <c r="AD131" s="204"/>
    </row>
    <row r="132" spans="2:30">
      <c r="B132" s="231">
        <v>118</v>
      </c>
      <c r="C132" s="318">
        <f t="shared" si="23"/>
        <v>40821</v>
      </c>
      <c r="D132" s="310" t="str">
        <f t="shared" si="30"/>
        <v/>
      </c>
      <c r="E132" s="328"/>
      <c r="F132" s="323"/>
      <c r="G132" s="338">
        <f t="shared" si="32"/>
        <v>0</v>
      </c>
      <c r="H132" s="325">
        <f t="shared" si="20"/>
        <v>0</v>
      </c>
      <c r="I132" s="344"/>
      <c r="J132" s="325">
        <f t="shared" si="29"/>
        <v>0</v>
      </c>
      <c r="K132" s="346"/>
      <c r="L132" s="341"/>
      <c r="M132" s="324">
        <f t="shared" si="25"/>
        <v>0</v>
      </c>
      <c r="N132" s="326">
        <f t="shared" si="21"/>
        <v>0</v>
      </c>
      <c r="T132" t="b">
        <f t="shared" si="31"/>
        <v>0</v>
      </c>
      <c r="U132">
        <f t="shared" si="26"/>
        <v>46</v>
      </c>
      <c r="V132">
        <f t="shared" si="28"/>
        <v>0</v>
      </c>
      <c r="X132" s="5"/>
      <c r="Y132" s="1"/>
      <c r="AB132" s="1" t="b">
        <f t="shared" si="33"/>
        <v>1</v>
      </c>
      <c r="AD132" s="204"/>
    </row>
    <row r="133" spans="2:30">
      <c r="B133" s="231">
        <v>119</v>
      </c>
      <c r="C133" s="318">
        <f t="shared" si="23"/>
        <v>40828</v>
      </c>
      <c r="D133" s="310" t="str">
        <f t="shared" si="30"/>
        <v/>
      </c>
      <c r="E133" s="328"/>
      <c r="F133" s="323"/>
      <c r="G133" s="338">
        <f t="shared" si="32"/>
        <v>0</v>
      </c>
      <c r="H133" s="325">
        <f t="shared" si="20"/>
        <v>0</v>
      </c>
      <c r="I133" s="344"/>
      <c r="J133" s="325">
        <f t="shared" si="29"/>
        <v>0</v>
      </c>
      <c r="K133" s="346"/>
      <c r="L133" s="341"/>
      <c r="M133" s="324">
        <f t="shared" si="25"/>
        <v>0</v>
      </c>
      <c r="N133" s="326">
        <f t="shared" si="21"/>
        <v>0</v>
      </c>
      <c r="T133" t="b">
        <f t="shared" si="31"/>
        <v>0</v>
      </c>
      <c r="U133">
        <f t="shared" si="26"/>
        <v>46</v>
      </c>
      <c r="V133">
        <f t="shared" si="28"/>
        <v>0</v>
      </c>
      <c r="X133" s="5"/>
      <c r="Y133" s="1"/>
      <c r="AB133" s="1" t="b">
        <f t="shared" si="33"/>
        <v>1</v>
      </c>
      <c r="AD133" s="204"/>
    </row>
    <row r="134" spans="2:30" ht="13" thickBot="1">
      <c r="B134" s="330">
        <v>120</v>
      </c>
      <c r="C134" s="331">
        <f t="shared" si="23"/>
        <v>40835</v>
      </c>
      <c r="D134" s="310" t="str">
        <f t="shared" si="30"/>
        <v/>
      </c>
      <c r="E134" s="332"/>
      <c r="F134" s="333"/>
      <c r="G134" s="339">
        <f t="shared" si="32"/>
        <v>0</v>
      </c>
      <c r="H134" s="335">
        <f t="shared" si="20"/>
        <v>0</v>
      </c>
      <c r="I134" s="345"/>
      <c r="J134" s="335">
        <f t="shared" si="29"/>
        <v>0</v>
      </c>
      <c r="K134" s="347"/>
      <c r="L134" s="342"/>
      <c r="M134" s="334">
        <f t="shared" si="25"/>
        <v>0</v>
      </c>
      <c r="N134" s="336">
        <f t="shared" si="21"/>
        <v>0</v>
      </c>
      <c r="T134" t="b">
        <f t="shared" si="31"/>
        <v>0</v>
      </c>
      <c r="U134">
        <f t="shared" si="26"/>
        <v>46</v>
      </c>
      <c r="V134">
        <f t="shared" si="28"/>
        <v>0</v>
      </c>
      <c r="X134" s="5"/>
      <c r="Y134" s="1"/>
      <c r="AB134" s="1" t="b">
        <f t="shared" si="33"/>
        <v>1</v>
      </c>
      <c r="AD134" s="204"/>
    </row>
    <row r="135" spans="2:30" ht="13" thickTop="1"/>
    <row r="172" spans="3:6">
      <c r="C172" s="138" t="s">
        <v>261</v>
      </c>
      <c r="F172">
        <f>IF(cost_1=0,0.0001,cost_1)</f>
        <v>1E-4</v>
      </c>
    </row>
    <row r="178" spans="2:15">
      <c r="F178" s="4" t="e">
        <f>-MAX(#REF!,ABS(MIN(#REF!)))</f>
        <v>#REF!</v>
      </c>
      <c r="G178" s="4"/>
      <c r="H178" s="4"/>
      <c r="I178" s="4">
        <f>-MAX(I14:I134,ABS(MIN(I14:I134)))</f>
        <v>-20</v>
      </c>
      <c r="J178" s="4"/>
      <c r="K178" s="4">
        <f>-MAX(K14:K134,ABS(MIN(K14:K134)))</f>
        <v>0</v>
      </c>
      <c r="L178" s="4">
        <f>-MAX(L14:L134,ABS(MIN(L14:L134)))</f>
        <v>0</v>
      </c>
      <c r="M178" s="4">
        <f>-MAX(M14:M134,ABS(MIN(M14:M134)))</f>
        <v>0</v>
      </c>
      <c r="N178" s="4">
        <f>-MAX(N14:N134,ABS(MIN(N14:N134)))</f>
        <v>-980</v>
      </c>
    </row>
    <row r="180" spans="2:15">
      <c r="B180" t="s">
        <v>427</v>
      </c>
      <c r="C180" t="s">
        <v>17</v>
      </c>
      <c r="D180" s="23"/>
      <c r="E180"/>
      <c r="F180" t="s">
        <v>17</v>
      </c>
      <c r="G180" t="s">
        <v>17</v>
      </c>
      <c r="H180" t="s">
        <v>17</v>
      </c>
      <c r="I180" t="s">
        <v>17</v>
      </c>
      <c r="J180" t="s">
        <v>17</v>
      </c>
      <c r="K180" t="s">
        <v>17</v>
      </c>
      <c r="L180" t="s">
        <v>17</v>
      </c>
      <c r="M180" t="s">
        <v>17</v>
      </c>
      <c r="N180" t="s">
        <v>17</v>
      </c>
      <c r="O180" t="b">
        <f>TRUE</f>
        <v>1</v>
      </c>
    </row>
  </sheetData>
  <sheetProtection password="DE0E" sheet="1" objects="1" scenarios="1" formatColumns="0"/>
  <mergeCells count="10">
    <mergeCell ref="AB11:AB12"/>
    <mergeCell ref="D9:E9"/>
    <mergeCell ref="F11:J11"/>
    <mergeCell ref="K11:N11"/>
    <mergeCell ref="P11:P12"/>
    <mergeCell ref="D4:E4"/>
    <mergeCell ref="D5:E5"/>
    <mergeCell ref="D6:E6"/>
    <mergeCell ref="D8:E8"/>
    <mergeCell ref="D7:E7"/>
  </mergeCells>
  <phoneticPr fontId="6" type="noConversion"/>
  <conditionalFormatting sqref="C15:D15 D15:D134">
    <cfRule type="expression" dxfId="8" priority="7" stopIfTrue="1">
      <formula>C15&lt;C14</formula>
    </cfRule>
  </conditionalFormatting>
  <conditionalFormatting sqref="C16:D18">
    <cfRule type="expression" dxfId="7" priority="6" stopIfTrue="1">
      <formula>C16&lt;C15</formula>
    </cfRule>
  </conditionalFormatting>
  <conditionalFormatting sqref="C18:D134 E19:E134">
    <cfRule type="expression" dxfId="6" priority="5" stopIfTrue="1">
      <formula>C18&lt;C17</formula>
    </cfRule>
  </conditionalFormatting>
  <conditionalFormatting sqref="D14">
    <cfRule type="expression" dxfId="5" priority="4" stopIfTrue="1">
      <formula>D14&lt;D12</formula>
    </cfRule>
  </conditionalFormatting>
  <conditionalFormatting sqref="C14">
    <cfRule type="expression" dxfId="4" priority="3" stopIfTrue="1">
      <formula>C14&lt;C13</formula>
    </cfRule>
  </conditionalFormatting>
  <conditionalFormatting sqref="D15:D134">
    <cfRule type="expression" dxfId="3" priority="2" stopIfTrue="1">
      <formula>D15&lt;D13</formula>
    </cfRule>
  </conditionalFormatting>
  <conditionalFormatting sqref="D15:D134">
    <cfRule type="expression" dxfId="2" priority="1" stopIfTrue="1">
      <formula>D15&lt;D13</formula>
    </cfRule>
  </conditionalFormatting>
  <dataValidations disablePrompts="1" xWindow="1063" yWindow="233" count="3">
    <dataValidation type="decimal" operator="notEqual" allowBlank="1" showInputMessage="1" showErrorMessage="1" errorTitle="Invalid Entry" error="You must enter a numerical value in this cell." sqref="K14:L134 I15:I134 P14:P90" xr:uid="{00000000-0002-0000-0B00-000000000000}">
      <formula1>123232122</formula1>
    </dataValidation>
    <dataValidation allowBlank="1" showInputMessage="1" showErrorMessage="1" promptTitle="Initial Fees" prompt="Enter a number less that 1.0 to have fees in Period 0 to be calculated as a percentage of the loan amount, e.g., 0.01 will be 1%.  Enter a number greater than 1.0 to have a fixed amount, e.g., 5.0 will be fees of 5." sqref="D8:E8" xr:uid="{00000000-0002-0000-0B00-000001000000}"/>
    <dataValidation allowBlank="1" showInputMessage="1" showErrorMessage="1" promptTitle="Accrued Interest" prompt="These figures are used for the interest paid.  If a grace on paying interest, the amount accrues here." sqref="X14:Y134" xr:uid="{00000000-0002-0000-0B00-000002000000}"/>
  </dataValidations>
  <pageMargins left="0.75" right="0.75" top="1" bottom="1" header="0.5" footer="0.5"/>
  <pageSetup scale="72" orientation="landscape" useFirstPageNumber="1" horizontalDpi="4294967292" verticalDpi="4294967292"/>
  <headerFooter>
    <oddHeader>&amp;C&amp;"Arial,Bold"PRISMA ---  Cooperative San Luis Financial Projections&amp;"Arial,Regular"_x000D_Client Cost Repayment Schedule&amp;LPrinted: &amp;D at &amp;T_x000D_Projections developed with Microfin&amp;RPage &amp;P_x000D_File name: &amp;F</oddHeader>
  </headerFooter>
  <drawing r:id="rId1"/>
  <legacyDrawing r:id="rId2"/>
  <mc:AlternateContent xmlns:mc="http://schemas.openxmlformats.org/markup-compatibility/2006">
    <mc:Choice Requires="x14">
      <controls>
        <mc:AlternateContent xmlns:mc="http://schemas.openxmlformats.org/markup-compatibility/2006">
          <mc:Choice Requires="x14">
            <control shapeId="2708489" r:id="rId3" name="Check Box 9">
              <controlPr defaultSize="0" autoFill="0" autoLine="0" autoPict="0">
                <anchor moveWithCells="1">
                  <from>
                    <xdr:col>5</xdr:col>
                    <xdr:colOff>114300</xdr:colOff>
                    <xdr:row>8</xdr:row>
                    <xdr:rowOff>0</xdr:rowOff>
                  </from>
                  <to>
                    <xdr:col>8</xdr:col>
                    <xdr:colOff>698500</xdr:colOff>
                    <xdr:row>9</xdr:row>
                    <xdr:rowOff>12700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ClientCostPage">
    <pageSetUpPr fitToPage="1"/>
  </sheetPr>
  <dimension ref="A1:S177"/>
  <sheetViews>
    <sheetView showGridLines="0" workbookViewId="0">
      <selection sqref="A1:I19"/>
    </sheetView>
  </sheetViews>
  <sheetFormatPr baseColWidth="10" defaultColWidth="8.796875" defaultRowHeight="12"/>
  <cols>
    <col min="1" max="1" width="28.796875" customWidth="1"/>
    <col min="2" max="2" width="8.3984375" customWidth="1"/>
    <col min="3" max="3" width="10.796875" customWidth="1"/>
    <col min="6" max="6" width="13" customWidth="1"/>
    <col min="10" max="10" width="9.3984375" customWidth="1"/>
    <col min="12" max="12" width="9.796875" customWidth="1"/>
    <col min="13" max="13" width="10.19921875" customWidth="1"/>
  </cols>
  <sheetData>
    <row r="1" spans="1:19" ht="19" thickBot="1">
      <c r="A1" s="1077" t="s">
        <v>642</v>
      </c>
      <c r="B1" s="1078"/>
      <c r="C1" s="1078"/>
      <c r="D1" s="1078"/>
      <c r="E1" s="1078"/>
      <c r="F1" s="1079"/>
      <c r="G1" s="455"/>
      <c r="H1" s="455"/>
      <c r="I1" s="455"/>
      <c r="J1" s="455"/>
      <c r="K1" s="455"/>
      <c r="L1" s="455"/>
      <c r="M1" s="455"/>
      <c r="N1" s="455"/>
      <c r="O1" s="455"/>
      <c r="P1" s="455"/>
      <c r="Q1" s="455"/>
      <c r="R1" s="455" t="s">
        <v>641</v>
      </c>
      <c r="S1" t="s">
        <v>640</v>
      </c>
    </row>
    <row r="2" spans="1:19" ht="13" thickBot="1">
      <c r="A2" s="471" t="s">
        <v>639</v>
      </c>
      <c r="B2" s="455"/>
      <c r="C2" s="455"/>
      <c r="D2" s="455"/>
      <c r="E2" s="455"/>
      <c r="F2" s="455"/>
      <c r="G2" s="455"/>
      <c r="H2" s="455"/>
      <c r="I2" s="455"/>
      <c r="J2" s="455"/>
      <c r="K2" s="455"/>
      <c r="L2" s="455"/>
      <c r="M2" s="455"/>
      <c r="N2" s="455"/>
      <c r="O2" s="455"/>
      <c r="P2" s="455"/>
      <c r="Q2" s="455"/>
      <c r="R2" s="455"/>
    </row>
    <row r="3" spans="1:19" ht="13" thickBot="1">
      <c r="A3" s="469" t="s">
        <v>638</v>
      </c>
      <c r="B3" s="470"/>
      <c r="C3" s="469" t="s">
        <v>22</v>
      </c>
      <c r="D3" s="468" t="s">
        <v>637</v>
      </c>
      <c r="E3" s="467" t="s">
        <v>636</v>
      </c>
      <c r="J3" s="455"/>
      <c r="K3" s="455"/>
      <c r="L3" s="455"/>
      <c r="M3" s="455"/>
      <c r="N3" s="455"/>
      <c r="O3" s="455"/>
      <c r="P3" s="455"/>
      <c r="Q3" s="455"/>
      <c r="R3" s="455"/>
    </row>
    <row r="4" spans="1:19">
      <c r="A4" s="464" t="s">
        <v>635</v>
      </c>
      <c r="B4" s="455"/>
      <c r="C4" s="463"/>
      <c r="D4" s="466">
        <f>+'Rep Schedule - Basic'!J127</f>
        <v>1.3427289028799754</v>
      </c>
      <c r="E4" s="465">
        <f>(1+D4)/(1+$B$29)-1</f>
        <v>1.3427289028799754</v>
      </c>
      <c r="J4" s="455"/>
      <c r="K4" s="455"/>
      <c r="L4" s="455"/>
      <c r="M4" s="455"/>
      <c r="N4" s="455"/>
      <c r="O4" s="455"/>
      <c r="P4" s="455"/>
      <c r="Q4" s="455"/>
      <c r="R4" s="455"/>
    </row>
    <row r="5" spans="1:19">
      <c r="A5" s="464" t="s">
        <v>634</v>
      </c>
      <c r="B5" s="455"/>
      <c r="C5" s="463">
        <f>D5-D4</f>
        <v>1.2876969094199042</v>
      </c>
      <c r="D5" s="462">
        <f>+'Rep Schedule - Basic'!P127</f>
        <v>2.6304258122998796</v>
      </c>
      <c r="E5" s="461">
        <f>(1+D5)/(1+$B$29)-1</f>
        <v>2.6304258122998796</v>
      </c>
      <c r="J5" s="455"/>
      <c r="K5" s="455"/>
      <c r="L5" s="455"/>
      <c r="M5" s="455"/>
      <c r="N5" s="455"/>
      <c r="O5" s="455"/>
      <c r="P5" s="455"/>
      <c r="Q5" s="455"/>
      <c r="R5" s="455"/>
    </row>
    <row r="6" spans="1:19">
      <c r="A6" s="464" t="s">
        <v>633</v>
      </c>
      <c r="B6" s="455"/>
      <c r="C6" s="463" t="e">
        <f>D6-D5</f>
        <v>#REF!</v>
      </c>
      <c r="D6" s="462" t="e">
        <f>'Rep Schedule - Basic'!#REF!</f>
        <v>#REF!</v>
      </c>
      <c r="E6" s="461" t="e">
        <f>(1+D6)/(1+$B$29)-1</f>
        <v>#REF!</v>
      </c>
      <c r="J6" s="455"/>
      <c r="K6" s="455"/>
      <c r="L6" s="455"/>
      <c r="M6" s="455"/>
      <c r="N6" s="455"/>
      <c r="O6" s="455"/>
      <c r="P6" s="455"/>
      <c r="Q6" s="455"/>
      <c r="R6" s="455"/>
    </row>
    <row r="7" spans="1:19" ht="13" thickBot="1">
      <c r="A7" s="460" t="s">
        <v>632</v>
      </c>
      <c r="B7" s="459"/>
      <c r="C7" s="458" t="e">
        <f>D7-D6</f>
        <v>#REF!</v>
      </c>
      <c r="D7" s="457" t="e">
        <f>'Rep Schedule - Basic'!#REF!</f>
        <v>#REF!</v>
      </c>
      <c r="E7" s="456" t="e">
        <f>(1+D7)/(1+$B$29)-1</f>
        <v>#REF!</v>
      </c>
      <c r="J7" s="455"/>
      <c r="K7" s="455"/>
      <c r="L7" s="455"/>
      <c r="M7" s="455"/>
      <c r="N7" s="455"/>
      <c r="O7" s="455"/>
      <c r="P7" s="455"/>
      <c r="Q7" s="455"/>
      <c r="R7" s="455"/>
    </row>
    <row r="9" spans="1:19" ht="21" customHeight="1">
      <c r="A9" s="1080" t="s">
        <v>631</v>
      </c>
      <c r="B9" s="1082"/>
      <c r="C9" s="1082"/>
      <c r="D9" s="1082"/>
      <c r="E9" s="1082"/>
    </row>
    <row r="11" spans="1:19" ht="18">
      <c r="A11" s="18" t="s">
        <v>630</v>
      </c>
      <c r="B11" s="10"/>
      <c r="C11" s="10"/>
      <c r="D11" s="10"/>
      <c r="E11" s="10"/>
      <c r="F11" s="10"/>
      <c r="G11" s="10"/>
      <c r="H11" s="10"/>
      <c r="I11" s="10"/>
      <c r="J11" s="10"/>
    </row>
    <row r="12" spans="1:19" ht="15" customHeight="1">
      <c r="A12" t="s">
        <v>629</v>
      </c>
      <c r="B12" s="454">
        <f>'Pricing - Basic'!C4</f>
        <v>1000</v>
      </c>
    </row>
    <row r="13" spans="1:19" ht="15" customHeight="1">
      <c r="A13" t="s">
        <v>628</v>
      </c>
      <c r="B13" t="s">
        <v>627</v>
      </c>
    </row>
    <row r="14" spans="1:19" ht="15" customHeight="1">
      <c r="A14" t="s">
        <v>626</v>
      </c>
      <c r="B14" s="454">
        <f>'Pricing - Basic'!C5</f>
        <v>12</v>
      </c>
      <c r="C14" t="str">
        <f>INDEX(D164:D166,A164)</f>
        <v>Months</v>
      </c>
      <c r="E14" s="453" t="s">
        <v>625</v>
      </c>
    </row>
    <row r="15" spans="1:19" ht="15" customHeight="1">
      <c r="D15" s="4"/>
    </row>
    <row r="16" spans="1:19" ht="18">
      <c r="A16" s="18" t="s">
        <v>624</v>
      </c>
      <c r="B16" s="10"/>
      <c r="C16" s="10"/>
      <c r="D16" s="10"/>
      <c r="E16" s="10"/>
      <c r="F16" s="10"/>
      <c r="G16" s="10"/>
      <c r="H16" s="10"/>
      <c r="I16" s="413"/>
      <c r="J16" s="10"/>
    </row>
    <row r="17" spans="1:10" ht="15" customHeight="1">
      <c r="A17" t="s">
        <v>623</v>
      </c>
      <c r="D17" s="4"/>
      <c r="I17" s="3"/>
    </row>
    <row r="18" spans="1:10" ht="15" customHeight="1">
      <c r="A18" t="s">
        <v>622</v>
      </c>
      <c r="D18" s="4"/>
      <c r="I18" s="3"/>
    </row>
    <row r="19" spans="1:10" ht="15" customHeight="1">
      <c r="A19" t="s">
        <v>621</v>
      </c>
      <c r="D19" s="4"/>
      <c r="I19" s="3"/>
    </row>
    <row r="20" spans="1:10" ht="15" customHeight="1">
      <c r="A20" t="s">
        <v>620</v>
      </c>
      <c r="B20" s="188">
        <v>0</v>
      </c>
      <c r="C20" t="str">
        <f>+C14</f>
        <v>Months</v>
      </c>
    </row>
    <row r="21" spans="1:10" ht="15" customHeight="1">
      <c r="A21" t="s">
        <v>619</v>
      </c>
      <c r="B21" s="188">
        <v>0</v>
      </c>
      <c r="C21" t="str">
        <f>C20</f>
        <v>Months</v>
      </c>
    </row>
    <row r="22" spans="1:10" ht="15" customHeight="1">
      <c r="A22" t="s">
        <v>618</v>
      </c>
      <c r="B22" s="188">
        <v>0</v>
      </c>
      <c r="C22" t="str">
        <f>C21</f>
        <v>Months</v>
      </c>
    </row>
    <row r="24" spans="1:10" ht="19" thickBot="1">
      <c r="A24" s="18" t="s">
        <v>617</v>
      </c>
      <c r="B24" s="10"/>
      <c r="C24" s="10"/>
      <c r="D24" s="10"/>
      <c r="E24" s="10"/>
      <c r="F24" s="10"/>
      <c r="G24" s="10"/>
      <c r="H24" s="10"/>
      <c r="I24" s="413"/>
      <c r="J24" s="10"/>
    </row>
    <row r="25" spans="1:10" ht="15.75" customHeight="1" thickBot="1">
      <c r="A25" t="s">
        <v>616</v>
      </c>
      <c r="B25" s="452">
        <f>'Pricing - Basic'!C9</f>
        <v>0.04</v>
      </c>
      <c r="F25" s="19">
        <f>B25*INDEX(D168:D170,A168)</f>
        <v>0.04</v>
      </c>
      <c r="G25" t="s">
        <v>615</v>
      </c>
    </row>
    <row r="26" spans="1:10" ht="15.75" customHeight="1" thickBot="1">
      <c r="A26" t="s">
        <v>614</v>
      </c>
      <c r="E26" s="3"/>
      <c r="F26" s="451">
        <f>-'Rep Schedule - Basic'!J7</f>
        <v>86.666666666666657</v>
      </c>
      <c r="G26" t="s">
        <v>613</v>
      </c>
    </row>
    <row r="27" spans="1:10" ht="13" thickBot="1">
      <c r="A27" t="s">
        <v>14</v>
      </c>
      <c r="B27" s="7"/>
      <c r="F27" s="451">
        <f>'Rep Schedule - Basic'!D127+'Rep Schedule - Basic'!E127</f>
        <v>1021.6674000000002</v>
      </c>
      <c r="G27" t="s">
        <v>612</v>
      </c>
    </row>
    <row r="28" spans="1:10" ht="13" thickBot="1">
      <c r="A28" t="s">
        <v>28</v>
      </c>
      <c r="B28" s="7">
        <f>'Pricing - Basic'!C11</f>
        <v>0.04</v>
      </c>
      <c r="F28" s="19">
        <f>D4/(1+B28)</f>
        <v>1.2910854835384378</v>
      </c>
      <c r="G28" t="s">
        <v>611</v>
      </c>
    </row>
    <row r="29" spans="1:10" ht="13" thickBot="1">
      <c r="A29" t="s">
        <v>18</v>
      </c>
      <c r="B29" s="7"/>
    </row>
    <row r="30" spans="1:10" ht="15" customHeight="1">
      <c r="A30" s="448" t="s">
        <v>610</v>
      </c>
      <c r="B30" s="447">
        <f>'Pricing - Basic'!C10</f>
        <v>0.45</v>
      </c>
      <c r="C30" s="446">
        <f>+B30</f>
        <v>0.45</v>
      </c>
      <c r="D30" s="4" t="s">
        <v>609</v>
      </c>
      <c r="F30" s="254"/>
    </row>
    <row r="31" spans="1:10" ht="15" customHeight="1">
      <c r="A31" t="s">
        <v>608</v>
      </c>
      <c r="B31" s="450"/>
      <c r="C31" s="449">
        <f>+B31</f>
        <v>0</v>
      </c>
    </row>
    <row r="32" spans="1:10" ht="15" customHeight="1" thickBot="1">
      <c r="A32" s="445" t="s">
        <v>607</v>
      </c>
      <c r="B32" s="444"/>
      <c r="C32" s="443">
        <f>+B32</f>
        <v>0</v>
      </c>
    </row>
    <row r="34" spans="1:10" ht="21" customHeight="1">
      <c r="A34" s="1080" t="s">
        <v>606</v>
      </c>
      <c r="B34" s="1081"/>
      <c r="C34" s="1081"/>
      <c r="D34" s="1082"/>
      <c r="E34" s="1082"/>
    </row>
    <row r="36" spans="1:10" ht="18">
      <c r="A36" s="18" t="s">
        <v>605</v>
      </c>
      <c r="B36" s="10"/>
      <c r="C36" s="10"/>
      <c r="D36" s="10"/>
      <c r="E36" s="10"/>
      <c r="F36" s="10"/>
      <c r="G36" s="10"/>
      <c r="H36" s="10"/>
      <c r="I36" s="413"/>
      <c r="J36" s="10"/>
    </row>
    <row r="37" spans="1:10" ht="13" thickBot="1"/>
    <row r="38" spans="1:10" ht="15" customHeight="1">
      <c r="A38" s="448" t="s">
        <v>604</v>
      </c>
      <c r="B38" s="447">
        <f>'Pricing - Basic'!C12</f>
        <v>0.2</v>
      </c>
      <c r="C38" s="446">
        <f>+B38</f>
        <v>0.2</v>
      </c>
      <c r="D38" s="4" t="str">
        <f>D30</f>
        <v>Note: in these sections, numbers &lt;1 are treated as percentages, and numbers &gt;1 are absolute amounts</v>
      </c>
    </row>
    <row r="39" spans="1:10" ht="15" customHeight="1" thickBot="1">
      <c r="A39" s="445" t="s">
        <v>603</v>
      </c>
      <c r="B39" s="444"/>
      <c r="C39" s="443">
        <f>+B39</f>
        <v>0</v>
      </c>
    </row>
    <row r="40" spans="1:10">
      <c r="A40" t="s">
        <v>602</v>
      </c>
      <c r="B40" s="7">
        <f>'Pricing - Basic'!C13</f>
        <v>0.23</v>
      </c>
    </row>
    <row r="42" spans="1:10" ht="21" customHeight="1">
      <c r="A42" s="1080" t="s">
        <v>601</v>
      </c>
      <c r="B42" s="1081"/>
      <c r="C42" s="1081"/>
      <c r="D42" s="1082"/>
      <c r="E42" s="1082"/>
    </row>
    <row r="45" spans="1:10" ht="18">
      <c r="A45" s="18" t="s">
        <v>600</v>
      </c>
      <c r="B45" s="10"/>
      <c r="C45" s="10"/>
      <c r="D45" s="10"/>
      <c r="E45" s="10"/>
      <c r="F45" s="10"/>
      <c r="G45" s="10"/>
      <c r="H45" s="10"/>
      <c r="I45" s="413"/>
      <c r="J45" s="10"/>
    </row>
    <row r="47" spans="1:10">
      <c r="A47" s="414"/>
      <c r="B47" s="411"/>
      <c r="C47" s="442" t="s">
        <v>599</v>
      </c>
      <c r="D47" s="441" t="s">
        <v>598</v>
      </c>
      <c r="E47" s="411"/>
      <c r="F47" s="440" t="s">
        <v>597</v>
      </c>
      <c r="G47" t="s">
        <v>596</v>
      </c>
    </row>
    <row r="48" spans="1:10">
      <c r="A48" s="405" t="s">
        <v>595</v>
      </c>
      <c r="B48" s="396"/>
      <c r="C48" s="396"/>
      <c r="D48" s="439"/>
      <c r="E48" s="416"/>
      <c r="F48" s="438"/>
      <c r="G48" t="s">
        <v>594</v>
      </c>
    </row>
    <row r="49" spans="1:8" ht="13" thickBot="1">
      <c r="A49" s="405" t="s">
        <v>593</v>
      </c>
      <c r="B49" s="396"/>
      <c r="C49" s="424" t="s">
        <v>17</v>
      </c>
      <c r="D49" s="426"/>
      <c r="E49" s="423" t="s">
        <v>17</v>
      </c>
      <c r="F49" s="425">
        <f>D49</f>
        <v>0</v>
      </c>
      <c r="G49" t="s">
        <v>592</v>
      </c>
    </row>
    <row r="50" spans="1:8" ht="14" thickTop="1">
      <c r="A50" s="417" t="s">
        <v>591</v>
      </c>
      <c r="B50" s="396"/>
      <c r="C50" s="424" t="s">
        <v>579</v>
      </c>
      <c r="D50" s="437">
        <f>D48*D49</f>
        <v>0</v>
      </c>
      <c r="E50" s="424" t="s">
        <v>579</v>
      </c>
      <c r="F50" s="436">
        <f>F48*F49</f>
        <v>0</v>
      </c>
      <c r="H50" s="4" t="str">
        <f>C14</f>
        <v>Months</v>
      </c>
    </row>
    <row r="51" spans="1:8">
      <c r="A51" s="408"/>
      <c r="B51" s="396"/>
      <c r="C51" s="396"/>
      <c r="D51" s="435"/>
      <c r="E51" s="416"/>
      <c r="F51" s="415"/>
    </row>
    <row r="52" spans="1:8">
      <c r="A52" s="405" t="s">
        <v>590</v>
      </c>
      <c r="B52" s="396"/>
      <c r="C52" s="396"/>
      <c r="D52" s="435">
        <f>D48</f>
        <v>0</v>
      </c>
      <c r="E52" s="416"/>
      <c r="F52" s="415">
        <f>F48</f>
        <v>0</v>
      </c>
    </row>
    <row r="53" spans="1:8" ht="13" thickBot="1">
      <c r="A53" s="405" t="s">
        <v>589</v>
      </c>
      <c r="B53" s="396"/>
      <c r="C53" s="424" t="s">
        <v>17</v>
      </c>
      <c r="D53" s="430"/>
      <c r="E53" s="424" t="s">
        <v>17</v>
      </c>
      <c r="F53" s="434">
        <f>D53</f>
        <v>0</v>
      </c>
    </row>
    <row r="54" spans="1:8" ht="13" thickTop="1">
      <c r="A54" s="405" t="s">
        <v>588</v>
      </c>
      <c r="B54" s="396"/>
      <c r="C54" s="424" t="s">
        <v>579</v>
      </c>
      <c r="D54" s="427">
        <f>D52*D53</f>
        <v>0</v>
      </c>
      <c r="E54" s="424" t="s">
        <v>579</v>
      </c>
      <c r="F54" s="433">
        <f>F52*F53</f>
        <v>0</v>
      </c>
    </row>
    <row r="55" spans="1:8">
      <c r="A55" s="405" t="s">
        <v>587</v>
      </c>
      <c r="B55" s="396"/>
      <c r="C55" s="424" t="s">
        <v>583</v>
      </c>
      <c r="D55" s="432"/>
      <c r="E55" s="424" t="s">
        <v>583</v>
      </c>
      <c r="F55" s="431"/>
    </row>
    <row r="56" spans="1:8">
      <c r="A56" s="405" t="s">
        <v>586</v>
      </c>
      <c r="B56" s="396"/>
      <c r="C56" s="424" t="s">
        <v>583</v>
      </c>
      <c r="D56" s="432"/>
      <c r="E56" s="424" t="s">
        <v>583</v>
      </c>
      <c r="F56" s="431"/>
    </row>
    <row r="57" spans="1:8">
      <c r="A57" s="405" t="s">
        <v>585</v>
      </c>
      <c r="B57" s="396"/>
      <c r="C57" s="424" t="s">
        <v>583</v>
      </c>
      <c r="D57" s="432"/>
      <c r="E57" s="424" t="s">
        <v>583</v>
      </c>
      <c r="F57" s="431"/>
    </row>
    <row r="58" spans="1:8">
      <c r="A58" s="405" t="s">
        <v>584</v>
      </c>
      <c r="B58" s="396"/>
      <c r="C58" s="424" t="s">
        <v>583</v>
      </c>
      <c r="D58" s="432"/>
      <c r="E58" s="424" t="s">
        <v>583</v>
      </c>
      <c r="F58" s="431"/>
    </row>
    <row r="59" spans="1:8" ht="13" thickBot="1">
      <c r="A59" s="430"/>
      <c r="B59" s="430"/>
      <c r="C59" s="424" t="s">
        <v>583</v>
      </c>
      <c r="D59" s="430"/>
      <c r="E59" s="424" t="s">
        <v>583</v>
      </c>
      <c r="F59" s="429"/>
    </row>
    <row r="60" spans="1:8" ht="13" thickTop="1">
      <c r="A60" s="428" t="s">
        <v>582</v>
      </c>
      <c r="B60" s="396"/>
      <c r="C60" s="424" t="s">
        <v>579</v>
      </c>
      <c r="D60" s="427">
        <f>SUM(D54:D59)</f>
        <v>0</v>
      </c>
      <c r="E60" s="424" t="s">
        <v>579</v>
      </c>
      <c r="F60" s="415">
        <f>SUM(F54:F59)</f>
        <v>0</v>
      </c>
    </row>
    <row r="61" spans="1:8" ht="13" thickBot="1">
      <c r="A61" s="405" t="s">
        <v>581</v>
      </c>
      <c r="B61" s="396"/>
      <c r="C61" s="424" t="s">
        <v>17</v>
      </c>
      <c r="D61" s="426"/>
      <c r="E61" s="423" t="s">
        <v>17</v>
      </c>
      <c r="F61" s="425">
        <f>D61</f>
        <v>0</v>
      </c>
    </row>
    <row r="62" spans="1:8" ht="14" thickTop="1">
      <c r="A62" s="417" t="s">
        <v>580</v>
      </c>
      <c r="B62" s="396"/>
      <c r="C62" s="424" t="s">
        <v>579</v>
      </c>
      <c r="D62" s="420">
        <f>D60*D61</f>
        <v>0</v>
      </c>
      <c r="E62" s="423" t="s">
        <v>579</v>
      </c>
      <c r="F62" s="418">
        <f>F60*F61</f>
        <v>0</v>
      </c>
    </row>
    <row r="63" spans="1:8">
      <c r="A63" s="408"/>
      <c r="B63" s="396"/>
      <c r="C63" s="396"/>
      <c r="D63" s="422"/>
      <c r="E63" s="419"/>
      <c r="F63" s="421"/>
    </row>
    <row r="64" spans="1:8" ht="13">
      <c r="A64" s="417" t="s">
        <v>578</v>
      </c>
      <c r="B64" s="396"/>
      <c r="C64" s="396"/>
      <c r="D64" s="420">
        <f>D62+D50</f>
        <v>0</v>
      </c>
      <c r="E64" s="419"/>
      <c r="F64" s="418">
        <f>F62+F50</f>
        <v>0</v>
      </c>
      <c r="G64" t="s">
        <v>577</v>
      </c>
    </row>
    <row r="65" spans="1:10" ht="13">
      <c r="A65" s="417" t="s">
        <v>576</v>
      </c>
      <c r="B65" s="396"/>
      <c r="C65" s="396"/>
      <c r="D65" s="416"/>
      <c r="E65" s="416"/>
      <c r="F65" s="415"/>
      <c r="G65" t="s">
        <v>575</v>
      </c>
    </row>
    <row r="66" spans="1:10">
      <c r="A66" s="414"/>
      <c r="B66" s="411"/>
      <c r="C66" s="411"/>
      <c r="D66" s="411"/>
      <c r="E66" s="411"/>
      <c r="F66" s="411"/>
    </row>
    <row r="67" spans="1:10" ht="21" customHeight="1">
      <c r="A67" s="1080" t="s">
        <v>574</v>
      </c>
      <c r="B67" s="1081"/>
      <c r="C67" s="1081"/>
      <c r="D67" s="1082"/>
      <c r="E67" s="1082"/>
    </row>
    <row r="69" spans="1:10" ht="18">
      <c r="A69" s="18" t="s">
        <v>573</v>
      </c>
      <c r="B69" s="10"/>
      <c r="C69" s="10"/>
      <c r="D69" s="10"/>
      <c r="E69" s="10"/>
      <c r="F69" s="10"/>
      <c r="G69" s="10"/>
      <c r="H69" s="10"/>
      <c r="I69" s="413"/>
      <c r="J69" s="10"/>
    </row>
    <row r="70" spans="1:10">
      <c r="A70" s="408"/>
      <c r="B70" s="397"/>
      <c r="C70" s="397"/>
      <c r="D70" s="397"/>
      <c r="E70" s="397"/>
      <c r="F70" s="397"/>
    </row>
    <row r="71" spans="1:10">
      <c r="A71" s="412" t="s">
        <v>572</v>
      </c>
      <c r="B71" s="411"/>
      <c r="C71" s="411"/>
      <c r="D71" s="411"/>
      <c r="E71" s="411"/>
      <c r="F71" s="410"/>
    </row>
    <row r="72" spans="1:10">
      <c r="A72" s="409" t="s">
        <v>571</v>
      </c>
      <c r="B72" s="396"/>
      <c r="C72" s="396"/>
      <c r="D72" s="396"/>
      <c r="E72" s="396"/>
      <c r="F72" s="407"/>
    </row>
    <row r="73" spans="1:10">
      <c r="A73" s="409" t="s">
        <v>570</v>
      </c>
      <c r="B73" s="396"/>
      <c r="C73" s="396"/>
      <c r="D73" s="396"/>
      <c r="E73" s="396"/>
      <c r="F73" s="407"/>
    </row>
    <row r="74" spans="1:10">
      <c r="A74" s="408"/>
      <c r="B74" s="396"/>
      <c r="C74" s="396"/>
      <c r="D74" s="396"/>
      <c r="E74" s="396"/>
      <c r="F74" s="407"/>
    </row>
    <row r="75" spans="1:10">
      <c r="A75" s="405" t="s">
        <v>569</v>
      </c>
      <c r="B75" s="396"/>
      <c r="C75" s="396"/>
      <c r="D75" s="396"/>
      <c r="E75" s="396"/>
      <c r="F75" s="406">
        <f>B12</f>
        <v>1000</v>
      </c>
    </row>
    <row r="76" spans="1:10" ht="13" thickBot="1">
      <c r="A76" s="405" t="s">
        <v>568</v>
      </c>
      <c r="B76" s="396"/>
      <c r="C76" s="396"/>
      <c r="D76" s="396"/>
      <c r="E76" s="396"/>
      <c r="F76" s="404"/>
    </row>
    <row r="77" spans="1:10" ht="13" thickTop="1">
      <c r="A77" s="403" t="s">
        <v>567</v>
      </c>
      <c r="B77" s="402"/>
      <c r="C77" s="402"/>
      <c r="D77" s="402"/>
      <c r="E77" s="402"/>
      <c r="F77" s="401">
        <f>F75*F76</f>
        <v>0</v>
      </c>
    </row>
    <row r="78" spans="1:10" ht="13">
      <c r="B78" s="396"/>
      <c r="C78" s="396"/>
      <c r="D78" s="396"/>
      <c r="E78" s="396"/>
      <c r="F78" s="400"/>
    </row>
    <row r="79" spans="1:10">
      <c r="B79" s="397"/>
      <c r="C79" s="397"/>
      <c r="D79" s="397"/>
      <c r="E79" s="397"/>
      <c r="F79" s="399"/>
      <c r="G79" s="254"/>
    </row>
    <row r="80" spans="1:10">
      <c r="B80" s="397"/>
      <c r="C80" s="397"/>
      <c r="D80" s="397"/>
      <c r="E80" s="397"/>
      <c r="F80" s="398"/>
      <c r="G80" s="254"/>
    </row>
    <row r="81" spans="1:7">
      <c r="A81" s="397"/>
      <c r="B81" s="397"/>
      <c r="C81" s="397"/>
      <c r="D81" s="397"/>
      <c r="E81" s="397"/>
      <c r="F81" s="397"/>
      <c r="G81" s="254"/>
    </row>
    <row r="82" spans="1:7">
      <c r="A82" s="396"/>
      <c r="B82" s="396"/>
      <c r="C82" s="396"/>
      <c r="D82" s="396"/>
      <c r="E82" s="396"/>
      <c r="F82" s="396"/>
    </row>
    <row r="83" spans="1:7" hidden="1">
      <c r="A83" t="b">
        <f>TRUE</f>
        <v>1</v>
      </c>
    </row>
    <row r="145" spans="1:5">
      <c r="A145" s="8">
        <v>1</v>
      </c>
      <c r="B145" t="s">
        <v>566</v>
      </c>
    </row>
    <row r="150" spans="1:5">
      <c r="D150" t="s">
        <v>15</v>
      </c>
      <c r="E150" t="s">
        <v>16</v>
      </c>
    </row>
    <row r="151" spans="1:5">
      <c r="C151" t="s">
        <v>7</v>
      </c>
      <c r="D151">
        <f>IF(A154=2,1,B14-B20)</f>
        <v>12</v>
      </c>
    </row>
    <row r="152" spans="1:5">
      <c r="C152" t="s">
        <v>4</v>
      </c>
      <c r="D152">
        <f>IF(A154=2,B14,1+B20)</f>
        <v>1</v>
      </c>
      <c r="E152">
        <f>IF(A145=2,B14,1+B21)</f>
        <v>1</v>
      </c>
    </row>
    <row r="154" spans="1:5">
      <c r="A154" s="8">
        <v>1</v>
      </c>
      <c r="B154" t="s">
        <v>25</v>
      </c>
    </row>
    <row r="155" spans="1:5">
      <c r="B155" t="s">
        <v>565</v>
      </c>
    </row>
    <row r="157" spans="1:5">
      <c r="A157" s="8">
        <f>IF('Pricing - Basic'!C8="Balance",2,1)</f>
        <v>2</v>
      </c>
      <c r="B157" t="s">
        <v>13</v>
      </c>
      <c r="E157" s="3" t="s">
        <v>564</v>
      </c>
    </row>
    <row r="158" spans="1:5">
      <c r="B158" t="s">
        <v>8</v>
      </c>
    </row>
    <row r="160" spans="1:5">
      <c r="A160" s="8">
        <v>1</v>
      </c>
      <c r="B160" t="s">
        <v>26</v>
      </c>
    </row>
    <row r="161" spans="1:6">
      <c r="B161" t="s">
        <v>563</v>
      </c>
    </row>
    <row r="164" spans="1:6">
      <c r="A164" s="8">
        <f>IF('Pricing - Basic'!D5="Weeks",1,3)</f>
        <v>3</v>
      </c>
      <c r="B164" t="s">
        <v>27</v>
      </c>
      <c r="D164" t="s">
        <v>19</v>
      </c>
      <c r="E164">
        <v>52</v>
      </c>
      <c r="F164">
        <v>4</v>
      </c>
    </row>
    <row r="165" spans="1:6">
      <c r="B165" t="s">
        <v>562</v>
      </c>
      <c r="D165" t="s">
        <v>561</v>
      </c>
      <c r="E165">
        <v>26</v>
      </c>
      <c r="F165">
        <v>2</v>
      </c>
    </row>
    <row r="166" spans="1:6">
      <c r="B166" t="s">
        <v>24</v>
      </c>
      <c r="D166" t="s">
        <v>20</v>
      </c>
      <c r="E166">
        <v>12</v>
      </c>
      <c r="F166">
        <v>1</v>
      </c>
    </row>
    <row r="168" spans="1:6">
      <c r="A168" s="8">
        <v>3</v>
      </c>
      <c r="B168" t="s">
        <v>560</v>
      </c>
      <c r="D168">
        <v>12</v>
      </c>
    </row>
    <row r="169" spans="1:6">
      <c r="B169" t="s">
        <v>559</v>
      </c>
      <c r="D169">
        <v>13</v>
      </c>
    </row>
    <row r="170" spans="1:6">
      <c r="B170" t="s">
        <v>558</v>
      </c>
      <c r="D170">
        <v>1</v>
      </c>
    </row>
    <row r="172" spans="1:6">
      <c r="A172" t="s">
        <v>10</v>
      </c>
      <c r="B172" s="9">
        <f>F25/INDEX(E164:E166,A164)</f>
        <v>3.3333333333333335E-3</v>
      </c>
    </row>
    <row r="175" spans="1:6">
      <c r="A175" t="s">
        <v>5</v>
      </c>
      <c r="B175" s="9">
        <f>(1+B27)^(1/INDEX(E164:E166,A164))-1</f>
        <v>0</v>
      </c>
    </row>
    <row r="177" spans="1:2">
      <c r="A177" s="6">
        <f>IF(A164=1,B40/52,IF(A164=2,B40/26,B40/12))</f>
        <v>1.9166666666666669E-2</v>
      </c>
      <c r="B177" t="s">
        <v>9</v>
      </c>
    </row>
  </sheetData>
  <sheetProtection password="DE0E" sheet="1" objects="1" scenarios="1" formatColumns="0"/>
  <mergeCells count="5">
    <mergeCell ref="A1:F1"/>
    <mergeCell ref="A67:E67"/>
    <mergeCell ref="A9:E9"/>
    <mergeCell ref="A34:E34"/>
    <mergeCell ref="A42:E42"/>
  </mergeCells>
  <phoneticPr fontId="6" type="noConversion"/>
  <conditionalFormatting sqref="A20">
    <cfRule type="expression" dxfId="1" priority="2" stopIfTrue="1">
      <formula>$A$154=2</formula>
    </cfRule>
  </conditionalFormatting>
  <conditionalFormatting sqref="B20:C20">
    <cfRule type="expression" dxfId="0" priority="1" stopIfTrue="1">
      <formula>$A$154=2</formula>
    </cfRule>
  </conditionalFormatting>
  <dataValidations count="26">
    <dataValidation allowBlank="1" showInputMessage="1" showErrorMessage="1" promptTitle="Hours for other activities" prompt="Enter approximate times the client must spend for each INSTALLMENT PERIOD during the loan. If this is a group loan, these activities may not be required for all members." sqref="F55:F59" xr:uid="{00000000-0002-0000-0C00-000000000000}"/>
    <dataValidation allowBlank="1" showInputMessage="1" showErrorMessage="1" promptTitle="Hours for rountrip" prompt="Enter the typical time spent in roundtrip transportation from the business/home to the office/bank" sqref="D53" xr:uid="{00000000-0002-0000-0C00-000001000000}"/>
    <dataValidation allowBlank="1" showInputMessage="1" showErrorMessage="1" promptTitle="Cost of roundtrip transportation" prompt="Enter the typical monetary cost of roundtrip transportation, eg, bus fare, for the client to travel to the office and/or bank" sqref="D49" xr:uid="{00000000-0002-0000-0C00-000002000000}"/>
    <dataValidation allowBlank="1" showInputMessage="1" showErrorMessage="1" promptTitle="Number of trips" prompt="Enter the number of trips the client typically makes each INSTALLMENT PERIOD. If this is a group loan, this duty may fall only on the group leader, or may rotate among members." sqref="F48" xr:uid="{00000000-0002-0000-0C00-000003000000}"/>
    <dataValidation allowBlank="1" showInputMessage="1" showErrorMessage="1" promptTitle="Number of trips" prompt="Enter the number of trips the client is expected to make from their business/home to the office or bank before receiving their loan." sqref="D48" xr:uid="{00000000-0002-0000-0C00-000004000000}"/>
    <dataValidation allowBlank="1" showInputMessage="1" showErrorMessage="1" promptTitle="Interest earned on savings" prompt="Enter the ANNUAL interest rate paid on compulsory savings. This interest is assumed payable at the very end of the loan for the purposes of the effective interest rate calculation." sqref="B40" xr:uid="{00000000-0002-0000-0C00-000005000000}"/>
    <dataValidation allowBlank="1" showInputMessage="1" showErrorMessage="1" promptTitle="Ongoing compulsory savings" prompt="Enter any compulsory savings requirement required to be made with each loan installment. Numbers &lt; 1.0 are percentages of the loan principal being repaid; numbers &gt; 1.0 represents a fixed savings amount." sqref="B39" xr:uid="{00000000-0002-0000-0C00-000006000000}"/>
    <dataValidation allowBlank="1" showInputMessage="1" showErrorMessage="1" promptTitle="Upfront compulsory savings" prompt="Enter any compulsory savings requirement required at the time of loan disbursment. This amount will be deducted from the loan amount in Month 0. Numbers &lt; 1.0 are percentages of the loan amount; numbers &gt; 1.0 represents a fixed savings amount." sqref="B38" xr:uid="{00000000-0002-0000-0C00-000007000000}"/>
    <dataValidation allowBlank="1" showInputMessage="1" showErrorMessage="1" promptTitle="Hours for other activities" prompt="Enter approximate times the client must spend in other activities BEFORE receiving a loan. The last line may be used for an optional description not included elsewhere." sqref="D55:D59" xr:uid="{00000000-0002-0000-0C00-000008000000}"/>
    <dataValidation allowBlank="1" showInputMessage="1" showErrorMessage="1" promptTitle="Hourly opportunity cost" prompt="Enter the client's approximate hourly opportunity cost for time lost from work. You can take the average daily income for the client divided by the number of hours worked in a day." sqref="D61" xr:uid="{00000000-0002-0000-0C00-000009000000}"/>
    <dataValidation allowBlank="1" showInputMessage="1" showErrorMessage="1" promptTitle="Upfront commission #2" prompt="Enter an upfront commission charged in Month 0 as loan is disbursed. Numbers &lt; 1.0 are percentages of loan amount; numbers &gt; 1.0 are fixed fees." sqref="B31" xr:uid="{00000000-0002-0000-0C00-00000A000000}"/>
    <dataValidation allowBlank="1" showInputMessage="1" showErrorMessage="1" promptTitle="Upfront commission #1" prompt="Enter an upfront commission charged in Month 0 as loan is disbursed. Numbers &lt; 1.0 are percentages of loan amount; numbers &gt; 1.0 are fixed fees." sqref="B30" xr:uid="{00000000-0002-0000-0C00-00000B000000}"/>
    <dataValidation allowBlank="1" showInputMessage="1" showErrorMessage="1" promptTitle="Inflation rate (annual)" prompt="Enter the annual inflation rate. This will be used for calculating REAL interest rates." sqref="B29" xr:uid="{00000000-0002-0000-0C00-00000C000000}"/>
    <dataValidation allowBlank="1" showInputMessage="1" showErrorMessage="1" promptTitle="Loan indexing rate (annual)" prompt="If the loan principal is indexed to an external rate (eg, inflation or an external currency), enter the ANNUAL percentage indexing here" sqref="B27:B28" xr:uid="{00000000-0002-0000-0C00-00000D000000}"/>
    <dataValidation allowBlank="1" showInputMessage="1" showErrorMessage="1" promptTitle="Interest rate method" prompt="Choose the appropriate interest rate method from the dropdown list" sqref="A26:E26" xr:uid="{00000000-0002-0000-0C00-00000E000000}"/>
    <dataValidation allowBlank="1" showInputMessage="1" showErrorMessage="1" promptTitle="Quoted interest rate" prompt="Enter the quoted rate and then choose the appropriate period from the dropdown list; note the difference between monthly interest and 4-week calculations" sqref="B25" xr:uid="{00000000-0002-0000-0C00-00000F000000}"/>
    <dataValidation allowBlank="1" showInputMessage="1" showErrorMessage="1" promptTitle="Grace period, int. calculations" prompt="Enter any grace period in interest calculations, or leave as 0" sqref="B22" xr:uid="{00000000-0002-0000-0C00-000010000000}"/>
    <dataValidation allowBlank="1" showInputMessage="1" showErrorMessage="1" promptTitle="Grace period, interest payments" prompt="Enter any grace period in interest payments, or leave as 0" sqref="B21" xr:uid="{00000000-0002-0000-0C00-000011000000}"/>
    <dataValidation allowBlank="1" showInputMessage="1" showErrorMessage="1" promptTitle="Grace period, capital" prompt="Enter any grace period for repayments of principal, or leave as 0" sqref="B20" xr:uid="{00000000-0002-0000-0C00-000012000000}"/>
    <dataValidation allowBlank="1" showInputMessage="1" showErrorMessage="1" promptTitle="Ongoing commission" prompt="Enter an ongoing commission to be charged each installment period. Numbers &lt; 1.0 are percentages of the principal installment; numbers &gt; 1.0 are fixed fees." sqref="B32" xr:uid="{00000000-0002-0000-0C00-000013000000}"/>
    <dataValidation allowBlank="1" showInputMessage="1" showErrorMessage="1" promptTitle="Amortized loan?" prompt="Principal can be repaid either in fixed installments, or it can be adjusted with each period so that the total payment of principal and interest remains constant, ie, &quot;amortized&quot;" sqref="A18:E18" xr:uid="{00000000-0002-0000-0C00-000014000000}"/>
    <dataValidation allowBlank="1" showInputMessage="1" showErrorMessage="1" promptTitle="Installment schedule, principal" prompt="Principal payments can either be in installments or a single payment at the end-of-term. Choosing end-of-term will block the grace period option below." sqref="A17:E17" xr:uid="{00000000-0002-0000-0C00-000015000000}"/>
    <dataValidation allowBlank="1" showInputMessage="1" showErrorMessage="1" promptTitle="Repayment frequency" prompt="Select the frequency of repayments from the dropdown list" sqref="A13:D13" xr:uid="{00000000-0002-0000-0C00-000016000000}"/>
    <dataValidation allowBlank="1" showInputMessage="1" showErrorMessage="1" promptTitle="Installment schedule, interest" prompt="Interest can be repaid in multiple installments or in a single installment at end-of-term" sqref="A19:E19" xr:uid="{00000000-0002-0000-0C00-000017000000}"/>
    <dataValidation allowBlank="1" showInputMessage="1" showErrorMessage="1" promptTitle="Loan amount" prompt="Enter the amount of the loan to be analyzed" sqref="B12" xr:uid="{00000000-0002-0000-0C00-000018000000}"/>
    <dataValidation type="whole" allowBlank="1" showInputMessage="1" showErrorMessage="1" errorTitle="Invalid number" error="Number of installments must be between 1 and 52.  (The repayment schedule does not support more than 52 installments.)" promptTitle="Number of installment periods" prompt="Enter the number of installment periods until the loan is completely repaid. Use the installment period indicated above. Maximum periods is 120. Include grace periods as installments." sqref="B14" xr:uid="{00000000-0002-0000-0C00-000019000000}">
      <formula1>1</formula1>
      <formula2>120</formula2>
    </dataValidation>
  </dataValidations>
  <pageMargins left="0.75" right="0.75" top="1" bottom="1" header="0.5" footer="0.5"/>
  <pageSetup scale="90" fitToHeight="9" orientation="portrait" horizontalDpi="4294967292"/>
  <drawing r:id="rId1"/>
  <legacyDrawing r:id="rId2"/>
  <mc:AlternateContent xmlns:mc="http://schemas.openxmlformats.org/markup-compatibility/2006">
    <mc:Choice Requires="x14">
      <controls>
        <mc:AlternateContent xmlns:mc="http://schemas.openxmlformats.org/markup-compatibility/2006">
          <mc:Choice Requires="x14">
            <control shapeId="2856961" r:id="rId3" name="Drop Down 1">
              <controlPr defaultSize="0" autoFill="0" autoLine="0" autoPict="0">
                <anchor moveWithCells="1">
                  <from>
                    <xdr:col>2</xdr:col>
                    <xdr:colOff>25400</xdr:colOff>
                    <xdr:row>25</xdr:row>
                    <xdr:rowOff>0</xdr:rowOff>
                  </from>
                  <to>
                    <xdr:col>4</xdr:col>
                    <xdr:colOff>228600</xdr:colOff>
                    <xdr:row>26</xdr:row>
                    <xdr:rowOff>0</xdr:rowOff>
                  </to>
                </anchor>
              </controlPr>
            </control>
          </mc:Choice>
        </mc:AlternateContent>
        <mc:AlternateContent xmlns:mc="http://schemas.openxmlformats.org/markup-compatibility/2006">
          <mc:Choice Requires="x14">
            <control shapeId="2856962" r:id="rId4" name="Drop Down 2">
              <controlPr defaultSize="0" autoFill="0" autoLine="0" autoPict="0">
                <anchor moveWithCells="1">
                  <from>
                    <xdr:col>1</xdr:col>
                    <xdr:colOff>0</xdr:colOff>
                    <xdr:row>12</xdr:row>
                    <xdr:rowOff>0</xdr:rowOff>
                  </from>
                  <to>
                    <xdr:col>2</xdr:col>
                    <xdr:colOff>749300</xdr:colOff>
                    <xdr:row>13</xdr:row>
                    <xdr:rowOff>25400</xdr:rowOff>
                  </to>
                </anchor>
              </controlPr>
            </control>
          </mc:Choice>
        </mc:AlternateContent>
        <mc:AlternateContent xmlns:mc="http://schemas.openxmlformats.org/markup-compatibility/2006">
          <mc:Choice Requires="x14">
            <control shapeId="2856963" r:id="rId5" name="Drop Down 3">
              <controlPr defaultSize="0" autoFill="0" autoLine="0" autoPict="0">
                <anchor moveWithCells="1">
                  <from>
                    <xdr:col>1</xdr:col>
                    <xdr:colOff>12700</xdr:colOff>
                    <xdr:row>16</xdr:row>
                    <xdr:rowOff>12700</xdr:rowOff>
                  </from>
                  <to>
                    <xdr:col>3</xdr:col>
                    <xdr:colOff>596900</xdr:colOff>
                    <xdr:row>17</xdr:row>
                    <xdr:rowOff>25400</xdr:rowOff>
                  </to>
                </anchor>
              </controlPr>
            </control>
          </mc:Choice>
        </mc:AlternateContent>
        <mc:AlternateContent xmlns:mc="http://schemas.openxmlformats.org/markup-compatibility/2006">
          <mc:Choice Requires="x14">
            <control shapeId="2856964" r:id="rId6" name="Drop Down 4">
              <controlPr defaultSize="0" autoFill="0" autoLine="0" autoPict="0">
                <anchor moveWithCells="1">
                  <from>
                    <xdr:col>1</xdr:col>
                    <xdr:colOff>12700</xdr:colOff>
                    <xdr:row>17</xdr:row>
                    <xdr:rowOff>0</xdr:rowOff>
                  </from>
                  <to>
                    <xdr:col>3</xdr:col>
                    <xdr:colOff>596900</xdr:colOff>
                    <xdr:row>18</xdr:row>
                    <xdr:rowOff>25400</xdr:rowOff>
                  </to>
                </anchor>
              </controlPr>
            </control>
          </mc:Choice>
        </mc:AlternateContent>
        <mc:AlternateContent xmlns:mc="http://schemas.openxmlformats.org/markup-compatibility/2006">
          <mc:Choice Requires="x14">
            <control shapeId="2856965" r:id="rId7" name="Drop Down 5">
              <controlPr defaultSize="0" autoFill="0" autoLine="0" autoPict="0">
                <anchor moveWithCells="1">
                  <from>
                    <xdr:col>2</xdr:col>
                    <xdr:colOff>12700</xdr:colOff>
                    <xdr:row>24</xdr:row>
                    <xdr:rowOff>0</xdr:rowOff>
                  </from>
                  <to>
                    <xdr:col>4</xdr:col>
                    <xdr:colOff>228600</xdr:colOff>
                    <xdr:row>25</xdr:row>
                    <xdr:rowOff>0</xdr:rowOff>
                  </to>
                </anchor>
              </controlPr>
            </control>
          </mc:Choice>
        </mc:AlternateContent>
        <mc:AlternateContent xmlns:mc="http://schemas.openxmlformats.org/markup-compatibility/2006">
          <mc:Choice Requires="x14">
            <control shapeId="2856966" r:id="rId8" name="Drop Down 6">
              <controlPr defaultSize="0" autoFill="0" autoLine="0" autoPict="0">
                <anchor moveWithCells="1">
                  <from>
                    <xdr:col>1</xdr:col>
                    <xdr:colOff>12700</xdr:colOff>
                    <xdr:row>18</xdr:row>
                    <xdr:rowOff>12700</xdr:rowOff>
                  </from>
                  <to>
                    <xdr:col>3</xdr:col>
                    <xdr:colOff>596900</xdr:colOff>
                    <xdr:row>19</xdr:row>
                    <xdr:rowOff>25400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ranslate"/>
  <dimension ref="A1:K265"/>
  <sheetViews>
    <sheetView workbookViewId="0">
      <pane xSplit="3" ySplit="2" topLeftCell="D235" activePane="bottomRight" state="frozen"/>
      <selection pane="topRight" activeCell="D1" sqref="D1"/>
      <selection pane="bottomLeft" activeCell="A3" sqref="A3"/>
      <selection pane="bottomRight" activeCell="D254" sqref="D254"/>
    </sheetView>
  </sheetViews>
  <sheetFormatPr baseColWidth="10" defaultColWidth="9.19921875" defaultRowHeight="12"/>
  <cols>
    <col min="1" max="1" width="9.19921875" style="194" customWidth="1"/>
    <col min="2" max="2" width="6.19921875" style="192" customWidth="1"/>
    <col min="3" max="3" width="1" style="194" customWidth="1"/>
    <col min="4" max="4" width="36.796875" style="500" customWidth="1"/>
    <col min="5" max="5" width="36.796875" style="194" customWidth="1"/>
    <col min="6" max="7" width="36.3984375" style="194" customWidth="1"/>
    <col min="8" max="8" width="35.796875" style="194" customWidth="1"/>
    <col min="11" max="11" width="36.3984375" style="194" customWidth="1"/>
  </cols>
  <sheetData>
    <row r="1" spans="1:11" ht="16">
      <c r="D1" s="556">
        <v>1</v>
      </c>
      <c r="E1" s="557">
        <v>2</v>
      </c>
      <c r="F1" s="557">
        <v>3</v>
      </c>
      <c r="G1" s="557">
        <v>4</v>
      </c>
      <c r="H1" s="557">
        <v>5</v>
      </c>
      <c r="K1" s="557">
        <v>3</v>
      </c>
    </row>
    <row r="2" spans="1:11" ht="14">
      <c r="A2" s="197" t="s">
        <v>241</v>
      </c>
      <c r="B2" s="198" t="s">
        <v>242</v>
      </c>
      <c r="D2" s="558" t="s">
        <v>210</v>
      </c>
      <c r="E2" s="197" t="s">
        <v>211</v>
      </c>
      <c r="F2" s="197" t="s">
        <v>475</v>
      </c>
      <c r="G2" s="197" t="s">
        <v>1169</v>
      </c>
      <c r="H2" s="197" t="s">
        <v>240</v>
      </c>
      <c r="K2" s="197" t="s">
        <v>254</v>
      </c>
    </row>
    <row r="3" spans="1:11" ht="24">
      <c r="A3" s="189" t="str">
        <f t="shared" ref="A3:A69" si="0">IF(INDEX(LangText,B3,LangCode)&lt;&gt;0,INDEX(LangText,B3,LangCode),D3)</f>
        <v>Calculation of Transparent Pricing</v>
      </c>
      <c r="B3" s="191">
        <f>ROW(A3)-ROW($B$2)</f>
        <v>1</v>
      </c>
      <c r="D3" s="501" t="s">
        <v>664</v>
      </c>
      <c r="E3" s="195" t="s">
        <v>965</v>
      </c>
      <c r="F3" s="195" t="s">
        <v>870</v>
      </c>
      <c r="G3" s="195" t="s">
        <v>1170</v>
      </c>
      <c r="H3" s="200"/>
      <c r="K3" s="195" t="s">
        <v>375</v>
      </c>
    </row>
    <row r="4" spans="1:11" ht="13">
      <c r="A4" s="189" t="str">
        <f t="shared" si="0"/>
        <v>Basic Loan Conditions</v>
      </c>
      <c r="B4" s="191">
        <f t="shared" ref="B4:B70" si="1">ROW(A4)-ROW($B$2)</f>
        <v>2</v>
      </c>
      <c r="D4" s="500" t="s">
        <v>62</v>
      </c>
      <c r="E4" s="195" t="s">
        <v>966</v>
      </c>
      <c r="F4" s="195" t="s">
        <v>871</v>
      </c>
      <c r="G4" s="195" t="s">
        <v>1171</v>
      </c>
      <c r="H4" s="200"/>
      <c r="K4" s="195" t="s">
        <v>274</v>
      </c>
    </row>
    <row r="5" spans="1:11" ht="13">
      <c r="A5" s="189" t="str">
        <f>IF(INDEX(LangText,B5,LangCode)&lt;&gt;0,INDEX(LangText,B5,LangCode),D5)</f>
        <v>Loan Amount:</v>
      </c>
      <c r="B5" s="191">
        <f t="shared" si="1"/>
        <v>3</v>
      </c>
      <c r="D5" s="500" t="s">
        <v>259</v>
      </c>
      <c r="E5" s="195" t="s">
        <v>260</v>
      </c>
      <c r="F5" s="195" t="s">
        <v>872</v>
      </c>
      <c r="G5" s="195" t="s">
        <v>1172</v>
      </c>
      <c r="H5" s="200"/>
      <c r="K5" s="195" t="s">
        <v>275</v>
      </c>
    </row>
    <row r="6" spans="1:11" ht="13">
      <c r="A6" s="189" t="str">
        <f t="shared" si="0"/>
        <v>Amortization:</v>
      </c>
      <c r="B6" s="191">
        <f t="shared" si="1"/>
        <v>4</v>
      </c>
      <c r="D6" s="500" t="s">
        <v>152</v>
      </c>
      <c r="E6" s="195" t="s">
        <v>212</v>
      </c>
      <c r="F6" s="195" t="s">
        <v>476</v>
      </c>
      <c r="G6" s="195" t="s">
        <v>1173</v>
      </c>
      <c r="H6" s="200"/>
      <c r="K6" s="195" t="s">
        <v>276</v>
      </c>
    </row>
    <row r="7" spans="1:11" ht="13">
      <c r="A7" s="189" t="str">
        <f t="shared" si="0"/>
        <v>Equal principal payments</v>
      </c>
      <c r="B7" s="191">
        <f t="shared" si="1"/>
        <v>5</v>
      </c>
      <c r="D7" s="500" t="s">
        <v>26</v>
      </c>
      <c r="E7" s="195" t="s">
        <v>967</v>
      </c>
      <c r="F7" s="195" t="s">
        <v>477</v>
      </c>
      <c r="G7" s="195" t="s">
        <v>1174</v>
      </c>
      <c r="H7" s="200"/>
      <c r="K7" s="195" t="s">
        <v>277</v>
      </c>
    </row>
    <row r="8" spans="1:11" ht="13">
      <c r="A8" s="189" t="str">
        <f t="shared" si="0"/>
        <v>Equal installments (amortized)</v>
      </c>
      <c r="B8" s="191">
        <f t="shared" si="1"/>
        <v>6</v>
      </c>
      <c r="D8" s="500" t="s">
        <v>154</v>
      </c>
      <c r="E8" s="195" t="s">
        <v>213</v>
      </c>
      <c r="F8" s="195" t="s">
        <v>873</v>
      </c>
      <c r="G8" s="195" t="s">
        <v>1175</v>
      </c>
      <c r="H8" s="200"/>
      <c r="K8" s="195" t="s">
        <v>278</v>
      </c>
    </row>
    <row r="9" spans="1:11" ht="24">
      <c r="A9" s="189" t="str">
        <f t="shared" si="0"/>
        <v>Single end-term principal payment</v>
      </c>
      <c r="B9" s="191">
        <f t="shared" si="1"/>
        <v>7</v>
      </c>
      <c r="D9" s="500" t="s">
        <v>181</v>
      </c>
      <c r="E9" s="195" t="s">
        <v>968</v>
      </c>
      <c r="F9" s="195" t="s">
        <v>874</v>
      </c>
      <c r="G9" s="195" t="s">
        <v>1352</v>
      </c>
      <c r="H9" s="200"/>
      <c r="K9" s="195" t="s">
        <v>279</v>
      </c>
    </row>
    <row r="10" spans="1:11" ht="13">
      <c r="A10" s="189" t="str">
        <f t="shared" si="0"/>
        <v>Interest:</v>
      </c>
      <c r="B10" s="191">
        <f t="shared" si="1"/>
        <v>8</v>
      </c>
      <c r="D10" s="500" t="s">
        <v>153</v>
      </c>
      <c r="E10" s="195" t="s">
        <v>214</v>
      </c>
      <c r="F10" s="195" t="s">
        <v>478</v>
      </c>
      <c r="G10" s="195" t="s">
        <v>1176</v>
      </c>
      <c r="H10" s="200"/>
      <c r="K10" s="195" t="s">
        <v>280</v>
      </c>
    </row>
    <row r="11" spans="1:11" ht="13">
      <c r="A11" s="189" t="str">
        <f t="shared" si="0"/>
        <v>Multiple installments</v>
      </c>
      <c r="B11" s="191">
        <f t="shared" si="1"/>
        <v>9</v>
      </c>
      <c r="D11" s="500" t="s">
        <v>25</v>
      </c>
      <c r="E11" s="195" t="s">
        <v>215</v>
      </c>
      <c r="F11" s="195" t="s">
        <v>479</v>
      </c>
      <c r="G11" s="195" t="s">
        <v>1177</v>
      </c>
      <c r="H11" s="200"/>
      <c r="K11" s="195" t="s">
        <v>281</v>
      </c>
    </row>
    <row r="12" spans="1:11" ht="13">
      <c r="A12" s="189" t="str">
        <f t="shared" si="0"/>
        <v>Single end-term payment</v>
      </c>
      <c r="B12" s="191">
        <f t="shared" si="1"/>
        <v>10</v>
      </c>
      <c r="D12" s="500" t="s">
        <v>200</v>
      </c>
      <c r="E12" s="195" t="s">
        <v>969</v>
      </c>
      <c r="F12" s="195" t="s">
        <v>875</v>
      </c>
      <c r="G12" s="195" t="s">
        <v>1178</v>
      </c>
      <c r="H12" s="200"/>
      <c r="K12" s="195" t="s">
        <v>279</v>
      </c>
    </row>
    <row r="13" spans="1:11" ht="13">
      <c r="A13" s="189" t="str">
        <f t="shared" si="0"/>
        <v>Term &amp; Repay Freq.</v>
      </c>
      <c r="B13" s="191">
        <f t="shared" si="1"/>
        <v>11</v>
      </c>
      <c r="D13" s="500" t="s">
        <v>59</v>
      </c>
      <c r="E13" s="195" t="s">
        <v>216</v>
      </c>
      <c r="F13" s="195" t="s">
        <v>876</v>
      </c>
      <c r="G13" s="195" t="s">
        <v>1179</v>
      </c>
      <c r="H13" s="200"/>
      <c r="K13" s="195" t="s">
        <v>282</v>
      </c>
    </row>
    <row r="14" spans="1:11" ht="13">
      <c r="A14" s="189" t="str">
        <f t="shared" si="0"/>
        <v>Days</v>
      </c>
      <c r="B14" s="191">
        <f t="shared" si="1"/>
        <v>12</v>
      </c>
      <c r="D14" s="500" t="s">
        <v>139</v>
      </c>
      <c r="E14" s="195" t="s">
        <v>970</v>
      </c>
      <c r="F14" s="195" t="s">
        <v>480</v>
      </c>
      <c r="G14" s="195" t="s">
        <v>970</v>
      </c>
      <c r="H14" s="200"/>
      <c r="K14" s="195" t="s">
        <v>376</v>
      </c>
    </row>
    <row r="15" spans="1:11" ht="13">
      <c r="A15" s="189" t="str">
        <f t="shared" si="0"/>
        <v>Weeks</v>
      </c>
      <c r="B15" s="191">
        <f t="shared" si="1"/>
        <v>13</v>
      </c>
      <c r="D15" s="500" t="s">
        <v>19</v>
      </c>
      <c r="E15" s="195" t="s">
        <v>971</v>
      </c>
      <c r="F15" s="195" t="s">
        <v>481</v>
      </c>
      <c r="G15" s="195" t="s">
        <v>971</v>
      </c>
      <c r="H15" s="200"/>
      <c r="K15" s="195" t="s">
        <v>377</v>
      </c>
    </row>
    <row r="16" spans="1:11" ht="13">
      <c r="A16" s="189" t="str">
        <f t="shared" si="0"/>
        <v>2-wk periods</v>
      </c>
      <c r="B16" s="191">
        <f t="shared" si="1"/>
        <v>14</v>
      </c>
      <c r="D16" s="500" t="s">
        <v>182</v>
      </c>
      <c r="E16" s="195" t="s">
        <v>972</v>
      </c>
      <c r="F16" s="195" t="s">
        <v>482</v>
      </c>
      <c r="G16" s="195" t="s">
        <v>1180</v>
      </c>
      <c r="H16" s="200"/>
      <c r="K16" s="195" t="s">
        <v>378</v>
      </c>
    </row>
    <row r="17" spans="1:11" ht="13">
      <c r="A17" s="189" t="str">
        <f>IF(INDEX(LangText,B17,LangCode)&lt;&gt;0,INDEX(LangText,B17,LangCode),D17)</f>
        <v>4-wk periods</v>
      </c>
      <c r="B17" s="191">
        <f>ROW(A17)-ROW($B$2)</f>
        <v>15</v>
      </c>
      <c r="D17" s="501" t="s">
        <v>365</v>
      </c>
      <c r="E17" s="195" t="s">
        <v>461</v>
      </c>
      <c r="F17" s="195" t="s">
        <v>483</v>
      </c>
      <c r="G17" s="195" t="s">
        <v>1181</v>
      </c>
      <c r="H17" s="200"/>
      <c r="K17" s="195"/>
    </row>
    <row r="18" spans="1:11" ht="13">
      <c r="A18" s="189" t="str">
        <f t="shared" si="0"/>
        <v>Months</v>
      </c>
      <c r="B18" s="191">
        <f t="shared" si="1"/>
        <v>16</v>
      </c>
      <c r="D18" s="500" t="s">
        <v>20</v>
      </c>
      <c r="E18" s="195" t="s">
        <v>973</v>
      </c>
      <c r="F18" s="195" t="s">
        <v>484</v>
      </c>
      <c r="G18" s="195" t="s">
        <v>973</v>
      </c>
      <c r="H18" s="200"/>
      <c r="K18" s="195" t="s">
        <v>284</v>
      </c>
    </row>
    <row r="19" spans="1:11" ht="13">
      <c r="A19" s="189" t="str">
        <f t="shared" si="0"/>
        <v>Quarters</v>
      </c>
      <c r="B19" s="191">
        <f t="shared" si="1"/>
        <v>17</v>
      </c>
      <c r="D19" s="500" t="s">
        <v>138</v>
      </c>
      <c r="E19" s="195" t="s">
        <v>485</v>
      </c>
      <c r="F19" s="195" t="s">
        <v>485</v>
      </c>
      <c r="G19" s="195" t="s">
        <v>485</v>
      </c>
      <c r="H19" s="200"/>
      <c r="K19" s="195" t="s">
        <v>379</v>
      </c>
    </row>
    <row r="20" spans="1:11" ht="13">
      <c r="A20" s="189" t="str">
        <f t="shared" si="0"/>
        <v>Half-years</v>
      </c>
      <c r="B20" s="191">
        <f t="shared" si="1"/>
        <v>18</v>
      </c>
      <c r="D20" s="500" t="s">
        <v>193</v>
      </c>
      <c r="E20" s="195" t="s">
        <v>974</v>
      </c>
      <c r="F20" s="195" t="s">
        <v>486</v>
      </c>
      <c r="G20" s="195" t="s">
        <v>974</v>
      </c>
      <c r="H20" s="200"/>
      <c r="K20" s="195" t="s">
        <v>285</v>
      </c>
    </row>
    <row r="21" spans="1:11" ht="13">
      <c r="A21" s="189" t="str">
        <f t="shared" si="0"/>
        <v>Years</v>
      </c>
      <c r="B21" s="191">
        <f t="shared" si="1"/>
        <v>19</v>
      </c>
      <c r="D21" s="500" t="s">
        <v>192</v>
      </c>
      <c r="E21" s="195" t="s">
        <v>975</v>
      </c>
      <c r="F21" s="195" t="s">
        <v>487</v>
      </c>
      <c r="G21" s="195" t="s">
        <v>1182</v>
      </c>
      <c r="H21" s="200"/>
      <c r="K21" s="195" t="s">
        <v>380</v>
      </c>
    </row>
    <row r="22" spans="1:11" ht="13">
      <c r="A22" s="189" t="str">
        <f t="shared" si="0"/>
        <v>Capital</v>
      </c>
      <c r="B22" s="191">
        <f t="shared" si="1"/>
        <v>20</v>
      </c>
      <c r="D22" s="500" t="s">
        <v>146</v>
      </c>
      <c r="E22" s="195" t="s">
        <v>146</v>
      </c>
      <c r="F22" s="195" t="s">
        <v>146</v>
      </c>
      <c r="G22" s="195" t="s">
        <v>146</v>
      </c>
      <c r="H22" s="200"/>
      <c r="K22" s="195" t="s">
        <v>286</v>
      </c>
    </row>
    <row r="23" spans="1:11" ht="13">
      <c r="A23" s="189" t="str">
        <f t="shared" si="0"/>
        <v>Int Pmt</v>
      </c>
      <c r="B23" s="191">
        <f t="shared" si="1"/>
        <v>21</v>
      </c>
      <c r="D23" s="500" t="s">
        <v>147</v>
      </c>
      <c r="E23" s="195" t="s">
        <v>243</v>
      </c>
      <c r="F23" s="195" t="s">
        <v>708</v>
      </c>
      <c r="G23" s="195" t="s">
        <v>1355</v>
      </c>
      <c r="H23" s="200"/>
      <c r="K23" s="195" t="s">
        <v>287</v>
      </c>
    </row>
    <row r="24" spans="1:11" ht="13">
      <c r="A24" s="189" t="str">
        <f t="shared" si="0"/>
        <v>Int Calc</v>
      </c>
      <c r="B24" s="191">
        <f t="shared" si="1"/>
        <v>22</v>
      </c>
      <c r="D24" s="500" t="s">
        <v>148</v>
      </c>
      <c r="E24" s="195" t="s">
        <v>244</v>
      </c>
      <c r="F24" s="195" t="s">
        <v>488</v>
      </c>
      <c r="G24" s="195" t="s">
        <v>1356</v>
      </c>
      <c r="H24" s="200"/>
      <c r="K24" s="195" t="s">
        <v>288</v>
      </c>
    </row>
    <row r="25" spans="1:11" ht="13">
      <c r="A25" s="189" t="str">
        <f t="shared" si="0"/>
        <v>Days/per (t):</v>
      </c>
      <c r="B25" s="191">
        <f t="shared" si="1"/>
        <v>23</v>
      </c>
      <c r="D25" s="500" t="s">
        <v>749</v>
      </c>
      <c r="E25" s="195" t="s">
        <v>750</v>
      </c>
      <c r="F25" s="195" t="s">
        <v>877</v>
      </c>
      <c r="G25" s="195" t="s">
        <v>1183</v>
      </c>
      <c r="H25" s="200"/>
      <c r="K25" s="195" t="s">
        <v>751</v>
      </c>
    </row>
    <row r="26" spans="1:11" ht="13">
      <c r="A26" s="189" t="str">
        <f t="shared" si="0"/>
        <v>Grace or Prepay</v>
      </c>
      <c r="B26" s="191">
        <f t="shared" si="1"/>
        <v>24</v>
      </c>
      <c r="D26" s="594" t="s">
        <v>756</v>
      </c>
      <c r="E26" s="195" t="s">
        <v>976</v>
      </c>
      <c r="F26" s="195" t="s">
        <v>878</v>
      </c>
      <c r="G26" s="195" t="s">
        <v>1354</v>
      </c>
      <c r="H26" s="200"/>
      <c r="K26" s="195" t="s">
        <v>289</v>
      </c>
    </row>
    <row r="27" spans="1:11" ht="13">
      <c r="A27" s="189" t="str">
        <f t="shared" si="0"/>
        <v>Daily</v>
      </c>
      <c r="B27" s="191">
        <f t="shared" si="1"/>
        <v>25</v>
      </c>
      <c r="D27" s="500" t="s">
        <v>142</v>
      </c>
      <c r="E27" s="195" t="s">
        <v>217</v>
      </c>
      <c r="F27" s="195" t="s">
        <v>879</v>
      </c>
      <c r="G27" s="195" t="s">
        <v>1184</v>
      </c>
      <c r="H27" s="200"/>
      <c r="K27" s="195" t="s">
        <v>290</v>
      </c>
    </row>
    <row r="28" spans="1:11" ht="13">
      <c r="A28" s="189" t="str">
        <f t="shared" si="0"/>
        <v>Weekly</v>
      </c>
      <c r="B28" s="191">
        <f t="shared" si="1"/>
        <v>26</v>
      </c>
      <c r="D28" s="500" t="s">
        <v>27</v>
      </c>
      <c r="E28" s="195" t="s">
        <v>218</v>
      </c>
      <c r="F28" s="195" t="s">
        <v>880</v>
      </c>
      <c r="G28" s="195" t="s">
        <v>218</v>
      </c>
      <c r="H28" s="200"/>
      <c r="K28" s="195" t="s">
        <v>291</v>
      </c>
    </row>
    <row r="29" spans="1:11" ht="13">
      <c r="A29" s="189" t="str">
        <f t="shared" si="0"/>
        <v>Bi-weekly</v>
      </c>
      <c r="B29" s="191">
        <f t="shared" si="1"/>
        <v>27</v>
      </c>
      <c r="D29" s="500" t="s">
        <v>141</v>
      </c>
      <c r="E29" s="195" t="s">
        <v>219</v>
      </c>
      <c r="F29" s="195" t="s">
        <v>491</v>
      </c>
      <c r="G29" s="195" t="s">
        <v>1185</v>
      </c>
      <c r="H29" s="200"/>
      <c r="K29" s="195" t="s">
        <v>283</v>
      </c>
    </row>
    <row r="30" spans="1:11" ht="13">
      <c r="A30" s="189" t="str">
        <f>IF(INDEX(LangText,B30,LangCode)&lt;&gt;0,INDEX(LangText,B30,LangCode),D30)</f>
        <v>Every four weeks</v>
      </c>
      <c r="B30" s="191">
        <f>ROW(A30)-ROW($B$2)</f>
        <v>28</v>
      </c>
      <c r="D30" s="501" t="s">
        <v>366</v>
      </c>
      <c r="E30" s="195" t="s">
        <v>977</v>
      </c>
      <c r="F30" s="195" t="s">
        <v>492</v>
      </c>
      <c r="G30" s="195" t="s">
        <v>1186</v>
      </c>
      <c r="H30" s="200"/>
      <c r="K30" s="195"/>
    </row>
    <row r="31" spans="1:11" ht="13">
      <c r="A31" s="189" t="str">
        <f t="shared" si="0"/>
        <v>Monthly</v>
      </c>
      <c r="B31" s="191">
        <f t="shared" si="1"/>
        <v>29</v>
      </c>
      <c r="D31" s="500" t="s">
        <v>24</v>
      </c>
      <c r="E31" s="195" t="s">
        <v>220</v>
      </c>
      <c r="F31" s="195" t="s">
        <v>493</v>
      </c>
      <c r="G31" s="195" t="s">
        <v>1187</v>
      </c>
      <c r="H31" s="200"/>
      <c r="K31" s="195" t="s">
        <v>292</v>
      </c>
    </row>
    <row r="32" spans="1:11" ht="13">
      <c r="A32" s="189" t="str">
        <f t="shared" si="0"/>
        <v>Quarterly</v>
      </c>
      <c r="B32" s="191">
        <f t="shared" si="1"/>
        <v>30</v>
      </c>
      <c r="D32" s="500" t="s">
        <v>140</v>
      </c>
      <c r="E32" s="195" t="s">
        <v>221</v>
      </c>
      <c r="F32" s="195" t="s">
        <v>494</v>
      </c>
      <c r="G32" s="195" t="s">
        <v>221</v>
      </c>
      <c r="H32" s="200"/>
      <c r="K32" s="195" t="s">
        <v>293</v>
      </c>
    </row>
    <row r="33" spans="1:11" ht="13">
      <c r="A33" s="189" t="str">
        <f t="shared" si="0"/>
        <v>Semi-annually</v>
      </c>
      <c r="B33" s="191">
        <f t="shared" si="1"/>
        <v>31</v>
      </c>
      <c r="D33" s="500" t="s">
        <v>190</v>
      </c>
      <c r="E33" s="195" t="s">
        <v>222</v>
      </c>
      <c r="F33" s="195" t="s">
        <v>881</v>
      </c>
      <c r="G33" s="195" t="s">
        <v>222</v>
      </c>
      <c r="H33" s="200"/>
      <c r="K33" s="195" t="s">
        <v>294</v>
      </c>
    </row>
    <row r="34" spans="1:11" ht="13">
      <c r="A34" s="189" t="str">
        <f t="shared" si="0"/>
        <v>Annually</v>
      </c>
      <c r="B34" s="191">
        <f t="shared" si="1"/>
        <v>32</v>
      </c>
      <c r="D34" s="500" t="s">
        <v>191</v>
      </c>
      <c r="E34" s="195" t="s">
        <v>223</v>
      </c>
      <c r="F34" s="195" t="s">
        <v>495</v>
      </c>
      <c r="G34" s="195" t="s">
        <v>1188</v>
      </c>
      <c r="H34" s="200"/>
      <c r="K34" s="195" t="s">
        <v>295</v>
      </c>
    </row>
    <row r="35" spans="1:11" ht="13">
      <c r="A35" s="189" t="str">
        <f t="shared" si="0"/>
        <v>Per/Yr (n):</v>
      </c>
      <c r="B35" s="191">
        <f t="shared" si="1"/>
        <v>33</v>
      </c>
      <c r="D35" s="500" t="s">
        <v>752</v>
      </c>
      <c r="E35" s="195" t="s">
        <v>753</v>
      </c>
      <c r="F35" s="195" t="s">
        <v>882</v>
      </c>
      <c r="G35" s="195" t="s">
        <v>1189</v>
      </c>
      <c r="H35" s="200"/>
      <c r="K35" s="195" t="s">
        <v>754</v>
      </c>
    </row>
    <row r="36" spans="1:11" ht="13">
      <c r="A36" s="189" t="str">
        <f t="shared" si="0"/>
        <v>Period</v>
      </c>
      <c r="B36" s="191">
        <f t="shared" si="1"/>
        <v>34</v>
      </c>
      <c r="D36" s="500" t="s">
        <v>180</v>
      </c>
      <c r="E36" s="195" t="s">
        <v>224</v>
      </c>
      <c r="F36" s="195" t="s">
        <v>496</v>
      </c>
      <c r="G36" s="195" t="s">
        <v>224</v>
      </c>
      <c r="H36" s="200"/>
      <c r="K36" s="195" t="s">
        <v>180</v>
      </c>
    </row>
    <row r="37" spans="1:11" ht="13">
      <c r="A37" s="189" t="str">
        <f t="shared" si="0"/>
        <v>APR (nom)</v>
      </c>
      <c r="B37" s="191">
        <f t="shared" si="1"/>
        <v>35</v>
      </c>
      <c r="D37" s="500" t="s">
        <v>1112</v>
      </c>
      <c r="E37" s="195" t="s">
        <v>1112</v>
      </c>
      <c r="F37" s="195" t="s">
        <v>1115</v>
      </c>
      <c r="G37" s="195" t="s">
        <v>1190</v>
      </c>
      <c r="H37" s="200"/>
      <c r="K37" s="195" t="s">
        <v>208</v>
      </c>
    </row>
    <row r="38" spans="1:11" ht="13">
      <c r="A38" s="189" t="str">
        <f t="shared" si="0"/>
        <v>EIR (comp)</v>
      </c>
      <c r="B38" s="191">
        <f t="shared" si="1"/>
        <v>36</v>
      </c>
      <c r="D38" s="500" t="s">
        <v>1113</v>
      </c>
      <c r="E38" s="195" t="s">
        <v>1114</v>
      </c>
      <c r="F38" s="195" t="s">
        <v>1116</v>
      </c>
      <c r="G38" s="195" t="s">
        <v>1191</v>
      </c>
      <c r="H38" s="200"/>
      <c r="K38" s="195" t="s">
        <v>209</v>
      </c>
    </row>
    <row r="39" spans="1:11" ht="13">
      <c r="A39" s="189" t="str">
        <f t="shared" si="0"/>
        <v>Loan Pricing</v>
      </c>
      <c r="B39" s="191">
        <f t="shared" si="1"/>
        <v>37</v>
      </c>
      <c r="D39" s="500" t="s">
        <v>93</v>
      </c>
      <c r="E39" s="195" t="s">
        <v>978</v>
      </c>
      <c r="F39" s="195" t="s">
        <v>883</v>
      </c>
      <c r="G39" s="195" t="s">
        <v>1192</v>
      </c>
      <c r="H39" s="200"/>
      <c r="K39" s="195" t="s">
        <v>296</v>
      </c>
    </row>
    <row r="40" spans="1:11" ht="13">
      <c r="A40" s="189" t="str">
        <f>IF(INDEX(LangText,B40,LangCode)&lt;&gt;0,INDEX(LangText,B40,LangCode),D40)</f>
        <v>Nominal interest Rate (%)</v>
      </c>
      <c r="B40" s="191">
        <f>ROW(A40)-ROW($B$2)</f>
        <v>38</v>
      </c>
      <c r="D40" s="501" t="s">
        <v>355</v>
      </c>
      <c r="E40" s="195" t="s">
        <v>462</v>
      </c>
      <c r="F40" s="195" t="s">
        <v>689</v>
      </c>
      <c r="G40" s="195" t="s">
        <v>1193</v>
      </c>
      <c r="H40" s="200"/>
      <c r="K40" s="195"/>
    </row>
    <row r="41" spans="1:11" ht="13">
      <c r="A41" s="189" t="str">
        <f t="shared" si="0"/>
        <v>Annual Interest Rate (%)</v>
      </c>
      <c r="B41" s="191">
        <f t="shared" si="1"/>
        <v>39</v>
      </c>
      <c r="D41" s="500" t="s">
        <v>110</v>
      </c>
      <c r="E41" s="195" t="s">
        <v>225</v>
      </c>
      <c r="F41" s="195" t="s">
        <v>884</v>
      </c>
      <c r="G41" s="195" t="s">
        <v>1194</v>
      </c>
      <c r="H41" s="200"/>
      <c r="K41" s="195" t="s">
        <v>297</v>
      </c>
    </row>
    <row r="42" spans="1:11" ht="13">
      <c r="A42" s="189" t="str">
        <f t="shared" si="0"/>
        <v>Initial amount, or "flat"</v>
      </c>
      <c r="B42" s="191">
        <f t="shared" si="1"/>
        <v>40</v>
      </c>
      <c r="D42" s="500" t="s">
        <v>13</v>
      </c>
      <c r="E42" s="195" t="s">
        <v>979</v>
      </c>
      <c r="F42" s="195" t="s">
        <v>885</v>
      </c>
      <c r="G42" s="195" t="s">
        <v>1195</v>
      </c>
      <c r="H42" s="200"/>
      <c r="K42" s="195" t="s">
        <v>298</v>
      </c>
    </row>
    <row r="43" spans="1:11" ht="13">
      <c r="A43" s="189" t="str">
        <f t="shared" si="0"/>
        <v>Declining balance</v>
      </c>
      <c r="B43" s="191">
        <f t="shared" si="1"/>
        <v>41</v>
      </c>
      <c r="D43" s="500" t="s">
        <v>8</v>
      </c>
      <c r="E43" s="195" t="s">
        <v>980</v>
      </c>
      <c r="F43" s="195" t="s">
        <v>848</v>
      </c>
      <c r="G43" s="195" t="s">
        <v>1196</v>
      </c>
      <c r="H43" s="200"/>
      <c r="K43" s="195" t="s">
        <v>299</v>
      </c>
    </row>
    <row r="44" spans="1:11" ht="13">
      <c r="A44" s="189" t="str">
        <f t="shared" si="0"/>
        <v>Upfront</v>
      </c>
      <c r="B44" s="191">
        <f t="shared" si="1"/>
        <v>42</v>
      </c>
      <c r="D44" s="500" t="s">
        <v>143</v>
      </c>
      <c r="E44" s="195" t="s">
        <v>1362</v>
      </c>
      <c r="F44" s="195" t="s">
        <v>886</v>
      </c>
      <c r="G44" s="195" t="s">
        <v>1363</v>
      </c>
      <c r="H44" s="200"/>
      <c r="K44" s="195" t="s">
        <v>300</v>
      </c>
    </row>
    <row r="45" spans="1:11" ht="13">
      <c r="A45" s="189" t="str">
        <f t="shared" si="0"/>
        <v>Ongoing</v>
      </c>
      <c r="B45" s="191">
        <f t="shared" si="1"/>
        <v>43</v>
      </c>
      <c r="D45" s="500" t="s">
        <v>144</v>
      </c>
      <c r="E45" s="195" t="s">
        <v>981</v>
      </c>
      <c r="F45" s="195" t="s">
        <v>887</v>
      </c>
      <c r="G45" s="195" t="s">
        <v>1197</v>
      </c>
      <c r="H45" s="200"/>
      <c r="K45" s="195" t="s">
        <v>301</v>
      </c>
    </row>
    <row r="46" spans="1:11" ht="13">
      <c r="A46" s="189" t="str">
        <f t="shared" si="0"/>
        <v>Increment</v>
      </c>
      <c r="B46" s="191">
        <f t="shared" si="1"/>
        <v>44</v>
      </c>
      <c r="D46" s="500" t="s">
        <v>22</v>
      </c>
      <c r="E46" s="195" t="s">
        <v>226</v>
      </c>
      <c r="F46" s="195" t="s">
        <v>888</v>
      </c>
      <c r="G46" s="195" t="s">
        <v>226</v>
      </c>
      <c r="H46" s="200"/>
      <c r="K46" s="195" t="s">
        <v>302</v>
      </c>
    </row>
    <row r="47" spans="1:11" ht="13">
      <c r="A47" s="189" t="str">
        <f t="shared" si="0"/>
        <v>Fee (%)</v>
      </c>
      <c r="B47" s="191">
        <f t="shared" si="1"/>
        <v>45</v>
      </c>
      <c r="D47" s="500" t="s">
        <v>149</v>
      </c>
      <c r="E47" s="195" t="s">
        <v>227</v>
      </c>
      <c r="F47" s="195" t="s">
        <v>889</v>
      </c>
      <c r="G47" s="195" t="s">
        <v>1198</v>
      </c>
      <c r="H47" s="200"/>
      <c r="K47" s="195" t="s">
        <v>303</v>
      </c>
    </row>
    <row r="48" spans="1:11" ht="13">
      <c r="A48" s="189" t="str">
        <f t="shared" si="0"/>
        <v>Fee (fixed amount)</v>
      </c>
      <c r="B48" s="191">
        <f t="shared" si="1"/>
        <v>46</v>
      </c>
      <c r="D48" s="500" t="s">
        <v>150</v>
      </c>
      <c r="E48" s="195" t="s">
        <v>982</v>
      </c>
      <c r="F48" s="195" t="s">
        <v>890</v>
      </c>
      <c r="G48" s="195" t="s">
        <v>1199</v>
      </c>
      <c r="H48" s="200"/>
      <c r="K48" s="195" t="s">
        <v>304</v>
      </c>
    </row>
    <row r="49" spans="1:11" ht="13">
      <c r="A49" s="189" t="str">
        <f t="shared" si="0"/>
        <v>Value-Added Tax (%)</v>
      </c>
      <c r="B49" s="191">
        <f t="shared" si="1"/>
        <v>47</v>
      </c>
      <c r="D49" s="500" t="s">
        <v>109</v>
      </c>
      <c r="E49" s="195" t="s">
        <v>228</v>
      </c>
      <c r="F49" s="195" t="s">
        <v>497</v>
      </c>
      <c r="G49" s="195" t="s">
        <v>1200</v>
      </c>
      <c r="H49" s="200"/>
      <c r="K49" s="195" t="s">
        <v>305</v>
      </c>
    </row>
    <row r="50" spans="1:11" ht="13">
      <c r="A50" s="189" t="str">
        <f t="shared" si="0"/>
        <v>Security Deposit (%)</v>
      </c>
      <c r="B50" s="191">
        <f t="shared" si="1"/>
        <v>48</v>
      </c>
      <c r="D50" s="501" t="s">
        <v>724</v>
      </c>
      <c r="E50" s="195" t="s">
        <v>983</v>
      </c>
      <c r="F50" s="195" t="s">
        <v>498</v>
      </c>
      <c r="G50" s="195" t="s">
        <v>1201</v>
      </c>
      <c r="H50" s="200"/>
      <c r="K50" s="195" t="s">
        <v>306</v>
      </c>
    </row>
    <row r="51" spans="1:11" ht="13">
      <c r="A51" s="189" t="str">
        <f t="shared" si="0"/>
        <v>Security Deposit (fixed)</v>
      </c>
      <c r="B51" s="191">
        <f t="shared" si="1"/>
        <v>49</v>
      </c>
      <c r="D51" s="501" t="s">
        <v>725</v>
      </c>
      <c r="E51" s="195" t="s">
        <v>229</v>
      </c>
      <c r="F51" s="195" t="s">
        <v>499</v>
      </c>
      <c r="G51" s="195" t="s">
        <v>1202</v>
      </c>
      <c r="H51" s="200"/>
      <c r="K51" s="195" t="s">
        <v>307</v>
      </c>
    </row>
    <row r="52" spans="1:11" ht="13">
      <c r="A52" s="189" t="str">
        <f t="shared" si="0"/>
        <v>Interest Paid on Deposit (%)</v>
      </c>
      <c r="B52" s="191">
        <f t="shared" si="1"/>
        <v>50</v>
      </c>
      <c r="D52" s="501" t="s">
        <v>726</v>
      </c>
      <c r="E52" s="195" t="s">
        <v>984</v>
      </c>
      <c r="F52" s="195" t="s">
        <v>891</v>
      </c>
      <c r="G52" s="195" t="s">
        <v>1203</v>
      </c>
      <c r="H52" s="200"/>
      <c r="K52" s="195" t="s">
        <v>308</v>
      </c>
    </row>
    <row r="53" spans="1:11" ht="13">
      <c r="A53" s="189" t="str">
        <f t="shared" si="0"/>
        <v>Repayment Schedule</v>
      </c>
      <c r="B53" s="191">
        <f t="shared" si="1"/>
        <v>51</v>
      </c>
      <c r="D53" s="500" t="s">
        <v>21</v>
      </c>
      <c r="E53" s="195" t="s">
        <v>985</v>
      </c>
      <c r="F53" s="195" t="s">
        <v>500</v>
      </c>
      <c r="G53" s="195" t="s">
        <v>1204</v>
      </c>
      <c r="H53" s="200"/>
      <c r="K53" s="195" t="s">
        <v>309</v>
      </c>
    </row>
    <row r="54" spans="1:11" ht="13">
      <c r="A54" s="189" t="str">
        <f t="shared" si="0"/>
        <v>Period</v>
      </c>
      <c r="B54" s="191">
        <f t="shared" si="1"/>
        <v>52</v>
      </c>
      <c r="D54" s="500" t="s">
        <v>180</v>
      </c>
      <c r="E54" s="195" t="s">
        <v>224</v>
      </c>
      <c r="F54" s="195" t="s">
        <v>496</v>
      </c>
      <c r="G54" s="195" t="s">
        <v>224</v>
      </c>
      <c r="H54" s="200"/>
      <c r="K54" s="195" t="s">
        <v>180</v>
      </c>
    </row>
    <row r="55" spans="1:11" ht="72">
      <c r="A55" s="189" t="str">
        <f t="shared" si="0"/>
        <v>The following table shows the repayment schedule and cashflow for the loan given the conditions indicated on the companion sheet with the Interest Rate Graph.</v>
      </c>
      <c r="B55" s="191">
        <f t="shared" si="1"/>
        <v>53</v>
      </c>
      <c r="D55" s="501" t="s">
        <v>712</v>
      </c>
      <c r="E55" s="195" t="s">
        <v>986</v>
      </c>
      <c r="F55" s="195" t="s">
        <v>892</v>
      </c>
      <c r="G55" s="195" t="s">
        <v>1205</v>
      </c>
      <c r="H55" s="200"/>
      <c r="K55" s="195" t="s">
        <v>310</v>
      </c>
    </row>
    <row r="56" spans="1:11" ht="13">
      <c r="A56" s="189" t="str">
        <f t="shared" si="0"/>
        <v>Loan Cost and Cashflow</v>
      </c>
      <c r="B56" s="191">
        <f t="shared" si="1"/>
        <v>54</v>
      </c>
      <c r="D56" s="500" t="s">
        <v>23</v>
      </c>
      <c r="E56" s="195" t="s">
        <v>238</v>
      </c>
      <c r="F56" s="195" t="s">
        <v>893</v>
      </c>
      <c r="G56" s="195" t="s">
        <v>1206</v>
      </c>
      <c r="H56" s="200"/>
      <c r="K56" s="195" t="s">
        <v>311</v>
      </c>
    </row>
    <row r="57" spans="1:11" ht="13">
      <c r="A57" s="189" t="str">
        <f t="shared" si="0"/>
        <v>Security Deposit</v>
      </c>
      <c r="B57" s="191">
        <f t="shared" si="1"/>
        <v>55</v>
      </c>
      <c r="D57" s="501" t="s">
        <v>727</v>
      </c>
      <c r="E57" s="195" t="s">
        <v>271</v>
      </c>
      <c r="F57" s="195" t="s">
        <v>501</v>
      </c>
      <c r="G57" s="195" t="s">
        <v>1207</v>
      </c>
      <c r="H57" s="200"/>
      <c r="K57" s="195" t="s">
        <v>312</v>
      </c>
    </row>
    <row r="58" spans="1:11" ht="13">
      <c r="A58" s="189" t="str">
        <f t="shared" si="0"/>
        <v>Manual Cashflow</v>
      </c>
      <c r="B58" s="191">
        <f t="shared" si="1"/>
        <v>56</v>
      </c>
      <c r="D58" s="500" t="s">
        <v>111</v>
      </c>
      <c r="E58" s="195" t="s">
        <v>987</v>
      </c>
      <c r="F58" s="195" t="s">
        <v>502</v>
      </c>
      <c r="G58" s="195" t="s">
        <v>1208</v>
      </c>
      <c r="H58" s="200"/>
      <c r="K58" s="195" t="s">
        <v>313</v>
      </c>
    </row>
    <row r="59" spans="1:11" ht="13">
      <c r="A59" s="189" t="str">
        <f t="shared" si="0"/>
        <v>Period #</v>
      </c>
      <c r="B59" s="191">
        <f t="shared" si="1"/>
        <v>57</v>
      </c>
      <c r="D59" s="500" t="s">
        <v>134</v>
      </c>
      <c r="E59" s="195" t="s">
        <v>230</v>
      </c>
      <c r="F59" s="195" t="s">
        <v>709</v>
      </c>
      <c r="G59" s="195" t="s">
        <v>230</v>
      </c>
      <c r="H59" s="200"/>
      <c r="K59" s="195" t="s">
        <v>134</v>
      </c>
    </row>
    <row r="60" spans="1:11" ht="13">
      <c r="A60" s="189" t="str">
        <f t="shared" si="0"/>
        <v>Date</v>
      </c>
      <c r="B60" s="191">
        <f t="shared" si="1"/>
        <v>58</v>
      </c>
      <c r="D60" s="500" t="s">
        <v>124</v>
      </c>
      <c r="E60" s="195" t="s">
        <v>231</v>
      </c>
      <c r="F60" s="195" t="s">
        <v>124</v>
      </c>
      <c r="G60" s="195" t="s">
        <v>1209</v>
      </c>
      <c r="H60" s="200"/>
      <c r="K60" s="195" t="s">
        <v>314</v>
      </c>
    </row>
    <row r="61" spans="1:11" ht="13">
      <c r="A61" s="189" t="str">
        <f t="shared" si="0"/>
        <v>Principal Disbursed</v>
      </c>
      <c r="B61" s="191">
        <f t="shared" si="1"/>
        <v>59</v>
      </c>
      <c r="D61" s="500" t="s">
        <v>164</v>
      </c>
      <c r="E61" s="195" t="s">
        <v>988</v>
      </c>
      <c r="F61" s="195" t="s">
        <v>503</v>
      </c>
      <c r="G61" s="195" t="s">
        <v>1210</v>
      </c>
      <c r="H61" s="200"/>
      <c r="K61" s="195" t="s">
        <v>315</v>
      </c>
    </row>
    <row r="62" spans="1:11" ht="13">
      <c r="A62" s="189" t="str">
        <f t="shared" si="0"/>
        <v>Principal Paid</v>
      </c>
      <c r="B62" s="191">
        <f t="shared" si="1"/>
        <v>60</v>
      </c>
      <c r="D62" s="500" t="s">
        <v>157</v>
      </c>
      <c r="E62" s="195" t="s">
        <v>989</v>
      </c>
      <c r="F62" s="195" t="s">
        <v>894</v>
      </c>
      <c r="G62" s="195" t="s">
        <v>1211</v>
      </c>
      <c r="H62" s="200"/>
      <c r="K62" s="195" t="s">
        <v>316</v>
      </c>
    </row>
    <row r="63" spans="1:11" ht="13">
      <c r="A63" s="189" t="str">
        <f t="shared" si="0"/>
        <v>Balance</v>
      </c>
      <c r="B63" s="191">
        <f t="shared" si="1"/>
        <v>61</v>
      </c>
      <c r="D63" s="500" t="s">
        <v>2</v>
      </c>
      <c r="E63" s="195" t="s">
        <v>232</v>
      </c>
      <c r="F63" s="195" t="s">
        <v>504</v>
      </c>
      <c r="G63" s="195" t="s">
        <v>232</v>
      </c>
      <c r="H63" s="200"/>
      <c r="K63" s="195" t="s">
        <v>232</v>
      </c>
    </row>
    <row r="64" spans="1:11" ht="13">
      <c r="A64" s="189" t="str">
        <f t="shared" si="0"/>
        <v>Interest Paid</v>
      </c>
      <c r="B64" s="191">
        <f t="shared" si="1"/>
        <v>62</v>
      </c>
      <c r="D64" s="500" t="s">
        <v>158</v>
      </c>
      <c r="E64" s="195" t="s">
        <v>233</v>
      </c>
      <c r="F64" s="195" t="s">
        <v>505</v>
      </c>
      <c r="G64" s="195" t="s">
        <v>1212</v>
      </c>
      <c r="H64" s="200"/>
      <c r="K64" s="195" t="s">
        <v>317</v>
      </c>
    </row>
    <row r="65" spans="1:11" ht="13">
      <c r="A65" s="189" t="str">
        <f t="shared" si="0"/>
        <v>Cashflow incl. Interest</v>
      </c>
      <c r="B65" s="191">
        <f t="shared" si="1"/>
        <v>63</v>
      </c>
      <c r="D65" s="500" t="s">
        <v>165</v>
      </c>
      <c r="E65" s="195" t="s">
        <v>253</v>
      </c>
      <c r="F65" s="195" t="s">
        <v>895</v>
      </c>
      <c r="G65" s="195" t="s">
        <v>1213</v>
      </c>
      <c r="H65" s="200"/>
      <c r="K65" s="195" t="s">
        <v>318</v>
      </c>
    </row>
    <row r="66" spans="1:11" ht="13">
      <c r="A66" s="189" t="str">
        <f t="shared" si="0"/>
        <v>Fees Paid</v>
      </c>
      <c r="B66" s="191">
        <f t="shared" si="1"/>
        <v>64</v>
      </c>
      <c r="D66" s="500" t="s">
        <v>159</v>
      </c>
      <c r="E66" s="195" t="s">
        <v>234</v>
      </c>
      <c r="F66" s="195" t="s">
        <v>896</v>
      </c>
      <c r="G66" s="195" t="s">
        <v>1214</v>
      </c>
      <c r="H66" s="200"/>
      <c r="K66" s="195" t="s">
        <v>319</v>
      </c>
    </row>
    <row r="67" spans="1:11" ht="13">
      <c r="A67" s="189" t="str">
        <f t="shared" si="0"/>
        <v>Cashflow incl. Fees</v>
      </c>
      <c r="B67" s="191">
        <f t="shared" si="1"/>
        <v>65</v>
      </c>
      <c r="D67" s="500" t="s">
        <v>156</v>
      </c>
      <c r="E67" s="195" t="s">
        <v>990</v>
      </c>
      <c r="F67" s="195" t="s">
        <v>897</v>
      </c>
      <c r="G67" s="195" t="s">
        <v>1215</v>
      </c>
      <c r="H67" s="200"/>
      <c r="K67" s="195" t="s">
        <v>320</v>
      </c>
    </row>
    <row r="68" spans="1:11" ht="13">
      <c r="A68" s="189" t="str">
        <f t="shared" si="0"/>
        <v>VAT Paid</v>
      </c>
      <c r="B68" s="191">
        <f t="shared" si="1"/>
        <v>66</v>
      </c>
      <c r="D68" s="500" t="s">
        <v>160</v>
      </c>
      <c r="E68" s="195" t="s">
        <v>991</v>
      </c>
      <c r="F68" s="195" t="s">
        <v>506</v>
      </c>
      <c r="G68" s="195" t="s">
        <v>1216</v>
      </c>
      <c r="H68" s="200"/>
      <c r="K68" s="195" t="s">
        <v>321</v>
      </c>
    </row>
    <row r="69" spans="1:11" ht="13">
      <c r="A69" s="189" t="str">
        <f t="shared" si="0"/>
        <v>Cashflow Incl. Taxes</v>
      </c>
      <c r="B69" s="191">
        <f t="shared" si="1"/>
        <v>67</v>
      </c>
      <c r="D69" s="501" t="s">
        <v>650</v>
      </c>
      <c r="E69" s="195" t="s">
        <v>992</v>
      </c>
      <c r="F69" s="195" t="s">
        <v>898</v>
      </c>
      <c r="G69" s="195" t="s">
        <v>1217</v>
      </c>
      <c r="H69" s="200"/>
      <c r="K69" s="195" t="s">
        <v>322</v>
      </c>
    </row>
    <row r="70" spans="1:11" ht="13">
      <c r="A70" s="189" t="str">
        <f t="shared" ref="A70:A80" si="2">IF(INDEX(LangText,B70,LangCode)&lt;&gt;0,INDEX(LangText,B70,LangCode),D70)</f>
        <v>Security Deposit</v>
      </c>
      <c r="B70" s="191">
        <f t="shared" si="1"/>
        <v>68</v>
      </c>
      <c r="D70" s="501" t="s">
        <v>727</v>
      </c>
      <c r="E70" s="195" t="s">
        <v>993</v>
      </c>
      <c r="F70" s="195" t="s">
        <v>507</v>
      </c>
      <c r="G70" s="195" t="s">
        <v>1218</v>
      </c>
      <c r="H70" s="200"/>
      <c r="K70" s="195" t="s">
        <v>323</v>
      </c>
    </row>
    <row r="71" spans="1:11" ht="13">
      <c r="A71" s="189" t="str">
        <f t="shared" si="2"/>
        <v>Interest Paid</v>
      </c>
      <c r="B71" s="191">
        <f t="shared" ref="B71:B113" si="3">ROW(A71)-ROW($B$2)</f>
        <v>69</v>
      </c>
      <c r="D71" s="500" t="s">
        <v>158</v>
      </c>
      <c r="E71" s="195" t="s">
        <v>233</v>
      </c>
      <c r="F71" s="195" t="s">
        <v>505</v>
      </c>
      <c r="G71" s="195" t="s">
        <v>1212</v>
      </c>
      <c r="H71" s="200"/>
      <c r="K71" s="195" t="s">
        <v>317</v>
      </c>
    </row>
    <row r="72" spans="1:11" ht="13">
      <c r="A72" s="189" t="str">
        <f t="shared" si="2"/>
        <v>Deposit Withdr.</v>
      </c>
      <c r="B72" s="191">
        <f t="shared" si="3"/>
        <v>70</v>
      </c>
      <c r="D72" s="501" t="s">
        <v>728</v>
      </c>
      <c r="E72" s="195" t="s">
        <v>235</v>
      </c>
      <c r="F72" s="195" t="s">
        <v>899</v>
      </c>
      <c r="G72" s="195" t="s">
        <v>1357</v>
      </c>
      <c r="H72" s="200"/>
      <c r="K72" s="195" t="s">
        <v>324</v>
      </c>
    </row>
    <row r="73" spans="1:11" ht="13">
      <c r="A73" s="189" t="str">
        <f t="shared" si="2"/>
        <v>Deposit Balance</v>
      </c>
      <c r="B73" s="191">
        <f t="shared" si="3"/>
        <v>71</v>
      </c>
      <c r="D73" s="501" t="s">
        <v>729</v>
      </c>
      <c r="E73" s="195" t="s">
        <v>236</v>
      </c>
      <c r="F73" s="195" t="s">
        <v>508</v>
      </c>
      <c r="G73" s="195" t="s">
        <v>1358</v>
      </c>
      <c r="H73" s="200"/>
      <c r="K73" s="195" t="s">
        <v>325</v>
      </c>
    </row>
    <row r="74" spans="1:11" ht="13">
      <c r="A74" s="189" t="str">
        <f t="shared" si="2"/>
        <v>Cashflow incl. Sec.Dep.</v>
      </c>
      <c r="B74" s="191">
        <f t="shared" si="3"/>
        <v>72</v>
      </c>
      <c r="D74" s="501" t="s">
        <v>730</v>
      </c>
      <c r="E74" s="195" t="s">
        <v>994</v>
      </c>
      <c r="F74" s="195" t="s">
        <v>900</v>
      </c>
      <c r="G74" s="195" t="s">
        <v>1219</v>
      </c>
      <c r="H74" s="200"/>
      <c r="K74" s="195" t="s">
        <v>326</v>
      </c>
    </row>
    <row r="75" spans="1:11" ht="13">
      <c r="A75" s="189" t="str">
        <f t="shared" si="2"/>
        <v>Inflows (Prin+Int)</v>
      </c>
      <c r="B75" s="191">
        <f t="shared" si="3"/>
        <v>73</v>
      </c>
      <c r="D75" s="560" t="s">
        <v>684</v>
      </c>
      <c r="E75" s="195" t="s">
        <v>995</v>
      </c>
      <c r="F75" s="195" t="s">
        <v>901</v>
      </c>
      <c r="G75" s="195" t="s">
        <v>1220</v>
      </c>
      <c r="H75" s="200"/>
      <c r="K75" s="195" t="s">
        <v>327</v>
      </c>
    </row>
    <row r="76" spans="1:11" ht="13">
      <c r="A76" s="189" t="str">
        <f t="shared" si="2"/>
        <v>Outflows (Prin+Int)</v>
      </c>
      <c r="B76" s="191">
        <f t="shared" si="3"/>
        <v>74</v>
      </c>
      <c r="D76" s="560" t="s">
        <v>685</v>
      </c>
      <c r="E76" s="195" t="s">
        <v>996</v>
      </c>
      <c r="F76" s="195" t="s">
        <v>902</v>
      </c>
      <c r="G76" s="195" t="s">
        <v>1221</v>
      </c>
      <c r="H76" s="200"/>
      <c r="K76" s="195" t="s">
        <v>328</v>
      </c>
    </row>
    <row r="77" spans="1:11" ht="13">
      <c r="A77" s="189" t="str">
        <f t="shared" si="2"/>
        <v>Balance</v>
      </c>
      <c r="B77" s="191">
        <f t="shared" si="3"/>
        <v>75</v>
      </c>
      <c r="D77" s="500" t="s">
        <v>2</v>
      </c>
      <c r="E77" s="195" t="s">
        <v>232</v>
      </c>
      <c r="F77" s="195" t="s">
        <v>504</v>
      </c>
      <c r="G77" s="195" t="s">
        <v>232</v>
      </c>
      <c r="H77" s="200"/>
      <c r="K77" s="195" t="s">
        <v>232</v>
      </c>
    </row>
    <row r="78" spans="1:11" ht="13">
      <c r="A78" s="189" t="str">
        <f t="shared" si="2"/>
        <v>Cashflow</v>
      </c>
      <c r="B78" s="191">
        <f t="shared" si="3"/>
        <v>76</v>
      </c>
      <c r="D78" s="500" t="s">
        <v>3</v>
      </c>
      <c r="E78" s="199" t="s">
        <v>237</v>
      </c>
      <c r="F78" s="195" t="s">
        <v>509</v>
      </c>
      <c r="G78" s="195" t="s">
        <v>1222</v>
      </c>
      <c r="H78" s="200"/>
      <c r="K78" s="195" t="s">
        <v>329</v>
      </c>
    </row>
    <row r="79" spans="1:11" ht="13">
      <c r="A79" s="189" t="str">
        <f t="shared" si="2"/>
        <v>"i" (period int rate)</v>
      </c>
      <c r="B79" s="191">
        <f t="shared" si="3"/>
        <v>77</v>
      </c>
      <c r="D79" s="500" t="s">
        <v>186</v>
      </c>
      <c r="E79" s="195" t="s">
        <v>353</v>
      </c>
      <c r="F79" s="195" t="s">
        <v>510</v>
      </c>
      <c r="G79" s="195" t="s">
        <v>1223</v>
      </c>
      <c r="H79" s="200"/>
      <c r="K79" s="195" t="s">
        <v>330</v>
      </c>
    </row>
    <row r="80" spans="1:11" ht="13">
      <c r="A80" s="189" t="str">
        <f t="shared" si="2"/>
        <v>"n" (periods per yr)</v>
      </c>
      <c r="B80" s="191">
        <f t="shared" si="3"/>
        <v>78</v>
      </c>
      <c r="D80" s="500" t="s">
        <v>187</v>
      </c>
      <c r="E80" s="195" t="s">
        <v>354</v>
      </c>
      <c r="F80" s="195" t="s">
        <v>849</v>
      </c>
      <c r="G80" s="195" t="s">
        <v>1224</v>
      </c>
      <c r="H80" s="200"/>
      <c r="K80" s="195" t="s">
        <v>331</v>
      </c>
    </row>
    <row r="81" spans="1:11" ht="13">
      <c r="A81" s="189" t="str">
        <f t="shared" ref="A81:A113" si="4">IF(INDEX(LangText,B81,LangCode)&lt;&gt;0,INDEX(LangText,B81,LangCode),D81)</f>
        <v>in</v>
      </c>
      <c r="B81" s="191">
        <f t="shared" si="3"/>
        <v>79</v>
      </c>
      <c r="D81" s="500" t="s">
        <v>245</v>
      </c>
      <c r="E81" s="195" t="s">
        <v>246</v>
      </c>
      <c r="F81" s="195" t="s">
        <v>511</v>
      </c>
      <c r="G81" s="195" t="s">
        <v>1225</v>
      </c>
      <c r="H81" s="200"/>
      <c r="K81" s="195" t="s">
        <v>300</v>
      </c>
    </row>
    <row r="82" spans="1:11" ht="13">
      <c r="A82" s="189" t="str">
        <f t="shared" si="4"/>
        <v>, or …..</v>
      </c>
      <c r="B82" s="191">
        <f t="shared" si="3"/>
        <v>80</v>
      </c>
      <c r="D82" s="500" t="s">
        <v>247</v>
      </c>
      <c r="E82" s="195" t="s">
        <v>248</v>
      </c>
      <c r="F82" s="195" t="s">
        <v>512</v>
      </c>
      <c r="G82" s="195" t="s">
        <v>512</v>
      </c>
      <c r="H82" s="200"/>
      <c r="K82" s="195" t="s">
        <v>332</v>
      </c>
    </row>
    <row r="83" spans="1:11" ht="13">
      <c r="A83" s="189" t="str">
        <f t="shared" si="4"/>
        <v>in 1 year</v>
      </c>
      <c r="B83" s="191">
        <f t="shared" si="3"/>
        <v>81</v>
      </c>
      <c r="D83" s="500" t="s">
        <v>250</v>
      </c>
      <c r="E83" s="195" t="s">
        <v>249</v>
      </c>
      <c r="F83" s="195" t="s">
        <v>513</v>
      </c>
      <c r="G83" s="195" t="s">
        <v>1226</v>
      </c>
      <c r="H83" s="200"/>
      <c r="K83" s="195" t="s">
        <v>333</v>
      </c>
    </row>
    <row r="84" spans="1:11" ht="24">
      <c r="A84" s="189" t="str">
        <f t="shared" si="4"/>
        <v>Total Financial Cost to the Client</v>
      </c>
      <c r="B84" s="191">
        <f t="shared" si="3"/>
        <v>82</v>
      </c>
      <c r="D84" s="500" t="s">
        <v>204</v>
      </c>
      <c r="E84" s="195" t="s">
        <v>997</v>
      </c>
      <c r="F84" s="195" t="s">
        <v>903</v>
      </c>
      <c r="G84" s="195" t="s">
        <v>1227</v>
      </c>
      <c r="H84" s="200"/>
      <c r="K84" s="195" t="s">
        <v>334</v>
      </c>
    </row>
    <row r="85" spans="1:11" ht="24">
      <c r="A85" s="189" t="str">
        <f t="shared" si="4"/>
        <v>Total Cost (less Sec.Dep. int):</v>
      </c>
      <c r="B85" s="191">
        <f t="shared" si="3"/>
        <v>83</v>
      </c>
      <c r="D85" s="501" t="s">
        <v>731</v>
      </c>
      <c r="E85" s="195" t="s">
        <v>998</v>
      </c>
      <c r="F85" s="195" t="s">
        <v>514</v>
      </c>
      <c r="G85" s="195" t="s">
        <v>1361</v>
      </c>
      <c r="H85" s="200"/>
      <c r="K85" s="195" t="s">
        <v>335</v>
      </c>
    </row>
    <row r="86" spans="1:11" ht="13">
      <c r="A86" s="189" t="str">
        <f t="shared" si="4"/>
        <v>Avg net loan balance:</v>
      </c>
      <c r="B86" s="191">
        <f t="shared" si="3"/>
        <v>84</v>
      </c>
      <c r="D86" s="500" t="s">
        <v>207</v>
      </c>
      <c r="E86" s="195" t="s">
        <v>999</v>
      </c>
      <c r="F86" s="195" t="s">
        <v>904</v>
      </c>
      <c r="G86" s="195" t="s">
        <v>1228</v>
      </c>
      <c r="H86" s="200"/>
      <c r="K86" s="195" t="s">
        <v>336</v>
      </c>
    </row>
    <row r="87" spans="1:11" ht="13">
      <c r="A87" s="189" t="str">
        <f t="shared" si="4"/>
        <v>Client Breakeven Point:</v>
      </c>
      <c r="B87" s="191">
        <f t="shared" si="3"/>
        <v>85</v>
      </c>
      <c r="D87" s="500" t="s">
        <v>194</v>
      </c>
      <c r="E87" s="195" t="s">
        <v>1000</v>
      </c>
      <c r="F87" s="195" t="s">
        <v>905</v>
      </c>
      <c r="G87" s="195" t="s">
        <v>1359</v>
      </c>
      <c r="H87" s="200"/>
      <c r="K87" s="195" t="s">
        <v>337</v>
      </c>
    </row>
    <row r="88" spans="1:11" ht="13">
      <c r="A88" s="189" t="str">
        <f t="shared" si="4"/>
        <v>Negative Net Balance for:</v>
      </c>
      <c r="B88" s="191">
        <f t="shared" si="3"/>
        <v>86</v>
      </c>
      <c r="D88" s="500" t="s">
        <v>206</v>
      </c>
      <c r="E88" s="195" t="s">
        <v>1001</v>
      </c>
      <c r="F88" s="195" t="s">
        <v>906</v>
      </c>
      <c r="G88" s="195" t="s">
        <v>1229</v>
      </c>
      <c r="H88" s="200"/>
      <c r="K88" s="195" t="s">
        <v>338</v>
      </c>
    </row>
    <row r="89" spans="1:11" ht="13">
      <c r="A89" s="189" t="str">
        <f t="shared" si="4"/>
        <v>of original loan amount</v>
      </c>
      <c r="B89" s="191">
        <f t="shared" si="3"/>
        <v>87</v>
      </c>
      <c r="D89" s="500" t="s">
        <v>251</v>
      </c>
      <c r="E89" s="195" t="s">
        <v>1002</v>
      </c>
      <c r="F89" s="195" t="s">
        <v>907</v>
      </c>
      <c r="G89" s="195" t="s">
        <v>1230</v>
      </c>
      <c r="H89" s="200"/>
      <c r="K89" s="195" t="s">
        <v>339</v>
      </c>
    </row>
    <row r="90" spans="1:11" ht="24">
      <c r="A90" s="189" t="str">
        <f t="shared" si="4"/>
        <v>Years until total loan cost equals the avg loan balance</v>
      </c>
      <c r="B90" s="191">
        <f t="shared" si="3"/>
        <v>88</v>
      </c>
      <c r="D90" s="500" t="s">
        <v>205</v>
      </c>
      <c r="E90" s="195" t="s">
        <v>1003</v>
      </c>
      <c r="F90" s="195" t="s">
        <v>908</v>
      </c>
      <c r="G90" s="195" t="s">
        <v>1231</v>
      </c>
      <c r="H90" s="200"/>
      <c r="K90" s="195" t="s">
        <v>340</v>
      </c>
    </row>
    <row r="91" spans="1:11" ht="13">
      <c r="A91" s="189" t="str">
        <f t="shared" si="4"/>
        <v>, which is….</v>
      </c>
      <c r="B91" s="191">
        <f t="shared" si="3"/>
        <v>89</v>
      </c>
      <c r="D91" s="500" t="s">
        <v>252</v>
      </c>
      <c r="E91" s="195" t="s">
        <v>270</v>
      </c>
      <c r="F91" s="195" t="s">
        <v>515</v>
      </c>
      <c r="G91" s="195" t="s">
        <v>1232</v>
      </c>
      <c r="H91" s="200"/>
      <c r="K91" s="195" t="s">
        <v>341</v>
      </c>
    </row>
    <row r="92" spans="1:11" ht="13">
      <c r="A92" s="189" t="str">
        <f t="shared" si="4"/>
        <v>% of loan term</v>
      </c>
      <c r="B92" s="191">
        <f t="shared" si="3"/>
        <v>90</v>
      </c>
      <c r="D92" s="500" t="s">
        <v>151</v>
      </c>
      <c r="E92" s="195" t="s">
        <v>1004</v>
      </c>
      <c r="F92" s="195" t="s">
        <v>516</v>
      </c>
      <c r="G92" s="195" t="s">
        <v>1233</v>
      </c>
      <c r="H92" s="200"/>
      <c r="K92" s="195" t="s">
        <v>342</v>
      </c>
    </row>
    <row r="93" spans="1:11" ht="36">
      <c r="A93" s="189" t="str">
        <f t="shared" si="4"/>
        <v>Note: Ensure that ANNUAL interest rate is correct for 52 weeks.</v>
      </c>
      <c r="B93" s="191">
        <f t="shared" si="3"/>
        <v>91</v>
      </c>
      <c r="D93" s="500" t="s">
        <v>255</v>
      </c>
      <c r="E93" s="195" t="s">
        <v>1005</v>
      </c>
      <c r="F93" s="195" t="s">
        <v>909</v>
      </c>
      <c r="G93" s="195" t="s">
        <v>1234</v>
      </c>
      <c r="H93" s="200"/>
      <c r="K93" s="195" t="s">
        <v>343</v>
      </c>
    </row>
    <row r="94" spans="1:11" ht="24">
      <c r="A94" s="189" t="str">
        <f t="shared" si="4"/>
        <v>Loan Balance and Pricing</v>
      </c>
      <c r="B94" s="191">
        <f t="shared" si="3"/>
        <v>92</v>
      </c>
      <c r="D94" s="501" t="s">
        <v>546</v>
      </c>
      <c r="E94" s="195" t="s">
        <v>1006</v>
      </c>
      <c r="F94" s="195" t="s">
        <v>910</v>
      </c>
      <c r="G94" s="195" t="s">
        <v>1235</v>
      </c>
      <c r="H94" s="200"/>
      <c r="K94" s="195" t="s">
        <v>344</v>
      </c>
    </row>
    <row r="95" spans="1:11" ht="13">
      <c r="A95" s="189" t="str">
        <f t="shared" si="4"/>
        <v>Net Loan Balance</v>
      </c>
      <c r="B95" s="191">
        <f t="shared" si="3"/>
        <v>93</v>
      </c>
      <c r="D95" s="500" t="s">
        <v>256</v>
      </c>
      <c r="E95" s="195" t="s">
        <v>1007</v>
      </c>
      <c r="F95" s="195" t="s">
        <v>911</v>
      </c>
      <c r="G95" s="195" t="s">
        <v>1236</v>
      </c>
      <c r="H95" s="200"/>
      <c r="K95" s="195" t="s">
        <v>345</v>
      </c>
    </row>
    <row r="96" spans="1:11" ht="13">
      <c r="A96" s="189" t="str">
        <f t="shared" si="4"/>
        <v>Interest Rate Balance</v>
      </c>
      <c r="B96" s="191">
        <f t="shared" si="3"/>
        <v>94</v>
      </c>
      <c r="D96" s="500" t="s">
        <v>257</v>
      </c>
      <c r="E96" s="195" t="s">
        <v>1008</v>
      </c>
      <c r="F96" s="195" t="s">
        <v>517</v>
      </c>
      <c r="G96" s="195" t="s">
        <v>1237</v>
      </c>
      <c r="H96" s="200"/>
      <c r="K96" s="195" t="s">
        <v>346</v>
      </c>
    </row>
    <row r="97" spans="1:11" ht="13">
      <c r="A97" s="189" t="str">
        <f t="shared" si="4"/>
        <v>Security Deposit</v>
      </c>
      <c r="B97" s="191">
        <f t="shared" si="3"/>
        <v>95</v>
      </c>
      <c r="D97" s="501" t="s">
        <v>727</v>
      </c>
      <c r="E97" s="195" t="s">
        <v>271</v>
      </c>
      <c r="F97" s="195" t="s">
        <v>501</v>
      </c>
      <c r="G97" s="195" t="s">
        <v>1238</v>
      </c>
      <c r="H97" s="200"/>
      <c r="K97" s="195" t="s">
        <v>312</v>
      </c>
    </row>
    <row r="98" spans="1:11" ht="24">
      <c r="A98" s="189" t="str">
        <f t="shared" si="4"/>
        <v>Int Rate Pd is too high to calculate; change SEED number</v>
      </c>
      <c r="B98" s="191">
        <f t="shared" si="3"/>
        <v>96</v>
      </c>
      <c r="D98" s="500" t="s">
        <v>735</v>
      </c>
      <c r="E98" s="195" t="s">
        <v>1009</v>
      </c>
      <c r="F98" s="195" t="s">
        <v>912</v>
      </c>
      <c r="G98" s="195" t="s">
        <v>1239</v>
      </c>
      <c r="H98" s="200"/>
      <c r="K98" s="195" t="s">
        <v>347</v>
      </c>
    </row>
    <row r="99" spans="1:11" ht="13">
      <c r="A99" s="189" t="str">
        <f t="shared" si="4"/>
        <v>Repayment Schedule</v>
      </c>
      <c r="B99" s="191">
        <f t="shared" si="3"/>
        <v>97</v>
      </c>
      <c r="D99" s="500" t="s">
        <v>21</v>
      </c>
      <c r="E99" s="195" t="s">
        <v>985</v>
      </c>
      <c r="F99" s="195" t="s">
        <v>500</v>
      </c>
      <c r="G99" s="195" t="s">
        <v>1204</v>
      </c>
      <c r="H99" s="200"/>
      <c r="K99" s="195" t="s">
        <v>309</v>
      </c>
    </row>
    <row r="100" spans="1:11" ht="24">
      <c r="A100" s="189" t="str">
        <f t="shared" si="4"/>
        <v>Using MANUAL inputs on RepSched</v>
      </c>
      <c r="B100" s="191">
        <f t="shared" si="3"/>
        <v>98</v>
      </c>
      <c r="D100" s="500" t="s">
        <v>262</v>
      </c>
      <c r="E100" s="195" t="s">
        <v>1010</v>
      </c>
      <c r="F100" s="195" t="s">
        <v>913</v>
      </c>
      <c r="G100" s="195" t="s">
        <v>1240</v>
      </c>
      <c r="H100" s="200"/>
      <c r="K100" s="195" t="s">
        <v>348</v>
      </c>
    </row>
    <row r="101" spans="1:11" ht="13">
      <c r="A101" s="189" t="str">
        <f t="shared" si="4"/>
        <v>Divisor</v>
      </c>
      <c r="B101" s="191">
        <f t="shared" si="3"/>
        <v>99</v>
      </c>
      <c r="D101" s="500" t="s">
        <v>176</v>
      </c>
      <c r="E101" s="195" t="s">
        <v>176</v>
      </c>
      <c r="F101" s="195" t="s">
        <v>518</v>
      </c>
      <c r="G101" s="195" t="s">
        <v>176</v>
      </c>
      <c r="H101" s="200"/>
      <c r="K101" s="195" t="s">
        <v>349</v>
      </c>
    </row>
    <row r="102" spans="1:11" ht="13">
      <c r="A102" s="189" t="str">
        <f t="shared" si="4"/>
        <v>Totals</v>
      </c>
      <c r="B102" s="191">
        <f t="shared" si="3"/>
        <v>100</v>
      </c>
      <c r="D102" s="500" t="s">
        <v>264</v>
      </c>
      <c r="E102" s="195" t="s">
        <v>272</v>
      </c>
      <c r="F102" s="195" t="s">
        <v>264</v>
      </c>
      <c r="G102" s="195" t="s">
        <v>1241</v>
      </c>
      <c r="H102" s="200"/>
      <c r="K102" s="195" t="s">
        <v>350</v>
      </c>
    </row>
    <row r="103" spans="1:11" ht="13">
      <c r="A103" s="189" t="str">
        <f t="shared" si="4"/>
        <v>Amount (US$)</v>
      </c>
      <c r="B103" s="191">
        <f t="shared" si="3"/>
        <v>101</v>
      </c>
      <c r="D103" s="564" t="str">
        <f>"Amount ("&amp;References!$E$38&amp;")"</f>
        <v>Amount (US$)</v>
      </c>
      <c r="E103" s="564" t="str">
        <f>"Saldo ("&amp;References!$E$38&amp;")"</f>
        <v>Saldo (US$)</v>
      </c>
      <c r="F103" s="565" t="str">
        <f>"Quantité ("&amp;References!$E$38&amp;")"</f>
        <v>Quantité (US$)</v>
      </c>
      <c r="G103" s="565" t="str">
        <f>"Valor ("&amp;References!$E$38&amp;")"</f>
        <v>Valor (US$)</v>
      </c>
      <c r="H103" s="200"/>
      <c r="K103" s="564" t="str">
        <f>"Iznos ("&amp;References!$E$38&amp;")"</f>
        <v>Iznos (US$)</v>
      </c>
    </row>
    <row r="104" spans="1:11" ht="13">
      <c r="A104" s="189" t="str">
        <f t="shared" si="4"/>
        <v>Overview of this Tool:</v>
      </c>
      <c r="B104" s="191">
        <f t="shared" si="3"/>
        <v>102</v>
      </c>
      <c r="D104" s="502" t="s">
        <v>125</v>
      </c>
      <c r="E104" s="195" t="s">
        <v>463</v>
      </c>
      <c r="F104" s="195" t="s">
        <v>519</v>
      </c>
      <c r="G104" s="195" t="s">
        <v>1242</v>
      </c>
      <c r="H104" s="200"/>
      <c r="K104" s="195" t="s">
        <v>381</v>
      </c>
    </row>
    <row r="105" spans="1:11" ht="84">
      <c r="A105" s="189" t="str">
        <f t="shared" si="4"/>
        <v xml:space="preserve">     This is a basic tool to help you understand the factors influencing the Effective Interest Rate (EIR) and the Annual Percentage Rate (APR) formulas used in the financial world to calculate comparative costs of different loan products.</v>
      </c>
      <c r="B105" s="191">
        <f t="shared" si="3"/>
        <v>103</v>
      </c>
      <c r="D105" s="503" t="s">
        <v>352</v>
      </c>
      <c r="E105" s="195" t="s">
        <v>1011</v>
      </c>
      <c r="F105" s="195" t="s">
        <v>914</v>
      </c>
      <c r="G105" s="195" t="s">
        <v>1243</v>
      </c>
      <c r="H105" s="200"/>
      <c r="K105" s="195" t="s">
        <v>382</v>
      </c>
    </row>
    <row r="106" spans="1:11" ht="84">
      <c r="A106" s="189" t="str">
        <f t="shared" si="4"/>
        <v xml:space="preserve">     We will continue to expand upon this tool in the near future, so please contact us for updates.  We are also very open to your suggestions on how we can improve this tool.</v>
      </c>
      <c r="B106" s="191">
        <f t="shared" si="3"/>
        <v>104</v>
      </c>
      <c r="D106" s="502" t="s">
        <v>126</v>
      </c>
      <c r="E106" s="195" t="s">
        <v>1012</v>
      </c>
      <c r="F106" s="195" t="s">
        <v>915</v>
      </c>
      <c r="G106" s="195" t="s">
        <v>1244</v>
      </c>
      <c r="H106" s="200"/>
      <c r="K106" s="195" t="s">
        <v>383</v>
      </c>
    </row>
    <row r="107" spans="1:11" ht="24">
      <c r="A107" s="189" t="str">
        <f t="shared" si="4"/>
        <v>There are four main areas to this tool:</v>
      </c>
      <c r="B107" s="191">
        <f t="shared" si="3"/>
        <v>105</v>
      </c>
      <c r="D107" s="503" t="s">
        <v>842</v>
      </c>
      <c r="E107" s="195" t="s">
        <v>1013</v>
      </c>
      <c r="F107" s="195" t="s">
        <v>916</v>
      </c>
      <c r="G107" s="195" t="s">
        <v>1245</v>
      </c>
      <c r="H107" s="200"/>
      <c r="K107" s="195" t="s">
        <v>384</v>
      </c>
    </row>
    <row r="108" spans="1:11" ht="96">
      <c r="A108" s="189" t="str">
        <f t="shared" si="4"/>
        <v xml:space="preserve">     APR Calculator, Simple:  The Interest Rate Graph sheet and the Repayment Schedule sheet work together to allow you to enter basic loan conditions and calculate the APR for that loan product as well as see a number of other interesting cost calculations.</v>
      </c>
      <c r="B108" s="191">
        <f t="shared" si="3"/>
        <v>106</v>
      </c>
      <c r="D108" s="501" t="s">
        <v>687</v>
      </c>
      <c r="E108" s="195" t="s">
        <v>1014</v>
      </c>
      <c r="F108" s="195" t="s">
        <v>917</v>
      </c>
      <c r="G108" s="195" t="s">
        <v>1367</v>
      </c>
      <c r="H108" s="200"/>
      <c r="K108" s="195" t="s">
        <v>385</v>
      </c>
    </row>
    <row r="109" spans="1:11" ht="108">
      <c r="A109" s="189" t="str">
        <f>IF(INDEX(LangText,B109,LangCode)&lt;&gt;0,INDEX(LangText,B109,LangCode),D109)</f>
        <v xml:space="preserve">     APR/EIR Calculator, Advanced: This section expands on the "simple" sheets, offering more options for pricing variables and calculating both the APR and the EIR of the loan.  It also includes an IRR FLOW visual for loans with 12 payments or less.</v>
      </c>
      <c r="B109" s="191">
        <f>ROW(A109)-ROW($B$2)</f>
        <v>107</v>
      </c>
      <c r="D109" s="501" t="s">
        <v>866</v>
      </c>
      <c r="E109" s="195" t="s">
        <v>1015</v>
      </c>
      <c r="F109" s="195" t="s">
        <v>918</v>
      </c>
      <c r="G109" s="195" t="s">
        <v>1368</v>
      </c>
      <c r="H109" s="200"/>
      <c r="K109" s="195"/>
    </row>
    <row r="110" spans="1:11" ht="132">
      <c r="A110" s="189" t="str">
        <f t="shared" si="4"/>
        <v xml:space="preserve">     Cost Structure Data:  The Cost Structure Data sheet allows you to enter a range of loan amounts and then estimate delivery and maintenance costs for each of those loans.  This data is then displayed in the Graphs sheet and is also used in the Breakeven Point sheet.  There is also a "Quick Calculator" that allows demonstration of the basic principles.</v>
      </c>
      <c r="B110" s="191">
        <f t="shared" si="3"/>
        <v>108</v>
      </c>
      <c r="D110" s="765" t="s">
        <v>867</v>
      </c>
      <c r="E110" s="195" t="s">
        <v>1016</v>
      </c>
      <c r="F110" s="195" t="s">
        <v>919</v>
      </c>
      <c r="G110" s="195" t="s">
        <v>1246</v>
      </c>
      <c r="H110" s="200"/>
      <c r="K110" s="195" t="s">
        <v>386</v>
      </c>
    </row>
    <row r="111" spans="1:11" ht="24">
      <c r="A111" s="189" t="str">
        <f t="shared" si="4"/>
        <v>Developed by Chuck Waterfield (MicroFinance Transparency)</v>
      </c>
      <c r="B111" s="191">
        <f t="shared" si="3"/>
        <v>109</v>
      </c>
      <c r="D111" s="503" t="s">
        <v>672</v>
      </c>
      <c r="E111" s="195" t="s">
        <v>1017</v>
      </c>
      <c r="F111" s="195" t="s">
        <v>674</v>
      </c>
      <c r="G111" s="195" t="s">
        <v>1247</v>
      </c>
      <c r="H111" s="200"/>
      <c r="K111" s="195" t="s">
        <v>673</v>
      </c>
    </row>
    <row r="112" spans="1:11" ht="13">
      <c r="A112" s="189" t="str">
        <f t="shared" si="4"/>
        <v>Version:</v>
      </c>
      <c r="B112" s="191">
        <f t="shared" si="3"/>
        <v>110</v>
      </c>
      <c r="D112" s="502" t="s">
        <v>123</v>
      </c>
      <c r="E112" s="195" t="s">
        <v>464</v>
      </c>
      <c r="F112" s="195" t="s">
        <v>123</v>
      </c>
      <c r="G112" s="195" t="s">
        <v>1248</v>
      </c>
      <c r="H112" s="200"/>
      <c r="K112" s="195" t="s">
        <v>387</v>
      </c>
    </row>
    <row r="113" spans="1:11" ht="13">
      <c r="A113" s="189" t="str">
        <f t="shared" si="4"/>
        <v>Date:</v>
      </c>
      <c r="B113" s="191">
        <f t="shared" si="3"/>
        <v>111</v>
      </c>
      <c r="D113" s="502" t="s">
        <v>351</v>
      </c>
      <c r="E113" s="195" t="s">
        <v>465</v>
      </c>
      <c r="F113" s="195" t="s">
        <v>351</v>
      </c>
      <c r="G113" s="195" t="s">
        <v>1249</v>
      </c>
      <c r="H113" s="200"/>
      <c r="K113" s="195" t="s">
        <v>388</v>
      </c>
    </row>
    <row r="114" spans="1:11" ht="36">
      <c r="A114" s="189" t="str">
        <f t="shared" ref="A114:A138" si="5">IF(INDEX(LangText,B114,LangCode)&lt;&gt;0,INDEX(LangText,B114,LangCode),D114)</f>
        <v>Promoting transparent pricing in the microfinance industry</v>
      </c>
      <c r="B114" s="191">
        <f t="shared" ref="B114:B138" si="6">ROW(A114)-ROW($B$2)</f>
        <v>112</v>
      </c>
      <c r="D114" s="504" t="s">
        <v>128</v>
      </c>
      <c r="E114" s="195" t="s">
        <v>1018</v>
      </c>
      <c r="F114" s="195" t="s">
        <v>690</v>
      </c>
      <c r="G114" s="195" t="s">
        <v>1250</v>
      </c>
      <c r="H114" s="200"/>
      <c r="K114" s="195" t="s">
        <v>389</v>
      </c>
    </row>
    <row r="115" spans="1:11" ht="36">
      <c r="A115" s="189" t="str">
        <f t="shared" si="5"/>
        <v>For comments or questions, please email:</v>
      </c>
      <c r="B115" s="191">
        <f t="shared" si="6"/>
        <v>113</v>
      </c>
      <c r="D115" s="505" t="s">
        <v>127</v>
      </c>
      <c r="E115" s="195" t="s">
        <v>1019</v>
      </c>
      <c r="F115" s="195" t="s">
        <v>520</v>
      </c>
      <c r="G115" s="195" t="s">
        <v>1251</v>
      </c>
      <c r="H115" s="200"/>
      <c r="K115" s="195" t="s">
        <v>390</v>
      </c>
    </row>
    <row r="116" spans="1:11" ht="13">
      <c r="A116" s="189" t="str">
        <f t="shared" si="5"/>
        <v>Calculating Transparent Prices</v>
      </c>
      <c r="B116" s="191">
        <f t="shared" si="6"/>
        <v>114</v>
      </c>
      <c r="D116" s="559" t="s">
        <v>686</v>
      </c>
      <c r="E116" s="195" t="s">
        <v>1020</v>
      </c>
      <c r="F116" s="195" t="s">
        <v>920</v>
      </c>
      <c r="G116" s="195" t="s">
        <v>1252</v>
      </c>
      <c r="H116" s="200"/>
      <c r="K116" s="195" t="s">
        <v>391</v>
      </c>
    </row>
    <row r="117" spans="1:11" ht="24">
      <c r="A117" s="189" t="str">
        <f t="shared" si="5"/>
        <v>Enter Manual Mode to modify dates and specific amounts</v>
      </c>
      <c r="B117" s="191">
        <f t="shared" si="6"/>
        <v>115</v>
      </c>
      <c r="D117" s="568" t="s">
        <v>732</v>
      </c>
      <c r="E117" s="195" t="s">
        <v>1021</v>
      </c>
      <c r="F117" s="195" t="s">
        <v>921</v>
      </c>
      <c r="G117" s="195" t="s">
        <v>1253</v>
      </c>
      <c r="H117" s="200"/>
      <c r="K117" s="195" t="s">
        <v>392</v>
      </c>
    </row>
    <row r="118" spans="1:11" ht="36">
      <c r="A118" s="189" t="str">
        <f t="shared" si="5"/>
        <v>Analysis of Cost Structure related to Loan Product Amount and Term</v>
      </c>
      <c r="B118" s="191">
        <f t="shared" si="6"/>
        <v>116</v>
      </c>
      <c r="D118" s="500" t="s">
        <v>57</v>
      </c>
      <c r="E118" s="195" t="s">
        <v>1022</v>
      </c>
      <c r="F118" s="195" t="s">
        <v>922</v>
      </c>
      <c r="G118" s="195" t="s">
        <v>1254</v>
      </c>
      <c r="H118" s="200"/>
      <c r="K118" s="195" t="s">
        <v>393</v>
      </c>
    </row>
    <row r="119" spans="1:11" ht="13">
      <c r="A119" s="189" t="str">
        <f t="shared" si="5"/>
        <v>Original Loan Amount</v>
      </c>
      <c r="B119" s="191">
        <f t="shared" si="6"/>
        <v>117</v>
      </c>
      <c r="D119" s="506" t="s">
        <v>40</v>
      </c>
      <c r="E119" s="195" t="s">
        <v>1023</v>
      </c>
      <c r="F119" s="195" t="s">
        <v>923</v>
      </c>
      <c r="G119" s="195" t="s">
        <v>1255</v>
      </c>
      <c r="H119" s="200"/>
      <c r="K119" s="195" t="s">
        <v>394</v>
      </c>
    </row>
    <row r="120" spans="1:11" ht="13">
      <c r="A120" s="189" t="str">
        <f t="shared" si="5"/>
        <v>Average Outstanding Balance</v>
      </c>
      <c r="B120" s="191">
        <f t="shared" si="6"/>
        <v>118</v>
      </c>
      <c r="D120" s="507" t="s">
        <v>54</v>
      </c>
      <c r="E120" s="195" t="s">
        <v>1024</v>
      </c>
      <c r="F120" s="195" t="s">
        <v>521</v>
      </c>
      <c r="G120" s="195" t="s">
        <v>1256</v>
      </c>
      <c r="H120" s="200"/>
      <c r="K120" s="195" t="s">
        <v>395</v>
      </c>
    </row>
    <row r="121" spans="1:11" ht="13">
      <c r="A121" s="189" t="str">
        <f t="shared" si="5"/>
        <v>Annual GDP</v>
      </c>
      <c r="B121" s="191">
        <f t="shared" si="6"/>
        <v>119</v>
      </c>
      <c r="D121" s="507" t="s">
        <v>96</v>
      </c>
      <c r="E121" s="195" t="s">
        <v>466</v>
      </c>
      <c r="F121" s="195" t="s">
        <v>522</v>
      </c>
      <c r="G121" s="195" t="s">
        <v>466</v>
      </c>
      <c r="H121" s="200"/>
      <c r="K121" s="195" t="s">
        <v>396</v>
      </c>
    </row>
    <row r="122" spans="1:11" ht="24">
      <c r="A122" s="189" t="str">
        <f t="shared" si="5"/>
        <v>Orig Loan as % of Annual GDP</v>
      </c>
      <c r="B122" s="191">
        <f t="shared" si="6"/>
        <v>120</v>
      </c>
      <c r="D122" s="508" t="s">
        <v>97</v>
      </c>
      <c r="E122" s="195" t="s">
        <v>1365</v>
      </c>
      <c r="F122" s="195" t="s">
        <v>1366</v>
      </c>
      <c r="G122" s="195" t="s">
        <v>1364</v>
      </c>
      <c r="H122" s="200"/>
      <c r="K122" s="195" t="s">
        <v>397</v>
      </c>
    </row>
    <row r="123" spans="1:11" ht="13">
      <c r="A123" s="189" t="str">
        <f t="shared" si="5"/>
        <v>Loan Term</v>
      </c>
      <c r="B123" s="191">
        <f t="shared" si="6"/>
        <v>121</v>
      </c>
      <c r="D123" s="507" t="s">
        <v>53</v>
      </c>
      <c r="E123" s="195" t="s">
        <v>1025</v>
      </c>
      <c r="F123" s="195" t="s">
        <v>523</v>
      </c>
      <c r="G123" s="195" t="s">
        <v>1257</v>
      </c>
      <c r="H123" s="200"/>
      <c r="K123" s="195" t="s">
        <v>398</v>
      </c>
    </row>
    <row r="124" spans="1:11" ht="13">
      <c r="A124" s="189" t="str">
        <f t="shared" si="5"/>
        <v>Loans processed/year</v>
      </c>
      <c r="B124" s="191">
        <f t="shared" si="6"/>
        <v>122</v>
      </c>
      <c r="D124" s="507" t="s">
        <v>52</v>
      </c>
      <c r="E124" s="195" t="s">
        <v>1026</v>
      </c>
      <c r="F124" s="195" t="s">
        <v>924</v>
      </c>
      <c r="G124" s="195" t="s">
        <v>1258</v>
      </c>
      <c r="H124" s="200"/>
      <c r="K124" s="195" t="s">
        <v>399</v>
      </c>
    </row>
    <row r="125" spans="1:11" ht="13">
      <c r="A125" s="189" t="str">
        <f t="shared" si="5"/>
        <v>Loan Write-off</v>
      </c>
      <c r="B125" s="191">
        <f t="shared" si="6"/>
        <v>123</v>
      </c>
      <c r="D125" s="506" t="s">
        <v>45</v>
      </c>
      <c r="E125" s="195" t="s">
        <v>1027</v>
      </c>
      <c r="F125" s="195" t="s">
        <v>925</v>
      </c>
      <c r="G125" s="195" t="s">
        <v>1259</v>
      </c>
      <c r="H125" s="200"/>
      <c r="K125" s="195" t="s">
        <v>400</v>
      </c>
    </row>
    <row r="126" spans="1:11" ht="13">
      <c r="A126" s="189" t="str">
        <f t="shared" si="5"/>
        <v>Annual Loan Write-off %</v>
      </c>
      <c r="B126" s="191">
        <f t="shared" si="6"/>
        <v>124</v>
      </c>
      <c r="D126" s="507" t="s">
        <v>44</v>
      </c>
      <c r="E126" s="195" t="s">
        <v>1028</v>
      </c>
      <c r="F126" s="195" t="s">
        <v>524</v>
      </c>
      <c r="G126" s="195" t="s">
        <v>1260</v>
      </c>
      <c r="H126" s="200"/>
      <c r="K126" s="195" t="s">
        <v>401</v>
      </c>
    </row>
    <row r="127" spans="1:11" ht="24">
      <c r="A127" s="189" t="str">
        <f t="shared" si="5"/>
        <v>Annual LL Provision</v>
      </c>
      <c r="B127" s="191">
        <f t="shared" si="6"/>
        <v>125</v>
      </c>
      <c r="D127" s="507" t="s">
        <v>90</v>
      </c>
      <c r="E127" s="195" t="s">
        <v>1029</v>
      </c>
      <c r="F127" s="195" t="s">
        <v>926</v>
      </c>
      <c r="G127" s="195" t="s">
        <v>1261</v>
      </c>
      <c r="H127" s="200"/>
      <c r="K127" s="195" t="s">
        <v>402</v>
      </c>
    </row>
    <row r="128" spans="1:11" ht="13">
      <c r="A128" s="189" t="str">
        <f t="shared" si="5"/>
        <v>Financial Cost</v>
      </c>
      <c r="B128" s="191">
        <f t="shared" si="6"/>
        <v>126</v>
      </c>
      <c r="D128" s="506" t="s">
        <v>37</v>
      </c>
      <c r="E128" s="195" t="s">
        <v>467</v>
      </c>
      <c r="F128" s="195" t="s">
        <v>525</v>
      </c>
      <c r="G128" s="195" t="s">
        <v>1262</v>
      </c>
      <c r="H128" s="200"/>
      <c r="K128" s="195" t="s">
        <v>403</v>
      </c>
    </row>
    <row r="129" spans="1:11" ht="13">
      <c r="A129" s="189" t="str">
        <f t="shared" si="5"/>
        <v>Cost of Funds (%)</v>
      </c>
      <c r="B129" s="191">
        <f t="shared" si="6"/>
        <v>127</v>
      </c>
      <c r="D129" s="507" t="s">
        <v>43</v>
      </c>
      <c r="E129" s="195" t="s">
        <v>1030</v>
      </c>
      <c r="F129" s="195" t="s">
        <v>526</v>
      </c>
      <c r="G129" s="195" t="s">
        <v>1263</v>
      </c>
      <c r="H129" s="200"/>
      <c r="K129" s="195" t="s">
        <v>404</v>
      </c>
    </row>
    <row r="130" spans="1:11" ht="13">
      <c r="A130" s="189" t="str">
        <f t="shared" si="5"/>
        <v>Annual Financial Cost</v>
      </c>
      <c r="B130" s="191">
        <f t="shared" si="6"/>
        <v>128</v>
      </c>
      <c r="D130" s="507" t="s">
        <v>42</v>
      </c>
      <c r="E130" s="195" t="s">
        <v>1031</v>
      </c>
      <c r="F130" s="195" t="s">
        <v>527</v>
      </c>
      <c r="G130" s="195" t="s">
        <v>1264</v>
      </c>
      <c r="H130" s="200"/>
      <c r="K130" s="195" t="s">
        <v>405</v>
      </c>
    </row>
    <row r="131" spans="1:11" ht="13">
      <c r="A131" s="189" t="str">
        <f t="shared" si="5"/>
        <v>Operating Cost Calculation</v>
      </c>
      <c r="B131" s="191">
        <f t="shared" si="6"/>
        <v>129</v>
      </c>
      <c r="D131" s="506" t="s">
        <v>51</v>
      </c>
      <c r="E131" s="195" t="s">
        <v>1032</v>
      </c>
      <c r="F131" s="195" t="s">
        <v>528</v>
      </c>
      <c r="G131" s="195" t="s">
        <v>1265</v>
      </c>
      <c r="H131" s="200"/>
      <c r="K131" s="195" t="s">
        <v>406</v>
      </c>
    </row>
    <row r="132" spans="1:11" ht="13">
      <c r="A132" s="189" t="str">
        <f t="shared" si="5"/>
        <v>Cost to initiate loan</v>
      </c>
      <c r="B132" s="191">
        <f t="shared" si="6"/>
        <v>130</v>
      </c>
      <c r="D132" s="507" t="s">
        <v>50</v>
      </c>
      <c r="E132" s="195" t="s">
        <v>1033</v>
      </c>
      <c r="F132" s="195" t="s">
        <v>529</v>
      </c>
      <c r="G132" s="195" t="s">
        <v>1266</v>
      </c>
      <c r="H132" s="200"/>
      <c r="K132" s="195" t="s">
        <v>407</v>
      </c>
    </row>
    <row r="133" spans="1:11" ht="24">
      <c r="A133" s="189" t="str">
        <f t="shared" si="5"/>
        <v>Annual initiation costs</v>
      </c>
      <c r="B133" s="191">
        <f t="shared" si="6"/>
        <v>131</v>
      </c>
      <c r="D133" s="507" t="s">
        <v>49</v>
      </c>
      <c r="E133" s="195" t="s">
        <v>1034</v>
      </c>
      <c r="F133" s="195" t="s">
        <v>530</v>
      </c>
      <c r="G133" s="195" t="s">
        <v>1267</v>
      </c>
      <c r="H133" s="200"/>
      <c r="K133" s="195" t="s">
        <v>408</v>
      </c>
    </row>
    <row r="134" spans="1:11" ht="24">
      <c r="A134" s="189" t="str">
        <f t="shared" si="5"/>
        <v>Monthly loan monitoring cost</v>
      </c>
      <c r="B134" s="191">
        <f t="shared" si="6"/>
        <v>132</v>
      </c>
      <c r="D134" s="507" t="s">
        <v>48</v>
      </c>
      <c r="E134" s="195" t="s">
        <v>1035</v>
      </c>
      <c r="F134" s="195" t="s">
        <v>531</v>
      </c>
      <c r="G134" s="195" t="s">
        <v>1268</v>
      </c>
      <c r="H134" s="200"/>
      <c r="K134" s="195" t="s">
        <v>409</v>
      </c>
    </row>
    <row r="135" spans="1:11" ht="13">
      <c r="A135" s="189" t="str">
        <f t="shared" si="5"/>
        <v>Annual monitoring cost</v>
      </c>
      <c r="B135" s="191">
        <f t="shared" si="6"/>
        <v>133</v>
      </c>
      <c r="D135" s="507" t="s">
        <v>47</v>
      </c>
      <c r="E135" s="195" t="s">
        <v>1036</v>
      </c>
      <c r="F135" s="195" t="s">
        <v>532</v>
      </c>
      <c r="G135" s="195" t="s">
        <v>1269</v>
      </c>
      <c r="H135" s="200"/>
      <c r="K135" s="195" t="s">
        <v>410</v>
      </c>
    </row>
    <row r="136" spans="1:11" ht="13">
      <c r="A136" s="189" t="str">
        <f t="shared" si="5"/>
        <v>Total Annual Operating Costs</v>
      </c>
      <c r="B136" s="191">
        <f t="shared" si="6"/>
        <v>134</v>
      </c>
      <c r="D136" s="507" t="s">
        <v>46</v>
      </c>
      <c r="E136" s="195" t="s">
        <v>1037</v>
      </c>
      <c r="F136" s="195" t="s">
        <v>533</v>
      </c>
      <c r="G136" s="195" t="s">
        <v>1270</v>
      </c>
      <c r="H136" s="200"/>
      <c r="K136" s="195" t="s">
        <v>411</v>
      </c>
    </row>
    <row r="137" spans="1:11" ht="13">
      <c r="A137" s="189" t="str">
        <f t="shared" si="5"/>
        <v>Average Outstanding Balance</v>
      </c>
      <c r="B137" s="191">
        <f t="shared" si="6"/>
        <v>135</v>
      </c>
      <c r="D137" s="508" t="s">
        <v>54</v>
      </c>
      <c r="E137" s="195" t="s">
        <v>1038</v>
      </c>
      <c r="F137" s="195" t="s">
        <v>521</v>
      </c>
      <c r="G137" s="195" t="s">
        <v>1271</v>
      </c>
      <c r="H137" s="200"/>
      <c r="K137" s="195" t="s">
        <v>412</v>
      </c>
    </row>
    <row r="138" spans="1:11" ht="13">
      <c r="A138" s="189" t="str">
        <f t="shared" si="5"/>
        <v>Annual Operating Cost Ratio</v>
      </c>
      <c r="B138" s="191">
        <f t="shared" si="6"/>
        <v>136</v>
      </c>
      <c r="D138" s="506" t="s">
        <v>91</v>
      </c>
      <c r="E138" s="195" t="s">
        <v>1039</v>
      </c>
      <c r="F138" s="195" t="s">
        <v>534</v>
      </c>
      <c r="G138" s="195" t="s">
        <v>1272</v>
      </c>
      <c r="H138" s="200"/>
      <c r="K138" s="195" t="s">
        <v>413</v>
      </c>
    </row>
    <row r="139" spans="1:11" ht="13">
      <c r="A139" s="189" t="str">
        <f>IF(INDEX(LangText,B139,LangCode)&lt;&gt;0,INDEX(LangText,B139,LangCode),D139)</f>
        <v>Cost Structure (%)</v>
      </c>
      <c r="B139" s="191">
        <f>ROW(A139)-ROW($B$2)</f>
        <v>137</v>
      </c>
      <c r="D139" s="230" t="s">
        <v>41</v>
      </c>
      <c r="E139" s="195" t="s">
        <v>1040</v>
      </c>
      <c r="F139" s="195" t="s">
        <v>535</v>
      </c>
      <c r="G139" s="195" t="s">
        <v>1273</v>
      </c>
      <c r="H139" s="200"/>
      <c r="K139" s="195" t="s">
        <v>414</v>
      </c>
    </row>
    <row r="140" spans="1:11" ht="24">
      <c r="A140" s="189" t="str">
        <f t="shared" ref="A140:A203" si="7">IF(INDEX(LangText,B140,LangCode)&lt;&gt;0,INDEX(LangText,B140,LangCode),D140)</f>
        <v>Data shown on Detailed Graphs</v>
      </c>
      <c r="B140" s="191">
        <f t="shared" ref="B140:B203" si="8">ROW(A140)-ROW($B$2)</f>
        <v>138</v>
      </c>
      <c r="D140" s="230" t="s">
        <v>56</v>
      </c>
      <c r="E140" s="195" t="s">
        <v>1041</v>
      </c>
      <c r="F140" s="195" t="s">
        <v>536</v>
      </c>
      <c r="G140" s="195" t="s">
        <v>1274</v>
      </c>
      <c r="H140" s="200"/>
      <c r="K140" s="195" t="s">
        <v>415</v>
      </c>
    </row>
    <row r="141" spans="1:11" ht="24">
      <c r="A141" s="189" t="str">
        <f t="shared" si="7"/>
        <v>Data included only on Broad Graphs</v>
      </c>
      <c r="B141" s="191">
        <f t="shared" si="8"/>
        <v>139</v>
      </c>
      <c r="D141" s="230" t="s">
        <v>55</v>
      </c>
      <c r="E141" s="195" t="s">
        <v>1042</v>
      </c>
      <c r="F141" s="195" t="s">
        <v>927</v>
      </c>
      <c r="G141" s="195" t="s">
        <v>1275</v>
      </c>
      <c r="H141" s="200"/>
      <c r="K141" s="195" t="s">
        <v>416</v>
      </c>
    </row>
    <row r="142" spans="1:11" ht="13">
      <c r="A142" s="189" t="str">
        <f t="shared" si="7"/>
        <v>Formula</v>
      </c>
      <c r="B142" s="191">
        <f t="shared" si="8"/>
        <v>140</v>
      </c>
      <c r="D142" s="230" t="s">
        <v>64</v>
      </c>
      <c r="E142" s="195" t="s">
        <v>468</v>
      </c>
      <c r="F142" s="195" t="s">
        <v>537</v>
      </c>
      <c r="G142" s="195" t="s">
        <v>468</v>
      </c>
      <c r="H142" s="200"/>
      <c r="K142" s="195" t="s">
        <v>64</v>
      </c>
    </row>
    <row r="143" spans="1:11" ht="13">
      <c r="A143" s="189" t="str">
        <f t="shared" si="7"/>
        <v>Calculation of Breakeven Point</v>
      </c>
      <c r="B143" s="191">
        <f t="shared" si="8"/>
        <v>141</v>
      </c>
      <c r="D143" s="230" t="s">
        <v>95</v>
      </c>
      <c r="E143" s="195" t="s">
        <v>469</v>
      </c>
      <c r="F143" s="195" t="s">
        <v>928</v>
      </c>
      <c r="G143" s="195" t="s">
        <v>1276</v>
      </c>
      <c r="H143" s="200"/>
      <c r="K143" s="195" t="s">
        <v>417</v>
      </c>
    </row>
    <row r="144" spans="1:11" ht="13">
      <c r="A144" s="189" t="str">
        <f t="shared" si="7"/>
        <v>Porfolio Yield Charged</v>
      </c>
      <c r="B144" s="191">
        <f t="shared" si="8"/>
        <v>142</v>
      </c>
      <c r="D144" s="509" t="s">
        <v>1141</v>
      </c>
      <c r="E144" s="806"/>
      <c r="F144" s="806"/>
      <c r="G144" s="830" t="s">
        <v>1277</v>
      </c>
      <c r="H144" s="200"/>
      <c r="K144" s="195" t="s">
        <v>418</v>
      </c>
    </row>
    <row r="145" spans="1:11" ht="24">
      <c r="A145" s="189" t="str">
        <f t="shared" si="7"/>
        <v>Data shown on Detailed Graphs</v>
      </c>
      <c r="B145" s="191">
        <f t="shared" si="8"/>
        <v>143</v>
      </c>
      <c r="D145" s="230" t="s">
        <v>56</v>
      </c>
      <c r="E145" s="195" t="s">
        <v>1043</v>
      </c>
      <c r="F145" s="195" t="s">
        <v>536</v>
      </c>
      <c r="G145" s="195" t="s">
        <v>1274</v>
      </c>
      <c r="H145" s="200"/>
      <c r="K145" s="195" t="s">
        <v>415</v>
      </c>
    </row>
    <row r="146" spans="1:11" ht="24">
      <c r="A146" s="189" t="str">
        <f t="shared" si="7"/>
        <v>Data included only on Broad Graphs</v>
      </c>
      <c r="B146" s="191">
        <f t="shared" si="8"/>
        <v>144</v>
      </c>
      <c r="D146" s="230" t="s">
        <v>55</v>
      </c>
      <c r="E146" s="195" t="s">
        <v>1044</v>
      </c>
      <c r="F146" s="195" t="s">
        <v>927</v>
      </c>
      <c r="G146" s="195" t="s">
        <v>1278</v>
      </c>
      <c r="H146" s="200"/>
      <c r="K146" s="195" t="s">
        <v>416</v>
      </c>
    </row>
    <row r="147" spans="1:11" ht="13">
      <c r="A147" s="189" t="str">
        <f t="shared" si="7"/>
        <v>Loan Amount</v>
      </c>
      <c r="B147" s="191">
        <f t="shared" si="8"/>
        <v>145</v>
      </c>
      <c r="D147" s="510" t="s">
        <v>29</v>
      </c>
      <c r="E147" s="195" t="s">
        <v>1045</v>
      </c>
      <c r="F147" s="195" t="s">
        <v>538</v>
      </c>
      <c r="G147" s="195" t="s">
        <v>1279</v>
      </c>
      <c r="H147" s="200"/>
      <c r="K147" s="195" t="s">
        <v>419</v>
      </c>
    </row>
    <row r="148" spans="1:11" ht="13">
      <c r="A148" s="189" t="str">
        <f t="shared" si="7"/>
        <v>Breakeven Interest Rate</v>
      </c>
      <c r="B148" s="191">
        <f t="shared" si="8"/>
        <v>146</v>
      </c>
      <c r="D148" s="510" t="s">
        <v>35</v>
      </c>
      <c r="E148" s="195" t="s">
        <v>470</v>
      </c>
      <c r="F148" s="195" t="s">
        <v>929</v>
      </c>
      <c r="G148" s="195" t="s">
        <v>1280</v>
      </c>
      <c r="H148" s="200"/>
      <c r="K148" s="195" t="s">
        <v>420</v>
      </c>
    </row>
    <row r="149" spans="1:11" ht="13">
      <c r="A149" s="189" t="str">
        <f t="shared" si="7"/>
        <v>Total Annual Cost of Loan</v>
      </c>
      <c r="B149" s="191">
        <f t="shared" si="8"/>
        <v>147</v>
      </c>
      <c r="D149" s="511" t="s">
        <v>36</v>
      </c>
      <c r="E149" s="195" t="s">
        <v>474</v>
      </c>
      <c r="F149" s="195" t="s">
        <v>930</v>
      </c>
      <c r="G149" s="195" t="s">
        <v>1281</v>
      </c>
      <c r="H149" s="200"/>
      <c r="K149" s="195" t="s">
        <v>421</v>
      </c>
    </row>
    <row r="150" spans="1:11" ht="13">
      <c r="A150" s="189" t="str">
        <f t="shared" si="7"/>
        <v>Income at fixed interest rate</v>
      </c>
      <c r="B150" s="191">
        <f t="shared" si="8"/>
        <v>148</v>
      </c>
      <c r="D150" s="512" t="s">
        <v>58</v>
      </c>
      <c r="E150" s="195" t="s">
        <v>1046</v>
      </c>
      <c r="F150" s="195" t="s">
        <v>539</v>
      </c>
      <c r="G150" s="195" t="s">
        <v>1282</v>
      </c>
      <c r="H150" s="200"/>
      <c r="K150" s="195" t="s">
        <v>422</v>
      </c>
    </row>
    <row r="151" spans="1:11" ht="15">
      <c r="A151" s="189" t="str">
        <f t="shared" si="7"/>
        <v>Interest Rate Method</v>
      </c>
      <c r="B151" s="191">
        <f t="shared" si="8"/>
        <v>149</v>
      </c>
      <c r="D151" s="229" t="s">
        <v>356</v>
      </c>
      <c r="E151" s="195" t="s">
        <v>1047</v>
      </c>
      <c r="F151" s="195" t="s">
        <v>540</v>
      </c>
      <c r="G151" s="195" t="s">
        <v>1283</v>
      </c>
      <c r="H151" s="200"/>
      <c r="K151" s="195"/>
    </row>
    <row r="152" spans="1:11" ht="15">
      <c r="A152" s="189" t="str">
        <f t="shared" si="7"/>
        <v>Per day</v>
      </c>
      <c r="B152" s="191">
        <f t="shared" si="8"/>
        <v>150</v>
      </c>
      <c r="D152" s="229" t="s">
        <v>358</v>
      </c>
      <c r="E152" s="195" t="s">
        <v>217</v>
      </c>
      <c r="F152" s="195" t="s">
        <v>489</v>
      </c>
      <c r="G152" s="195" t="s">
        <v>1284</v>
      </c>
      <c r="H152" s="200"/>
      <c r="K152" s="195"/>
    </row>
    <row r="153" spans="1:11" ht="15">
      <c r="A153" s="189" t="str">
        <f t="shared" si="7"/>
        <v>Per week</v>
      </c>
      <c r="B153" s="191">
        <f t="shared" si="8"/>
        <v>151</v>
      </c>
      <c r="D153" s="229" t="s">
        <v>359</v>
      </c>
      <c r="E153" s="195" t="s">
        <v>471</v>
      </c>
      <c r="F153" s="195" t="s">
        <v>490</v>
      </c>
      <c r="G153" s="195" t="s">
        <v>218</v>
      </c>
      <c r="H153" s="200"/>
      <c r="K153" s="195"/>
    </row>
    <row r="154" spans="1:11" ht="15">
      <c r="A154" s="189" t="str">
        <f t="shared" si="7"/>
        <v>Per two weeks (14 days)</v>
      </c>
      <c r="B154" s="191">
        <f t="shared" si="8"/>
        <v>152</v>
      </c>
      <c r="D154" s="229" t="s">
        <v>675</v>
      </c>
      <c r="E154" s="195" t="s">
        <v>676</v>
      </c>
      <c r="F154" s="195" t="s">
        <v>931</v>
      </c>
      <c r="G154" s="195" t="s">
        <v>1285</v>
      </c>
      <c r="H154" s="200"/>
      <c r="K154" s="195"/>
    </row>
    <row r="155" spans="1:11" ht="15">
      <c r="A155" s="189" t="str">
        <f>IF(INDEX(LangText,B155,LangCode)&lt;&gt;0,INDEX(LangText,B155,LangCode),D155)</f>
        <v>Per four weeks</v>
      </c>
      <c r="B155" s="191">
        <f>ROW(A155)-ROW($B$2)</f>
        <v>153</v>
      </c>
      <c r="D155" s="229" t="s">
        <v>364</v>
      </c>
      <c r="E155" s="195" t="s">
        <v>1048</v>
      </c>
      <c r="F155" s="195" t="s">
        <v>492</v>
      </c>
      <c r="G155" s="195" t="s">
        <v>1286</v>
      </c>
      <c r="H155" s="200"/>
      <c r="K155" s="195"/>
    </row>
    <row r="156" spans="1:11" ht="15">
      <c r="A156" s="189" t="str">
        <f t="shared" si="7"/>
        <v>Per month</v>
      </c>
      <c r="B156" s="191">
        <f t="shared" si="8"/>
        <v>154</v>
      </c>
      <c r="D156" s="229" t="s">
        <v>360</v>
      </c>
      <c r="E156" s="195" t="s">
        <v>1049</v>
      </c>
      <c r="F156" s="195" t="s">
        <v>493</v>
      </c>
      <c r="G156" s="195" t="s">
        <v>1187</v>
      </c>
      <c r="H156" s="200"/>
      <c r="K156" s="195"/>
    </row>
    <row r="157" spans="1:11" ht="15">
      <c r="A157" s="189" t="str">
        <f t="shared" si="7"/>
        <v>Per quarter</v>
      </c>
      <c r="B157" s="191">
        <f t="shared" si="8"/>
        <v>155</v>
      </c>
      <c r="D157" s="229" t="s">
        <v>361</v>
      </c>
      <c r="E157" s="195" t="s">
        <v>1050</v>
      </c>
      <c r="F157" s="195" t="s">
        <v>494</v>
      </c>
      <c r="G157" s="195" t="s">
        <v>221</v>
      </c>
      <c r="H157" s="200"/>
      <c r="K157" s="195"/>
    </row>
    <row r="158" spans="1:11" ht="15">
      <c r="A158" s="189" t="str">
        <f t="shared" si="7"/>
        <v>Per half-year</v>
      </c>
      <c r="B158" s="191">
        <f t="shared" si="8"/>
        <v>156</v>
      </c>
      <c r="D158" s="229" t="s">
        <v>362</v>
      </c>
      <c r="E158" s="195" t="s">
        <v>1051</v>
      </c>
      <c r="F158" s="195" t="s">
        <v>881</v>
      </c>
      <c r="G158" s="195" t="s">
        <v>222</v>
      </c>
      <c r="H158" s="200"/>
      <c r="K158" s="195"/>
    </row>
    <row r="159" spans="1:11" ht="15">
      <c r="A159" s="189" t="str">
        <f t="shared" si="7"/>
        <v>Per year</v>
      </c>
      <c r="B159" s="191">
        <f t="shared" si="8"/>
        <v>157</v>
      </c>
      <c r="D159" s="229" t="s">
        <v>363</v>
      </c>
      <c r="E159" s="195" t="s">
        <v>472</v>
      </c>
      <c r="F159" s="195" t="s">
        <v>495</v>
      </c>
      <c r="G159" s="195" t="s">
        <v>1188</v>
      </c>
      <c r="H159" s="200"/>
      <c r="K159" s="195"/>
    </row>
    <row r="160" spans="1:11" ht="15">
      <c r="A160" s="189" t="str">
        <f t="shared" si="7"/>
        <v>Nominal Annual &amp; Method</v>
      </c>
      <c r="B160" s="191">
        <f t="shared" si="8"/>
        <v>158</v>
      </c>
      <c r="D160" s="831" t="s">
        <v>833</v>
      </c>
      <c r="E160" s="195" t="s">
        <v>1351</v>
      </c>
      <c r="F160" s="195" t="s">
        <v>932</v>
      </c>
      <c r="G160" s="195" t="s">
        <v>1287</v>
      </c>
      <c r="H160" s="200"/>
      <c r="K160" s="195"/>
    </row>
    <row r="161" spans="1:11" ht="15">
      <c r="A161" s="189" t="str">
        <f t="shared" si="7"/>
        <v>Effective Annual</v>
      </c>
      <c r="B161" s="191">
        <f t="shared" si="8"/>
        <v>159</v>
      </c>
      <c r="D161" s="229" t="s">
        <v>424</v>
      </c>
      <c r="E161" s="195" t="s">
        <v>473</v>
      </c>
      <c r="F161" s="195" t="s">
        <v>541</v>
      </c>
      <c r="G161" s="195" t="s">
        <v>1288</v>
      </c>
      <c r="H161" s="200"/>
      <c r="K161" s="195"/>
    </row>
    <row r="162" spans="1:11" ht="15">
      <c r="A162" s="189" t="str">
        <f t="shared" si="7"/>
        <v>Override</v>
      </c>
      <c r="B162" s="191">
        <f t="shared" si="8"/>
        <v>160</v>
      </c>
      <c r="D162" s="229" t="s">
        <v>437</v>
      </c>
      <c r="E162" s="195" t="s">
        <v>1052</v>
      </c>
      <c r="F162" s="195" t="s">
        <v>691</v>
      </c>
      <c r="G162" s="195" t="s">
        <v>1052</v>
      </c>
      <c r="H162" s="200"/>
      <c r="K162" s="195"/>
    </row>
    <row r="163" spans="1:11" ht="30">
      <c r="A163" s="189" t="str">
        <f t="shared" si="7"/>
        <v>Repayment Schedule for Standarized Bangladesh Weekly Loan</v>
      </c>
      <c r="B163" s="191">
        <f t="shared" si="8"/>
        <v>161</v>
      </c>
      <c r="D163" s="229" t="s">
        <v>448</v>
      </c>
      <c r="E163" s="195" t="s">
        <v>1053</v>
      </c>
      <c r="F163" s="195" t="s">
        <v>933</v>
      </c>
      <c r="G163" s="195" t="s">
        <v>1289</v>
      </c>
      <c r="H163" s="200"/>
      <c r="K163" s="195"/>
    </row>
    <row r="164" spans="1:11" ht="15">
      <c r="A164" s="189" t="str">
        <f t="shared" si="7"/>
        <v>Every 15 days (exactly)</v>
      </c>
      <c r="B164" s="191">
        <f t="shared" si="8"/>
        <v>162</v>
      </c>
      <c r="D164" s="229" t="s">
        <v>659</v>
      </c>
      <c r="E164" s="195" t="s">
        <v>1054</v>
      </c>
      <c r="F164" s="195" t="s">
        <v>692</v>
      </c>
      <c r="G164" s="195" t="s">
        <v>1290</v>
      </c>
      <c r="H164" s="200"/>
      <c r="K164" s="195"/>
    </row>
    <row r="165" spans="1:11" ht="24">
      <c r="A165" s="189" t="str">
        <f t="shared" si="7"/>
        <v>Cost Structure (actual $)</v>
      </c>
      <c r="B165" s="191">
        <f t="shared" si="8"/>
        <v>163</v>
      </c>
      <c r="D165" s="229" t="s">
        <v>39</v>
      </c>
      <c r="E165" s="195" t="s">
        <v>1055</v>
      </c>
      <c r="F165" s="195" t="s">
        <v>693</v>
      </c>
      <c r="G165" s="195" t="s">
        <v>1291</v>
      </c>
      <c r="H165" s="200"/>
      <c r="K165" s="195"/>
    </row>
    <row r="166" spans="1:11" ht="24">
      <c r="A166" s="189" t="str">
        <f t="shared" si="7"/>
        <v>LL Provision</v>
      </c>
      <c r="B166" s="191">
        <f t="shared" si="8"/>
        <v>164</v>
      </c>
      <c r="D166" s="229" t="s">
        <v>38</v>
      </c>
      <c r="E166" s="195" t="s">
        <v>1056</v>
      </c>
      <c r="F166" s="195" t="s">
        <v>542</v>
      </c>
      <c r="G166" s="195" t="s">
        <v>1292</v>
      </c>
      <c r="H166" s="200"/>
      <c r="K166" s="195"/>
    </row>
    <row r="167" spans="1:11" ht="15">
      <c r="A167" s="189" t="str">
        <f t="shared" si="7"/>
        <v>Financial Cost</v>
      </c>
      <c r="B167" s="191">
        <f t="shared" si="8"/>
        <v>165</v>
      </c>
      <c r="D167" s="229" t="s">
        <v>37</v>
      </c>
      <c r="E167" s="195" t="s">
        <v>467</v>
      </c>
      <c r="F167" s="195" t="s">
        <v>543</v>
      </c>
      <c r="G167" s="195" t="s">
        <v>1293</v>
      </c>
      <c r="H167" s="200"/>
      <c r="K167" s="195"/>
    </row>
    <row r="168" spans="1:11" ht="15">
      <c r="A168" s="189" t="str">
        <f t="shared" si="7"/>
        <v>Operating Costs</v>
      </c>
      <c r="B168" s="191">
        <f t="shared" si="8"/>
        <v>166</v>
      </c>
      <c r="D168" s="229" t="s">
        <v>92</v>
      </c>
      <c r="E168" s="195" t="s">
        <v>1057</v>
      </c>
      <c r="F168" s="195" t="s">
        <v>544</v>
      </c>
      <c r="G168" s="195" t="s">
        <v>1294</v>
      </c>
      <c r="H168" s="200"/>
      <c r="K168" s="195"/>
    </row>
    <row r="169" spans="1:11" ht="15">
      <c r="A169" s="189" t="str">
        <f t="shared" si="7"/>
        <v>Total Annual Cost of Loan</v>
      </c>
      <c r="B169" s="191">
        <f t="shared" si="8"/>
        <v>167</v>
      </c>
      <c r="D169" s="229" t="s">
        <v>36</v>
      </c>
      <c r="E169" s="195" t="s">
        <v>474</v>
      </c>
      <c r="F169" s="195" t="s">
        <v>930</v>
      </c>
      <c r="G169" s="195" t="s">
        <v>1281</v>
      </c>
      <c r="H169" s="200"/>
      <c r="K169" s="195"/>
    </row>
    <row r="170" spans="1:11" ht="15">
      <c r="A170" s="189" t="str">
        <f t="shared" si="7"/>
        <v>APR (exact)</v>
      </c>
      <c r="B170" s="191">
        <f t="shared" si="8"/>
        <v>168</v>
      </c>
      <c r="D170" s="229" t="s">
        <v>647</v>
      </c>
      <c r="E170" s="195" t="s">
        <v>1058</v>
      </c>
      <c r="F170" s="195" t="s">
        <v>694</v>
      </c>
      <c r="G170" s="195" t="s">
        <v>1295</v>
      </c>
      <c r="H170" s="200"/>
      <c r="K170" s="195"/>
    </row>
    <row r="171" spans="1:11" ht="15">
      <c r="A171" s="189" t="str">
        <f t="shared" si="7"/>
        <v>EIR (exact)</v>
      </c>
      <c r="B171" s="191">
        <f t="shared" si="8"/>
        <v>169</v>
      </c>
      <c r="D171" s="229" t="s">
        <v>648</v>
      </c>
      <c r="E171" s="195" t="s">
        <v>1059</v>
      </c>
      <c r="F171" s="195" t="s">
        <v>695</v>
      </c>
      <c r="G171" s="195" t="s">
        <v>1296</v>
      </c>
      <c r="H171" s="200"/>
      <c r="K171" s="195"/>
    </row>
    <row r="172" spans="1:11" ht="15">
      <c r="A172" s="189" t="str">
        <f t="shared" si="7"/>
        <v>Taxes</v>
      </c>
      <c r="B172" s="191">
        <f t="shared" si="8"/>
        <v>170</v>
      </c>
      <c r="D172" s="229" t="s">
        <v>649</v>
      </c>
      <c r="E172" s="195" t="s">
        <v>1060</v>
      </c>
      <c r="F172" s="195" t="s">
        <v>649</v>
      </c>
      <c r="G172" s="195" t="s">
        <v>1297</v>
      </c>
      <c r="H172" s="200"/>
      <c r="K172" s="195"/>
    </row>
    <row r="173" spans="1:11" ht="15">
      <c r="A173" s="189" t="str">
        <f t="shared" si="7"/>
        <v>15-day periods</v>
      </c>
      <c r="B173" s="191">
        <f t="shared" si="8"/>
        <v>171</v>
      </c>
      <c r="D173" s="229" t="s">
        <v>660</v>
      </c>
      <c r="E173" s="195" t="s">
        <v>1061</v>
      </c>
      <c r="F173" s="195" t="s">
        <v>696</v>
      </c>
      <c r="G173" s="195" t="s">
        <v>1298</v>
      </c>
      <c r="H173" s="200"/>
      <c r="K173" s="195"/>
    </row>
    <row r="174" spans="1:11" ht="15">
      <c r="A174" s="189" t="str">
        <f t="shared" si="7"/>
        <v>Per 15 days</v>
      </c>
      <c r="B174" s="191">
        <f t="shared" si="8"/>
        <v>172</v>
      </c>
      <c r="D174" s="229" t="s">
        <v>665</v>
      </c>
      <c r="E174" s="195" t="s">
        <v>1062</v>
      </c>
      <c r="F174" s="195" t="s">
        <v>697</v>
      </c>
      <c r="G174" s="195" t="s">
        <v>1299</v>
      </c>
      <c r="H174" s="200"/>
      <c r="K174" s="195"/>
    </row>
    <row r="175" spans="1:11" ht="15">
      <c r="A175" s="189" t="str">
        <f t="shared" si="7"/>
        <v>Payment Date</v>
      </c>
      <c r="B175" s="191">
        <f t="shared" si="8"/>
        <v>173</v>
      </c>
      <c r="D175" s="229" t="s">
        <v>661</v>
      </c>
      <c r="E175" s="195" t="s">
        <v>1063</v>
      </c>
      <c r="F175" s="195" t="s">
        <v>934</v>
      </c>
      <c r="G175" s="195" t="s">
        <v>1300</v>
      </c>
      <c r="H175" s="200"/>
      <c r="K175" s="195"/>
    </row>
    <row r="176" spans="1:11" ht="15">
      <c r="A176" s="189" t="str">
        <f t="shared" si="7"/>
        <v>&lt;-- Disbursment Date</v>
      </c>
      <c r="B176" s="191">
        <f t="shared" si="8"/>
        <v>174</v>
      </c>
      <c r="D176" s="229" t="s">
        <v>662</v>
      </c>
      <c r="E176" s="195" t="s">
        <v>1064</v>
      </c>
      <c r="F176" s="195" t="s">
        <v>698</v>
      </c>
      <c r="G176" s="195" t="s">
        <v>1301</v>
      </c>
      <c r="H176" s="200"/>
      <c r="K176" s="195"/>
    </row>
    <row r="177" spans="1:11" ht="15">
      <c r="A177" s="189" t="str">
        <f t="shared" si="7"/>
        <v>which is</v>
      </c>
      <c r="B177" s="191">
        <f t="shared" si="8"/>
        <v>175</v>
      </c>
      <c r="D177" s="229" t="s">
        <v>663</v>
      </c>
      <c r="E177" s="195" t="s">
        <v>1065</v>
      </c>
      <c r="F177" s="195" t="s">
        <v>699</v>
      </c>
      <c r="G177" s="195" t="s">
        <v>1232</v>
      </c>
      <c r="H177" s="200"/>
      <c r="K177" s="195"/>
    </row>
    <row r="178" spans="1:11" ht="15">
      <c r="A178" s="189" t="str">
        <f t="shared" si="7"/>
        <v>Excel version:</v>
      </c>
      <c r="B178" s="191">
        <f t="shared" si="8"/>
        <v>176</v>
      </c>
      <c r="D178" s="229" t="s">
        <v>678</v>
      </c>
      <c r="E178" s="195" t="s">
        <v>1066</v>
      </c>
      <c r="F178" s="195" t="s">
        <v>700</v>
      </c>
      <c r="G178" s="195" t="s">
        <v>1302</v>
      </c>
      <c r="H178" s="200"/>
      <c r="K178" s="195"/>
    </row>
    <row r="179" spans="1:11" ht="15">
      <c r="A179" s="189" t="str">
        <f t="shared" si="7"/>
        <v>OR Date</v>
      </c>
      <c r="B179" s="191">
        <f t="shared" si="8"/>
        <v>177</v>
      </c>
      <c r="D179" s="229" t="s">
        <v>644</v>
      </c>
      <c r="E179" s="195" t="s">
        <v>1067</v>
      </c>
      <c r="F179" s="195" t="s">
        <v>701</v>
      </c>
      <c r="G179" s="195" t="s">
        <v>1303</v>
      </c>
      <c r="H179" s="200"/>
      <c r="K179" s="195"/>
    </row>
    <row r="180" spans="1:11" ht="45">
      <c r="A180" s="189" t="str">
        <f t="shared" si="7"/>
        <v>Calculation of APR based on Loan Conditions and Pricing -- SIMPLE APPROACH</v>
      </c>
      <c r="B180" s="191">
        <f t="shared" si="8"/>
        <v>178</v>
      </c>
      <c r="D180" s="229" t="s">
        <v>643</v>
      </c>
      <c r="E180" s="195" t="s">
        <v>1068</v>
      </c>
      <c r="F180" s="195" t="s">
        <v>935</v>
      </c>
      <c r="G180" s="195" t="s">
        <v>1304</v>
      </c>
      <c r="H180" s="200"/>
      <c r="K180" s="195"/>
    </row>
    <row r="181" spans="1:11" ht="15">
      <c r="A181" s="189" t="str">
        <f t="shared" si="7"/>
        <v>Basic Loan Conditions</v>
      </c>
      <c r="B181" s="191">
        <f t="shared" si="8"/>
        <v>179</v>
      </c>
      <c r="D181" s="229" t="s">
        <v>62</v>
      </c>
      <c r="E181" s="195" t="s">
        <v>1069</v>
      </c>
      <c r="F181" s="195" t="s">
        <v>702</v>
      </c>
      <c r="G181" s="195" t="s">
        <v>1171</v>
      </c>
      <c r="H181" s="200"/>
      <c r="K181" s="195"/>
    </row>
    <row r="182" spans="1:11" ht="15">
      <c r="A182" s="189" t="str">
        <f t="shared" si="7"/>
        <v>Interest Method</v>
      </c>
      <c r="B182" s="191">
        <f t="shared" si="8"/>
        <v>180</v>
      </c>
      <c r="D182" s="229" t="s">
        <v>552</v>
      </c>
      <c r="E182" s="195" t="s">
        <v>1047</v>
      </c>
      <c r="F182" s="195" t="s">
        <v>936</v>
      </c>
      <c r="G182" s="195" t="s">
        <v>1283</v>
      </c>
      <c r="H182" s="200"/>
      <c r="K182" s="195"/>
    </row>
    <row r="183" spans="1:11" ht="15">
      <c r="A183" s="189" t="str">
        <f t="shared" si="7"/>
        <v>Annual Interest Rate (%)</v>
      </c>
      <c r="B183" s="191">
        <f t="shared" si="8"/>
        <v>181</v>
      </c>
      <c r="D183" s="229" t="s">
        <v>110</v>
      </c>
      <c r="E183" s="195" t="s">
        <v>225</v>
      </c>
      <c r="F183" s="195" t="s">
        <v>703</v>
      </c>
      <c r="G183" s="195" t="s">
        <v>1194</v>
      </c>
      <c r="H183" s="200"/>
      <c r="K183" s="195"/>
    </row>
    <row r="184" spans="1:11" ht="15">
      <c r="A184" s="189" t="str">
        <f t="shared" si="7"/>
        <v>Up-front Fee (%)</v>
      </c>
      <c r="B184" s="191">
        <f t="shared" si="8"/>
        <v>182</v>
      </c>
      <c r="D184" s="229" t="s">
        <v>551</v>
      </c>
      <c r="E184" s="195" t="s">
        <v>1070</v>
      </c>
      <c r="F184" s="195" t="s">
        <v>704</v>
      </c>
      <c r="G184" s="195" t="s">
        <v>1305</v>
      </c>
      <c r="H184" s="200"/>
      <c r="K184" s="195"/>
    </row>
    <row r="185" spans="1:11" ht="15">
      <c r="A185" s="189" t="str">
        <f t="shared" si="7"/>
        <v>Value-Added Tax (%)</v>
      </c>
      <c r="B185" s="191">
        <f t="shared" si="8"/>
        <v>183</v>
      </c>
      <c r="D185" s="229" t="s">
        <v>109</v>
      </c>
      <c r="E185" s="195" t="s">
        <v>1071</v>
      </c>
      <c r="F185" s="195" t="s">
        <v>705</v>
      </c>
      <c r="G185" s="195" t="s">
        <v>1360</v>
      </c>
      <c r="H185" s="200"/>
      <c r="K185" s="195"/>
    </row>
    <row r="186" spans="1:11" ht="15">
      <c r="A186" s="189" t="str">
        <f t="shared" si="7"/>
        <v>Annualized</v>
      </c>
      <c r="B186" s="191">
        <f t="shared" si="8"/>
        <v>184</v>
      </c>
      <c r="D186" s="229" t="s">
        <v>550</v>
      </c>
      <c r="E186" s="195" t="s">
        <v>1072</v>
      </c>
      <c r="F186" s="195" t="s">
        <v>937</v>
      </c>
      <c r="G186" s="195" t="s">
        <v>1072</v>
      </c>
      <c r="H186" s="200"/>
      <c r="K186" s="195"/>
    </row>
    <row r="187" spans="1:11" ht="30">
      <c r="A187" s="189" t="str">
        <f t="shared" si="7"/>
        <v>This is the amount the client has to invest in her business</v>
      </c>
      <c r="B187" s="191">
        <f t="shared" si="8"/>
        <v>185</v>
      </c>
      <c r="D187" s="229" t="s">
        <v>549</v>
      </c>
      <c r="E187" s="195" t="s">
        <v>1073</v>
      </c>
      <c r="F187" s="195" t="s">
        <v>706</v>
      </c>
      <c r="G187" s="195" t="s">
        <v>1306</v>
      </c>
      <c r="H187" s="200"/>
      <c r="K187" s="195"/>
    </row>
    <row r="188" spans="1:11" ht="36">
      <c r="A188" s="189" t="str">
        <f t="shared" si="7"/>
        <v>The month when the total loan cost equals the avg loan balance</v>
      </c>
      <c r="B188" s="191">
        <f t="shared" si="8"/>
        <v>186</v>
      </c>
      <c r="D188" s="229" t="s">
        <v>548</v>
      </c>
      <c r="E188" s="195" t="s">
        <v>1074</v>
      </c>
      <c r="F188" s="195" t="s">
        <v>707</v>
      </c>
      <c r="G188" s="195" t="s">
        <v>1307</v>
      </c>
      <c r="H188" s="200"/>
      <c r="K188" s="195"/>
    </row>
    <row r="189" spans="1:11" ht="30">
      <c r="A189" s="189" t="str">
        <f t="shared" si="7"/>
        <v>Amount of Time with Negative Net Balance</v>
      </c>
      <c r="B189" s="191">
        <f t="shared" si="8"/>
        <v>187</v>
      </c>
      <c r="D189" s="229" t="s">
        <v>547</v>
      </c>
      <c r="E189" s="195" t="s">
        <v>1075</v>
      </c>
      <c r="F189" s="195" t="s">
        <v>938</v>
      </c>
      <c r="G189" s="195" t="s">
        <v>1308</v>
      </c>
      <c r="H189" s="200"/>
      <c r="K189" s="195"/>
    </row>
    <row r="190" spans="1:11" ht="90">
      <c r="A190" s="189" t="str">
        <f t="shared" si="7"/>
        <v>Note: This SIMPLE APPROACH allows only a few basic inputs and makes assumptions on other factors.  This sheet should only be used for experimentation and learning, not for actual calculation</v>
      </c>
      <c r="B190" s="191">
        <f t="shared" si="8"/>
        <v>188</v>
      </c>
      <c r="D190" s="561" t="s">
        <v>710</v>
      </c>
      <c r="E190" s="195" t="s">
        <v>1076</v>
      </c>
      <c r="F190" s="195" t="s">
        <v>939</v>
      </c>
      <c r="G190" s="195" t="s">
        <v>1309</v>
      </c>
      <c r="H190" s="200"/>
      <c r="K190" s="195"/>
    </row>
    <row r="191" spans="1:11" ht="60">
      <c r="A191" s="189" t="str">
        <f t="shared" si="7"/>
        <v xml:space="preserve">           of prices of actual loan products.   To study an actual loan product, use the ADVANCED sheet later in this workbook.</v>
      </c>
      <c r="B191" s="191">
        <f t="shared" si="8"/>
        <v>189</v>
      </c>
      <c r="D191" s="561" t="s">
        <v>711</v>
      </c>
      <c r="E191" s="195" t="s">
        <v>1077</v>
      </c>
      <c r="F191" s="195" t="s">
        <v>940</v>
      </c>
      <c r="G191" s="195" t="s">
        <v>1310</v>
      </c>
      <c r="H191" s="200"/>
      <c r="K191" s="195"/>
    </row>
    <row r="192" spans="1:11" ht="24">
      <c r="A192" s="189" t="str">
        <f t="shared" si="7"/>
        <v>This converts from XIRR below with assumed periods (n)</v>
      </c>
      <c r="B192" s="191">
        <f t="shared" si="8"/>
        <v>190</v>
      </c>
      <c r="D192" s="741" t="s">
        <v>681</v>
      </c>
      <c r="E192" s="195" t="s">
        <v>1078</v>
      </c>
      <c r="F192" s="195" t="s">
        <v>941</v>
      </c>
      <c r="G192" s="195" t="s">
        <v>1311</v>
      </c>
      <c r="H192" s="200"/>
      <c r="K192" s="195"/>
    </row>
    <row r="193" spans="1:11" ht="24">
      <c r="A193" s="189" t="str">
        <f t="shared" si="7"/>
        <v>This uses the XIRR function available in Excel 2007 or 2010</v>
      </c>
      <c r="B193" s="191">
        <f t="shared" si="8"/>
        <v>191</v>
      </c>
      <c r="D193" s="742" t="s">
        <v>680</v>
      </c>
      <c r="E193" s="195" t="s">
        <v>1079</v>
      </c>
      <c r="F193" s="195" t="s">
        <v>942</v>
      </c>
      <c r="G193" s="195" t="s">
        <v>1312</v>
      </c>
      <c r="H193" s="200"/>
      <c r="K193" s="195"/>
    </row>
    <row r="194" spans="1:11" ht="24">
      <c r="A194" s="189" t="str">
        <f t="shared" si="7"/>
        <v>If Excel 2007 or 2010, the XIRR figure is used for EIR</v>
      </c>
      <c r="B194" s="191">
        <f t="shared" si="8"/>
        <v>192</v>
      </c>
      <c r="D194" s="741" t="s">
        <v>682</v>
      </c>
      <c r="E194" s="195" t="s">
        <v>1080</v>
      </c>
      <c r="F194" s="195" t="s">
        <v>943</v>
      </c>
      <c r="G194" s="195" t="s">
        <v>1313</v>
      </c>
      <c r="H194" s="200"/>
      <c r="K194" s="195"/>
    </row>
    <row r="195" spans="1:11" ht="15">
      <c r="A195" s="189" t="str">
        <f t="shared" si="7"/>
        <v>Balloon</v>
      </c>
      <c r="B195" s="191">
        <f t="shared" si="8"/>
        <v>193</v>
      </c>
      <c r="D195" s="229" t="s">
        <v>755</v>
      </c>
      <c r="E195" s="195" t="s">
        <v>1081</v>
      </c>
      <c r="F195" s="195" t="s">
        <v>944</v>
      </c>
      <c r="G195" s="195" t="s">
        <v>1314</v>
      </c>
      <c r="H195" s="200"/>
      <c r="K195" s="195"/>
    </row>
    <row r="196" spans="1:11" ht="15">
      <c r="A196" s="189" t="str">
        <f t="shared" si="7"/>
        <v>Transparency Index</v>
      </c>
      <c r="B196" s="191">
        <f t="shared" si="8"/>
        <v>194</v>
      </c>
      <c r="D196" s="229" t="s">
        <v>761</v>
      </c>
      <c r="E196" s="195" t="s">
        <v>1082</v>
      </c>
      <c r="F196" s="195" t="s">
        <v>945</v>
      </c>
      <c r="G196" s="195" t="s">
        <v>1315</v>
      </c>
      <c r="H196" s="200"/>
      <c r="K196" s="195"/>
    </row>
    <row r="197" spans="1:11" ht="15">
      <c r="A197" s="189" t="str">
        <f t="shared" si="7"/>
        <v>Period APR</v>
      </c>
      <c r="B197" s="191">
        <f t="shared" si="8"/>
        <v>195</v>
      </c>
      <c r="D197" s="229" t="s">
        <v>734</v>
      </c>
      <c r="E197" s="195" t="s">
        <v>1083</v>
      </c>
      <c r="F197" s="195" t="s">
        <v>946</v>
      </c>
      <c r="G197" s="195" t="s">
        <v>1316</v>
      </c>
      <c r="H197" s="200"/>
      <c r="K197" s="195"/>
    </row>
    <row r="198" spans="1:11" ht="15">
      <c r="A198" s="189" t="str">
        <f t="shared" si="7"/>
        <v>Cumulative Total Paid</v>
      </c>
      <c r="B198" s="191">
        <f t="shared" si="8"/>
        <v>196</v>
      </c>
      <c r="D198" s="229" t="s">
        <v>762</v>
      </c>
      <c r="E198" s="195" t="s">
        <v>1084</v>
      </c>
      <c r="F198" s="195" t="s">
        <v>947</v>
      </c>
      <c r="G198" s="195" t="s">
        <v>1317</v>
      </c>
      <c r="H198" s="200"/>
      <c r="K198" s="195"/>
    </row>
    <row r="199" spans="1:11" ht="15">
      <c r="A199" s="189" t="str">
        <f t="shared" si="7"/>
        <v>Insurance (%)</v>
      </c>
      <c r="B199" s="191">
        <f t="shared" si="8"/>
        <v>197</v>
      </c>
      <c r="D199" s="229" t="s">
        <v>802</v>
      </c>
      <c r="E199" s="195" t="s">
        <v>1085</v>
      </c>
      <c r="F199" s="195" t="s">
        <v>948</v>
      </c>
      <c r="G199" s="195" t="s">
        <v>1318</v>
      </c>
      <c r="H199" s="200"/>
      <c r="K199" s="195"/>
    </row>
    <row r="200" spans="1:11" ht="15">
      <c r="A200" s="189" t="str">
        <f t="shared" si="7"/>
        <v>Insurance (fixed amount)</v>
      </c>
      <c r="B200" s="191">
        <f t="shared" si="8"/>
        <v>198</v>
      </c>
      <c r="D200" s="229" t="s">
        <v>803</v>
      </c>
      <c r="E200" s="195" t="s">
        <v>1086</v>
      </c>
      <c r="F200" s="195" t="s">
        <v>949</v>
      </c>
      <c r="G200" s="195" t="s">
        <v>1319</v>
      </c>
      <c r="H200" s="200"/>
      <c r="K200" s="195"/>
    </row>
    <row r="201" spans="1:11" ht="15">
      <c r="A201" s="189" t="str">
        <f t="shared" si="7"/>
        <v>Insurance Paid</v>
      </c>
      <c r="B201" s="191">
        <f t="shared" si="8"/>
        <v>199</v>
      </c>
      <c r="D201" s="229" t="s">
        <v>805</v>
      </c>
      <c r="E201" s="195" t="s">
        <v>1087</v>
      </c>
      <c r="F201" s="195" t="s">
        <v>950</v>
      </c>
      <c r="G201" s="195" t="s">
        <v>1320</v>
      </c>
      <c r="H201" s="200"/>
      <c r="K201" s="195"/>
    </row>
    <row r="202" spans="1:11" ht="15">
      <c r="A202" s="189" t="str">
        <f t="shared" si="7"/>
        <v>Cashflow incl. insurance</v>
      </c>
      <c r="B202" s="191">
        <f t="shared" si="8"/>
        <v>200</v>
      </c>
      <c r="D202" s="229" t="s">
        <v>806</v>
      </c>
      <c r="E202" s="195" t="s">
        <v>1088</v>
      </c>
      <c r="F202" s="195" t="s">
        <v>951</v>
      </c>
      <c r="G202" s="195" t="s">
        <v>1321</v>
      </c>
      <c r="H202" s="200"/>
      <c r="K202" s="195"/>
    </row>
    <row r="203" spans="1:11" ht="15">
      <c r="A203" s="189" t="str">
        <f t="shared" si="7"/>
        <v>Loan Principal</v>
      </c>
      <c r="B203" s="191">
        <f t="shared" si="8"/>
        <v>201</v>
      </c>
      <c r="D203" s="229" t="s">
        <v>807</v>
      </c>
      <c r="E203" s="195" t="s">
        <v>146</v>
      </c>
      <c r="F203" s="195" t="s">
        <v>952</v>
      </c>
      <c r="G203" s="195" t="s">
        <v>146</v>
      </c>
      <c r="H203" s="200"/>
      <c r="K203" s="195"/>
    </row>
    <row r="204" spans="1:11" ht="15">
      <c r="A204" s="189" t="str">
        <f t="shared" ref="A204:A223" si="9">IF(INDEX(LangText,B204,LangCode)&lt;&gt;0,INDEX(LangText,B204,LangCode),D204)</f>
        <v>Interest</v>
      </c>
      <c r="B204" s="191">
        <f t="shared" ref="B204:B223" si="10">ROW(A204)-ROW($B$2)</f>
        <v>202</v>
      </c>
      <c r="D204" s="229" t="s">
        <v>783</v>
      </c>
      <c r="E204" s="195" t="s">
        <v>1089</v>
      </c>
      <c r="F204" s="195" t="s">
        <v>953</v>
      </c>
      <c r="G204" s="195" t="s">
        <v>1176</v>
      </c>
      <c r="H204" s="200"/>
      <c r="K204" s="195"/>
    </row>
    <row r="205" spans="1:11" ht="15">
      <c r="A205" s="189" t="str">
        <f t="shared" si="9"/>
        <v>Fees</v>
      </c>
      <c r="B205" s="191">
        <f t="shared" si="10"/>
        <v>203</v>
      </c>
      <c r="D205" s="229" t="s">
        <v>776</v>
      </c>
      <c r="E205" s="195" t="s">
        <v>1090</v>
      </c>
      <c r="F205" s="195" t="s">
        <v>954</v>
      </c>
      <c r="G205" s="195" t="s">
        <v>1322</v>
      </c>
      <c r="H205" s="200"/>
      <c r="K205" s="195"/>
    </row>
    <row r="206" spans="1:11" ht="15">
      <c r="A206" s="189" t="str">
        <f t="shared" si="9"/>
        <v>Insurance</v>
      </c>
      <c r="B206" s="191">
        <f t="shared" si="10"/>
        <v>204</v>
      </c>
      <c r="D206" s="229" t="s">
        <v>777</v>
      </c>
      <c r="E206" s="195" t="s">
        <v>1091</v>
      </c>
      <c r="F206" s="195" t="s">
        <v>955</v>
      </c>
      <c r="G206" s="195" t="s">
        <v>1091</v>
      </c>
      <c r="H206" s="200"/>
      <c r="K206" s="195"/>
    </row>
    <row r="207" spans="1:11" ht="15">
      <c r="A207" s="189" t="str">
        <f t="shared" si="9"/>
        <v>Taxes</v>
      </c>
      <c r="B207" s="191">
        <f t="shared" si="10"/>
        <v>205</v>
      </c>
      <c r="D207" s="229" t="s">
        <v>649</v>
      </c>
      <c r="E207" s="195" t="s">
        <v>1060</v>
      </c>
      <c r="F207" s="195" t="s">
        <v>649</v>
      </c>
      <c r="G207" s="195" t="s">
        <v>1297</v>
      </c>
      <c r="H207" s="200"/>
      <c r="K207" s="195"/>
    </row>
    <row r="208" spans="1:11" ht="15">
      <c r="A208" s="189" t="str">
        <f t="shared" si="9"/>
        <v>Display EIR values</v>
      </c>
      <c r="B208" s="191">
        <f t="shared" si="10"/>
        <v>206</v>
      </c>
      <c r="D208" s="229" t="s">
        <v>821</v>
      </c>
      <c r="E208" s="195" t="s">
        <v>1092</v>
      </c>
      <c r="F208" s="195" t="s">
        <v>956</v>
      </c>
      <c r="G208" s="195" t="s">
        <v>1323</v>
      </c>
      <c r="H208" s="200"/>
      <c r="K208" s="195"/>
    </row>
    <row r="209" spans="1:11" ht="60">
      <c r="A209" s="189" t="str">
        <f t="shared" si="9"/>
        <v xml:space="preserve">    Model Repayment Schedule:  This is an example of the information that an MFI should include in repayment schedules given to clients.</v>
      </c>
      <c r="B209" s="191">
        <f t="shared" si="10"/>
        <v>207</v>
      </c>
      <c r="D209" s="229" t="s">
        <v>838</v>
      </c>
      <c r="E209" s="195" t="s">
        <v>1093</v>
      </c>
      <c r="F209" s="195" t="s">
        <v>957</v>
      </c>
      <c r="G209" s="195" t="s">
        <v>1324</v>
      </c>
      <c r="H209" s="200"/>
      <c r="K209" s="195"/>
    </row>
    <row r="210" spans="1:11" ht="24">
      <c r="A210" s="189" t="str">
        <f t="shared" si="9"/>
        <v>This uses IRR with even periods</v>
      </c>
      <c r="B210" s="191">
        <f t="shared" si="10"/>
        <v>208</v>
      </c>
      <c r="D210" s="740" t="s">
        <v>736</v>
      </c>
      <c r="E210" s="195" t="s">
        <v>1094</v>
      </c>
      <c r="F210" s="195" t="s">
        <v>958</v>
      </c>
      <c r="G210" s="195" t="s">
        <v>1325</v>
      </c>
      <c r="H210" s="200"/>
      <c r="K210" s="195"/>
    </row>
    <row r="211" spans="1:11" ht="30">
      <c r="A211" s="189" t="str">
        <f t="shared" si="9"/>
        <v>This is number of periods identified on Pricing-ADV sheet</v>
      </c>
      <c r="B211" s="191">
        <f t="shared" si="10"/>
        <v>209</v>
      </c>
      <c r="D211" s="740" t="s">
        <v>1131</v>
      </c>
      <c r="E211" s="195" t="s">
        <v>1132</v>
      </c>
      <c r="F211" s="195" t="s">
        <v>1133</v>
      </c>
      <c r="G211" s="195" t="s">
        <v>1326</v>
      </c>
      <c r="H211" s="200"/>
      <c r="K211" s="195"/>
    </row>
    <row r="212" spans="1:11" ht="30">
      <c r="A212" s="189" t="str">
        <f t="shared" si="9"/>
        <v>Simple multiplication to annualize without compounding</v>
      </c>
      <c r="B212" s="191">
        <f t="shared" si="10"/>
        <v>210</v>
      </c>
      <c r="D212" s="740" t="s">
        <v>737</v>
      </c>
      <c r="E212" s="195" t="s">
        <v>1095</v>
      </c>
      <c r="F212" s="195" t="s">
        <v>959</v>
      </c>
      <c r="G212" s="195" t="s">
        <v>1327</v>
      </c>
      <c r="H212" s="200"/>
      <c r="K212" s="195"/>
    </row>
    <row r="213" spans="1:11" ht="30">
      <c r="A213" s="189" t="str">
        <f t="shared" si="9"/>
        <v>Annualize by compounding the period int rate by # of periods</v>
      </c>
      <c r="B213" s="191">
        <f t="shared" si="10"/>
        <v>211</v>
      </c>
      <c r="D213" s="740" t="s">
        <v>763</v>
      </c>
      <c r="E213" s="195" t="s">
        <v>1096</v>
      </c>
      <c r="F213" s="195" t="s">
        <v>960</v>
      </c>
      <c r="G213" s="195" t="s">
        <v>1328</v>
      </c>
      <c r="H213" s="200"/>
      <c r="K213" s="195"/>
    </row>
    <row r="214" spans="1:11" ht="15">
      <c r="A214" s="189" t="str">
        <f t="shared" si="9"/>
        <v>convert to daily rate</v>
      </c>
      <c r="B214" s="191">
        <f t="shared" si="10"/>
        <v>212</v>
      </c>
      <c r="D214" s="229" t="s">
        <v>744</v>
      </c>
      <c r="E214" s="195" t="s">
        <v>1097</v>
      </c>
      <c r="F214" s="195" t="s">
        <v>961</v>
      </c>
      <c r="G214" s="195" t="s">
        <v>1329</v>
      </c>
      <c r="H214" s="200"/>
      <c r="K214" s="195"/>
    </row>
    <row r="215" spans="1:11" ht="15">
      <c r="A215" s="189" t="str">
        <f t="shared" si="9"/>
        <v>'I' for a single day</v>
      </c>
      <c r="B215" s="191">
        <f t="shared" si="10"/>
        <v>213</v>
      </c>
      <c r="D215" s="229" t="str">
        <f>"'I' for a single day"</f>
        <v>'I' for a single day</v>
      </c>
      <c r="E215" s="195" t="s">
        <v>1098</v>
      </c>
      <c r="F215" s="195" t="s">
        <v>962</v>
      </c>
      <c r="G215" s="195" t="s">
        <v>1330</v>
      </c>
      <c r="H215" s="200"/>
      <c r="K215" s="195"/>
    </row>
    <row r="216" spans="1:11" ht="24">
      <c r="A216" s="189" t="str">
        <f t="shared" si="9"/>
        <v>annualize w/o compounding</v>
      </c>
      <c r="B216" s="191">
        <f t="shared" si="10"/>
        <v>214</v>
      </c>
      <c r="D216" s="229" t="s">
        <v>745</v>
      </c>
      <c r="E216" s="195" t="s">
        <v>1099</v>
      </c>
      <c r="F216" s="195" t="s">
        <v>963</v>
      </c>
      <c r="G216" s="195" t="s">
        <v>1331</v>
      </c>
      <c r="H216" s="200"/>
      <c r="K216" s="195"/>
    </row>
    <row r="217" spans="1:11" ht="15">
      <c r="A217" s="189" t="str">
        <f t="shared" si="9"/>
        <v>APR (365-day year)</v>
      </c>
      <c r="B217" s="191">
        <f t="shared" si="10"/>
        <v>215</v>
      </c>
      <c r="D217" s="229" t="str">
        <f>"APR ("&amp;'Rep Schedule - Advanced'!M218&amp;"-day year)"</f>
        <v>APR (365-day year)</v>
      </c>
      <c r="E217" s="195" t="str">
        <f>"APR ("&amp;'Rep Schedule - Advanced'!M218&amp;"-día año)"</f>
        <v>APR (365-día año)</v>
      </c>
      <c r="F217" s="195" t="str">
        <f>"TIA ("&amp;'Rep Schedule - Advanced'!M218&amp;"- jour an)"</f>
        <v>TIA (365- jour an)</v>
      </c>
      <c r="G217" s="195" t="s">
        <v>1332</v>
      </c>
      <c r="H217" s="200"/>
      <c r="K217" s="195"/>
    </row>
    <row r="218" spans="1:11" ht="15">
      <c r="A218" s="189" t="str">
        <f t="shared" si="9"/>
        <v>Figure used for EIR</v>
      </c>
      <c r="B218" s="191">
        <f t="shared" si="10"/>
        <v>216</v>
      </c>
      <c r="D218" s="229" t="s">
        <v>822</v>
      </c>
      <c r="E218" s="195" t="s">
        <v>1100</v>
      </c>
      <c r="F218" s="195" t="s">
        <v>964</v>
      </c>
      <c r="G218" s="195" t="s">
        <v>1333</v>
      </c>
      <c r="H218" s="200"/>
      <c r="K218" s="195"/>
    </row>
    <row r="219" spans="1:11" ht="30">
      <c r="A219" s="189" t="str">
        <f t="shared" si="9"/>
        <v>Uses the XIRR function available in Excel 2007/2010</v>
      </c>
      <c r="B219" s="191">
        <f t="shared" si="10"/>
        <v>217</v>
      </c>
      <c r="D219" s="229" t="s">
        <v>746</v>
      </c>
      <c r="E219" s="195" t="s">
        <v>1101</v>
      </c>
      <c r="F219" s="195" t="s">
        <v>942</v>
      </c>
      <c r="G219" s="195" t="s">
        <v>1334</v>
      </c>
      <c r="H219" s="200"/>
      <c r="K219" s="195"/>
    </row>
    <row r="220" spans="1:11" ht="30">
      <c r="A220" s="189" t="str">
        <f t="shared" si="9"/>
        <v>This converts from XIRR with assumed periods (n)</v>
      </c>
      <c r="B220" s="191">
        <f t="shared" si="10"/>
        <v>218</v>
      </c>
      <c r="D220" s="229" t="s">
        <v>733</v>
      </c>
      <c r="E220" s="195" t="s">
        <v>1136</v>
      </c>
      <c r="F220" s="195" t="s">
        <v>941</v>
      </c>
      <c r="G220" s="195" t="s">
        <v>1335</v>
      </c>
      <c r="H220" s="200"/>
      <c r="K220" s="195"/>
    </row>
    <row r="221" spans="1:11" ht="30">
      <c r="A221" s="189" t="str">
        <f t="shared" si="9"/>
        <v>If Excel 2007 or 2010, the XIRR figure is used for EIR</v>
      </c>
      <c r="B221" s="191">
        <f t="shared" si="10"/>
        <v>219</v>
      </c>
      <c r="D221" s="229" t="s">
        <v>682</v>
      </c>
      <c r="E221" s="195" t="s">
        <v>1080</v>
      </c>
      <c r="F221" s="195" t="s">
        <v>943</v>
      </c>
      <c r="G221" s="195" t="s">
        <v>1313</v>
      </c>
      <c r="H221" s="200"/>
      <c r="K221" s="195"/>
    </row>
    <row r="222" spans="1:11" ht="15">
      <c r="A222" s="189" t="str">
        <f t="shared" si="9"/>
        <v>Per/Mon (m)</v>
      </c>
      <c r="B222" s="191">
        <f t="shared" si="10"/>
        <v>220</v>
      </c>
      <c r="D222" s="229" t="s">
        <v>1118</v>
      </c>
      <c r="E222" s="195"/>
      <c r="F222" s="195"/>
      <c r="G222" s="195" t="s">
        <v>1336</v>
      </c>
      <c r="H222" s="200"/>
      <c r="K222" s="195"/>
    </row>
    <row r="223" spans="1:11" ht="15">
      <c r="A223" s="189" t="str">
        <f t="shared" si="9"/>
        <v>MPR (nom)</v>
      </c>
      <c r="B223" s="191">
        <f t="shared" si="10"/>
        <v>221</v>
      </c>
      <c r="D223" s="229" t="s">
        <v>1117</v>
      </c>
      <c r="E223" s="195"/>
      <c r="F223" s="195"/>
      <c r="G223" s="195" t="s">
        <v>1117</v>
      </c>
      <c r="H223" s="200"/>
      <c r="K223" s="195"/>
    </row>
    <row r="224" spans="1:11" ht="13">
      <c r="A224" s="189" t="str">
        <f t="shared" ref="A224:A263" si="11">IF(INDEX(LangText,B224,LangCode)&lt;&gt;0,INDEX(LangText,B224,LangCode),D224)</f>
        <v>"m" (periods/month)</v>
      </c>
      <c r="B224" s="191">
        <f t="shared" ref="B224:B263" si="12">ROW(A224)-ROW($B$2)</f>
        <v>222</v>
      </c>
      <c r="D224" s="500" t="s">
        <v>1123</v>
      </c>
      <c r="E224" s="195"/>
      <c r="F224" s="195"/>
      <c r="G224" s="195" t="s">
        <v>1337</v>
      </c>
      <c r="H224" s="200"/>
      <c r="K224" s="195"/>
    </row>
    <row r="225" spans="1:11" ht="13">
      <c r="A225" s="189" t="str">
        <f t="shared" si="11"/>
        <v>Figure used for APR</v>
      </c>
      <c r="B225" s="191">
        <f t="shared" si="12"/>
        <v>223</v>
      </c>
      <c r="D225" s="500" t="s">
        <v>863</v>
      </c>
      <c r="E225" s="195"/>
      <c r="F225" s="195"/>
      <c r="G225" s="195" t="s">
        <v>1333</v>
      </c>
      <c r="H225" s="200"/>
      <c r="K225" s="195"/>
    </row>
    <row r="226" spans="1:11" ht="13">
      <c r="A226" s="189" t="str">
        <f t="shared" si="11"/>
        <v>This figure is precise, but confusing</v>
      </c>
      <c r="B226" s="191">
        <f t="shared" si="12"/>
        <v>224</v>
      </c>
      <c r="D226" s="500" t="s">
        <v>1134</v>
      </c>
      <c r="E226" s="195"/>
      <c r="F226" s="195"/>
      <c r="G226" s="195" t="s">
        <v>1338</v>
      </c>
      <c r="H226" s="200"/>
      <c r="K226" s="195"/>
    </row>
    <row r="227" spans="1:11" ht="13">
      <c r="A227" s="189" t="str">
        <f t="shared" si="11"/>
        <v>MPR (exact)</v>
      </c>
      <c r="B227" s="191">
        <f t="shared" si="12"/>
        <v>225</v>
      </c>
      <c r="D227" s="500" t="s">
        <v>1135</v>
      </c>
      <c r="E227" s="195"/>
      <c r="F227" s="195"/>
      <c r="G227" s="195" t="s">
        <v>1339</v>
      </c>
      <c r="H227" s="200"/>
      <c r="K227" s="195"/>
    </row>
    <row r="228" spans="1:11" ht="30">
      <c r="A228" s="189" t="str">
        <f t="shared" si="11"/>
        <v>This converts from XIRR with assumed periods (m)</v>
      </c>
      <c r="B228" s="191">
        <f t="shared" si="12"/>
        <v>226</v>
      </c>
      <c r="D228" s="229" t="s">
        <v>1137</v>
      </c>
      <c r="E228" s="195" t="s">
        <v>1138</v>
      </c>
      <c r="F228" s="195" t="s">
        <v>1139</v>
      </c>
      <c r="G228" s="195" t="s">
        <v>1340</v>
      </c>
      <c r="H228" s="200"/>
      <c r="K228" s="195"/>
    </row>
    <row r="229" spans="1:11" ht="13">
      <c r="A229" s="189" t="str">
        <f t="shared" si="11"/>
        <v>Figure used for MPR</v>
      </c>
      <c r="B229" s="191">
        <f t="shared" si="12"/>
        <v>227</v>
      </c>
      <c r="D229" s="500" t="s">
        <v>1140</v>
      </c>
      <c r="E229" s="195"/>
      <c r="F229" s="195"/>
      <c r="G229" s="195" t="s">
        <v>1341</v>
      </c>
      <c r="H229" s="200"/>
      <c r="K229" s="195"/>
    </row>
    <row r="230" spans="1:11" ht="24">
      <c r="A230" s="189" t="str">
        <f t="shared" si="11"/>
        <v>If MANUAL mode, uses conversion from XIRR</v>
      </c>
      <c r="B230" s="191">
        <f t="shared" si="12"/>
        <v>228</v>
      </c>
      <c r="D230" s="500" t="s">
        <v>864</v>
      </c>
      <c r="E230" s="195"/>
      <c r="F230" s="195"/>
      <c r="G230" s="195" t="s">
        <v>1342</v>
      </c>
      <c r="H230" s="200"/>
      <c r="K230" s="195"/>
    </row>
    <row r="231" spans="1:11" ht="13">
      <c r="A231" s="189" t="str">
        <f t="shared" si="11"/>
        <v>MPR threshold</v>
      </c>
      <c r="B231" s="191">
        <f t="shared" si="12"/>
        <v>229</v>
      </c>
      <c r="D231" s="500" t="s">
        <v>1130</v>
      </c>
      <c r="E231" s="195"/>
      <c r="F231" s="195"/>
      <c r="G231" s="195" t="s">
        <v>1353</v>
      </c>
      <c r="H231" s="200"/>
      <c r="K231" s="195"/>
    </row>
    <row r="232" spans="1:11" ht="36">
      <c r="A232" s="189" t="str">
        <f t="shared" si="11"/>
        <v>Analytical Graphs for the data entered on the COST STRUCTURE DATA worksheet</v>
      </c>
      <c r="B232" s="191">
        <f t="shared" si="12"/>
        <v>230</v>
      </c>
      <c r="D232" s="500" t="s">
        <v>122</v>
      </c>
      <c r="E232" s="195"/>
      <c r="F232" s="195"/>
      <c r="G232" s="195" t="s">
        <v>1343</v>
      </c>
      <c r="H232" s="200"/>
      <c r="K232" s="195"/>
    </row>
    <row r="233" spans="1:11" ht="180">
      <c r="A233" s="189" t="str">
        <f t="shared" si="11"/>
        <v>This first graph displays the entire (Broad Range) of loan sizes (the x-axis) with the y-axis displaying the percentage figures for the three main cost components -- Financial Costs, Loan Loss Provision, and Operational Costs.  In most cases, the financial costs and loan loss provisions will be reasonably flat, or the same percentage regardless of loan size.  Operational Costs, however, when displayed as a percentage of ehe average outstanding loan balance, vary significantly, generally increasing dramatically as the loan size decreases.</v>
      </c>
      <c r="B233" s="191">
        <f t="shared" si="12"/>
        <v>231</v>
      </c>
      <c r="D233" s="500" t="s">
        <v>112</v>
      </c>
      <c r="E233" s="195"/>
      <c r="F233" s="195"/>
      <c r="G233" s="195" t="s">
        <v>1344</v>
      </c>
      <c r="H233" s="200"/>
      <c r="K233" s="195"/>
    </row>
    <row r="234" spans="1:11" ht="96">
      <c r="A234" s="189" t="str">
        <f t="shared" si="11"/>
        <v>This second graph displays the same information as Graph 1, but the range of loan sizes shown (the x-axis) is only the smaller loan sizes.  This graph allows you to study with more accuracy the varation of the cost components related to initial loan amount.</v>
      </c>
      <c r="B234" s="191">
        <f t="shared" si="12"/>
        <v>232</v>
      </c>
      <c r="D234" s="500" t="s">
        <v>116</v>
      </c>
      <c r="E234" s="195"/>
      <c r="F234" s="195"/>
      <c r="G234" s="195" t="s">
        <v>1345</v>
      </c>
      <c r="H234" s="200"/>
      <c r="K234" s="195"/>
    </row>
    <row r="235" spans="1:11" ht="144">
      <c r="A235" s="189" t="str">
        <f t="shared" si="11"/>
        <v>This third grah simply combines all three cost components from the first two graphs, displaying the Annual Total Cost Percentage, with the "Broad Range" of loan sizes in the x-axis.  The Total Cost Percentage could be considered the breakeven APR figure.  (Note, however, that the MFI does not have 100% of its assets in loan porfolio, so these figures would have to be adjusted accordingly.)</v>
      </c>
      <c r="B235" s="191">
        <f t="shared" si="12"/>
        <v>233</v>
      </c>
      <c r="D235" s="500" t="s">
        <v>117</v>
      </c>
      <c r="E235" s="195"/>
      <c r="F235" s="195"/>
      <c r="G235" s="195" t="s">
        <v>1346</v>
      </c>
      <c r="H235" s="200"/>
      <c r="K235" s="195"/>
    </row>
    <row r="236" spans="1:11" ht="36">
      <c r="A236" s="189" t="str">
        <f t="shared" si="11"/>
        <v>This graph displays the same information as in Graph 3, but for the smaller range of loan sizes.</v>
      </c>
      <c r="B236" s="191">
        <f t="shared" si="12"/>
        <v>234</v>
      </c>
      <c r="D236" s="500" t="s">
        <v>119</v>
      </c>
      <c r="E236" s="195"/>
      <c r="F236" s="195"/>
      <c r="G236" s="195" t="s">
        <v>1347</v>
      </c>
      <c r="H236" s="200"/>
      <c r="K236" s="195"/>
    </row>
    <row r="237" spans="1:11" ht="180">
      <c r="A237" s="189" t="str">
        <f t="shared" si="11"/>
        <v>This final graph shows the Total Annual Costs and the Total Annual Operating Costs relative to initial loan amount.  The x-axis of this graph displays the total annual cost, rather than percentage figures as in the previous graphs.  Because Financial Costs and Loan Loss Provision Expense are variable costs, they will increase nearly linearly with loan size.  Operational costs will generally be flatter, and you should expect to see a reasonably flat (lower sloped) line in this graph.</v>
      </c>
      <c r="B237" s="191">
        <f t="shared" si="12"/>
        <v>235</v>
      </c>
      <c r="D237" s="500" t="s">
        <v>121</v>
      </c>
      <c r="E237" s="195"/>
      <c r="F237" s="195"/>
      <c r="G237" s="195" t="s">
        <v>1348</v>
      </c>
      <c r="H237" s="200"/>
      <c r="K237" s="195"/>
    </row>
    <row r="238" spans="1:11" ht="13">
      <c r="A238" s="189" t="str">
        <f t="shared" si="11"/>
        <v>Profit/(Loss)</v>
      </c>
      <c r="B238" s="191">
        <f t="shared" si="12"/>
        <v>236</v>
      </c>
      <c r="D238" s="500" t="s">
        <v>1142</v>
      </c>
      <c r="E238" s="195"/>
      <c r="F238" s="195"/>
      <c r="G238" s="195" t="s">
        <v>1349</v>
      </c>
      <c r="H238" s="200"/>
      <c r="K238" s="195"/>
    </row>
    <row r="239" spans="1:11" ht="13">
      <c r="A239" s="189" t="str">
        <f t="shared" si="11"/>
        <v>Total Annual Income from loan</v>
      </c>
      <c r="B239" s="191">
        <f t="shared" si="12"/>
        <v>237</v>
      </c>
      <c r="D239" s="500" t="s">
        <v>1143</v>
      </c>
      <c r="E239" s="195"/>
      <c r="F239" s="195"/>
      <c r="G239" s="195" t="s">
        <v>1350</v>
      </c>
      <c r="H239" s="200"/>
      <c r="K239" s="195"/>
    </row>
    <row r="240" spans="1:11" ht="13">
      <c r="A240" s="189" t="str">
        <f t="shared" si="11"/>
        <v>Cannot use IRR because irregular periods</v>
      </c>
      <c r="B240" s="191">
        <f t="shared" si="12"/>
        <v>238</v>
      </c>
      <c r="D240" s="500" t="s">
        <v>1164</v>
      </c>
      <c r="E240" s="195"/>
      <c r="F240" s="195"/>
      <c r="G240" s="195"/>
      <c r="H240" s="200"/>
      <c r="K240" s="195"/>
    </row>
    <row r="241" spans="1:11" ht="84">
      <c r="A241" s="189" t="str">
        <f t="shared" si="11"/>
        <v>Bangladesh Weekly Repayment Price Calculator: the most common loan product in Bangladesh charges flat interest, but provides multiple grace periods throughout the loan term, related to holidays.  This sheet allows the price to be calculated.</v>
      </c>
      <c r="B241" s="191">
        <f t="shared" si="12"/>
        <v>239</v>
      </c>
      <c r="D241" s="500" t="s">
        <v>1370</v>
      </c>
      <c r="E241" s="195"/>
      <c r="F241" s="195"/>
      <c r="G241" s="195"/>
      <c r="H241" s="200"/>
      <c r="K241" s="195"/>
    </row>
    <row r="242" spans="1:11" ht="13">
      <c r="A242" s="189" t="str">
        <f t="shared" si="11"/>
        <v xml:space="preserve">The APR - Simple sheets are </v>
      </c>
      <c r="B242" s="191">
        <f t="shared" si="12"/>
        <v>240</v>
      </c>
      <c r="D242" s="500" t="s">
        <v>1371</v>
      </c>
      <c r="E242" s="195"/>
      <c r="F242" s="195"/>
      <c r="G242" s="195"/>
      <c r="H242" s="200"/>
      <c r="K242" s="195"/>
    </row>
    <row r="243" spans="1:11" ht="13">
      <c r="A243" s="189" t="str">
        <f t="shared" si="11"/>
        <v>hidden</v>
      </c>
      <c r="B243" s="191">
        <f t="shared" si="12"/>
        <v>241</v>
      </c>
      <c r="D243" s="500" t="s">
        <v>1372</v>
      </c>
      <c r="E243" s="195"/>
      <c r="F243" s="195"/>
      <c r="G243" s="195"/>
      <c r="H243" s="200"/>
      <c r="K243" s="195"/>
    </row>
    <row r="244" spans="1:11" ht="13">
      <c r="A244" s="189" t="str">
        <f t="shared" si="11"/>
        <v>visible</v>
      </c>
      <c r="B244" s="191">
        <f t="shared" si="12"/>
        <v>242</v>
      </c>
      <c r="D244" s="500" t="s">
        <v>1373</v>
      </c>
      <c r="E244" s="195"/>
      <c r="F244" s="195"/>
      <c r="G244" s="195"/>
      <c r="H244" s="200"/>
      <c r="K244" s="195"/>
    </row>
    <row r="245" spans="1:11" ht="13">
      <c r="A245" s="189" t="str">
        <f t="shared" si="11"/>
        <v xml:space="preserve">The APR - Advanced sheets are </v>
      </c>
      <c r="B245" s="191">
        <f t="shared" si="12"/>
        <v>243</v>
      </c>
      <c r="D245" s="500" t="s">
        <v>1374</v>
      </c>
      <c r="E245" s="195"/>
      <c r="F245" s="195"/>
      <c r="G245" s="195"/>
      <c r="H245" s="200"/>
      <c r="K245" s="195"/>
    </row>
    <row r="246" spans="1:11" ht="13">
      <c r="A246" s="189" t="str">
        <f t="shared" si="11"/>
        <v xml:space="preserve">The IRR Cash Flow sheet is </v>
      </c>
      <c r="B246" s="191">
        <f t="shared" si="12"/>
        <v>244</v>
      </c>
      <c r="D246" s="500" t="s">
        <v>1375</v>
      </c>
      <c r="E246" s="195"/>
      <c r="F246" s="195"/>
      <c r="G246" s="195"/>
      <c r="H246" s="200"/>
      <c r="K246" s="195"/>
    </row>
    <row r="247" spans="1:11" ht="13">
      <c r="A247" s="189" t="str">
        <f t="shared" si="11"/>
        <v xml:space="preserve">The Model Repay Schedule sheet is </v>
      </c>
      <c r="B247" s="191">
        <f t="shared" si="12"/>
        <v>245</v>
      </c>
      <c r="D247" s="500" t="s">
        <v>1376</v>
      </c>
      <c r="E247" s="195"/>
      <c r="F247" s="195"/>
      <c r="G247" s="195"/>
      <c r="H247" s="200"/>
      <c r="K247" s="195"/>
    </row>
    <row r="248" spans="1:11" ht="13">
      <c r="A248" s="189" t="str">
        <f t="shared" si="11"/>
        <v xml:space="preserve">The Quick Cost Curve Calculator sheet is </v>
      </c>
      <c r="B248" s="191">
        <f t="shared" si="12"/>
        <v>246</v>
      </c>
      <c r="D248" s="500" t="s">
        <v>1377</v>
      </c>
      <c r="E248" s="195"/>
      <c r="F248" s="195"/>
      <c r="G248" s="195"/>
      <c r="H248" s="200"/>
      <c r="K248" s="195"/>
    </row>
    <row r="249" spans="1:11" ht="13">
      <c r="A249" s="189" t="str">
        <f t="shared" si="11"/>
        <v xml:space="preserve">The Cost Structure sheets are </v>
      </c>
      <c r="B249" s="191">
        <f t="shared" si="12"/>
        <v>247</v>
      </c>
      <c r="D249" s="500" t="s">
        <v>1378</v>
      </c>
      <c r="E249" s="195"/>
      <c r="F249" s="195"/>
      <c r="G249" s="195"/>
      <c r="H249" s="200"/>
      <c r="K249" s="195"/>
    </row>
    <row r="250" spans="1:11" ht="13">
      <c r="A250" s="189" t="str">
        <f t="shared" si="11"/>
        <v xml:space="preserve">The Bangladesh Wk Loan sheet is </v>
      </c>
      <c r="B250" s="191">
        <f t="shared" si="12"/>
        <v>248</v>
      </c>
      <c r="D250" s="500" t="s">
        <v>1379</v>
      </c>
      <c r="E250" s="195"/>
      <c r="F250" s="195"/>
      <c r="G250" s="195"/>
      <c r="H250" s="200"/>
      <c r="K250" s="195"/>
    </row>
    <row r="251" spans="1:11" ht="13">
      <c r="A251" s="189" t="str">
        <f t="shared" si="11"/>
        <v>Customization of the Workbook</v>
      </c>
      <c r="B251" s="191">
        <f t="shared" si="12"/>
        <v>249</v>
      </c>
      <c r="D251" s="500" t="s">
        <v>1380</v>
      </c>
      <c r="E251" s="195"/>
      <c r="F251" s="195"/>
      <c r="G251" s="195"/>
      <c r="H251" s="200"/>
      <c r="K251" s="195"/>
    </row>
    <row r="252" spans="1:11" ht="84">
      <c r="A252" s="189" t="str">
        <f t="shared" si="11"/>
        <v>If you are using Windows Excel 2007/2010, or Excel for Mac 2011, enable macros on the message above, by the toolbar.  If you do not see this message, do Excel Options / Trust Center Settings / Macro Settings.  Then choose "Disable all macros with notification"</v>
      </c>
      <c r="B252" s="191">
        <f t="shared" si="12"/>
        <v>250</v>
      </c>
      <c r="D252" s="500" t="s">
        <v>1382</v>
      </c>
      <c r="E252" s="195"/>
      <c r="F252" s="195"/>
      <c r="G252" s="195"/>
      <c r="H252" s="200"/>
      <c r="K252" s="195"/>
    </row>
    <row r="253" spans="1:11" ht="60">
      <c r="A253" s="189" t="str">
        <f t="shared" si="11"/>
        <v>If you are using Windows pre-Excel 2007, do Tools / Macro / Security. Then set level to medium.  If you are using Excel for Mac pre-2011, then you are not able to use this workbook properly.</v>
      </c>
      <c r="B253" s="191">
        <f t="shared" si="12"/>
        <v>251</v>
      </c>
      <c r="D253" s="500" t="s">
        <v>1383</v>
      </c>
      <c r="E253" s="195"/>
      <c r="F253" s="195"/>
      <c r="G253" s="195"/>
      <c r="H253" s="200"/>
      <c r="K253" s="195"/>
    </row>
    <row r="254" spans="1:11" ht="13">
      <c r="A254" s="189">
        <f t="shared" si="11"/>
        <v>0</v>
      </c>
      <c r="B254" s="191">
        <f t="shared" si="12"/>
        <v>252</v>
      </c>
      <c r="E254" s="195"/>
      <c r="F254" s="195"/>
      <c r="G254" s="195"/>
      <c r="H254" s="200"/>
      <c r="K254" s="195"/>
    </row>
    <row r="255" spans="1:11" ht="13">
      <c r="A255" s="189">
        <f t="shared" si="11"/>
        <v>0</v>
      </c>
      <c r="B255" s="191">
        <f t="shared" si="12"/>
        <v>253</v>
      </c>
      <c r="E255" s="195"/>
      <c r="F255" s="195"/>
      <c r="G255" s="195"/>
      <c r="H255" s="200"/>
      <c r="K255" s="195"/>
    </row>
    <row r="256" spans="1:11" ht="13">
      <c r="A256" s="189">
        <f t="shared" si="11"/>
        <v>0</v>
      </c>
      <c r="B256" s="191">
        <f t="shared" si="12"/>
        <v>254</v>
      </c>
      <c r="E256" s="195"/>
      <c r="F256" s="195"/>
      <c r="G256" s="195"/>
      <c r="H256" s="200"/>
      <c r="K256" s="195"/>
    </row>
    <row r="257" spans="1:11" ht="13">
      <c r="A257" s="189">
        <f t="shared" si="11"/>
        <v>0</v>
      </c>
      <c r="B257" s="191">
        <f t="shared" si="12"/>
        <v>255</v>
      </c>
      <c r="E257" s="195"/>
      <c r="F257" s="195"/>
      <c r="G257" s="195"/>
      <c r="H257" s="200"/>
      <c r="K257" s="195"/>
    </row>
    <row r="258" spans="1:11" ht="13">
      <c r="A258" s="189">
        <f t="shared" si="11"/>
        <v>0</v>
      </c>
      <c r="B258" s="191">
        <f t="shared" si="12"/>
        <v>256</v>
      </c>
      <c r="E258" s="195"/>
      <c r="F258" s="195"/>
      <c r="G258" s="195"/>
      <c r="H258" s="200"/>
      <c r="K258" s="195"/>
    </row>
    <row r="259" spans="1:11" ht="13">
      <c r="A259" s="189">
        <f t="shared" si="11"/>
        <v>0</v>
      </c>
      <c r="B259" s="191">
        <f t="shared" si="12"/>
        <v>257</v>
      </c>
      <c r="E259" s="195"/>
      <c r="F259" s="195"/>
      <c r="G259" s="195"/>
      <c r="H259" s="200"/>
      <c r="K259" s="195"/>
    </row>
    <row r="260" spans="1:11" ht="13">
      <c r="A260" s="189">
        <f t="shared" si="11"/>
        <v>0</v>
      </c>
      <c r="B260" s="191">
        <f t="shared" si="12"/>
        <v>258</v>
      </c>
      <c r="E260" s="195"/>
      <c r="F260" s="195"/>
      <c r="G260" s="195"/>
      <c r="H260" s="200"/>
      <c r="K260" s="195"/>
    </row>
    <row r="261" spans="1:11" ht="13">
      <c r="A261" s="189">
        <f t="shared" si="11"/>
        <v>0</v>
      </c>
      <c r="B261" s="191">
        <f t="shared" si="12"/>
        <v>259</v>
      </c>
      <c r="E261" s="195"/>
      <c r="F261" s="195"/>
      <c r="G261" s="195"/>
      <c r="H261" s="200"/>
      <c r="K261" s="195"/>
    </row>
    <row r="262" spans="1:11" ht="13">
      <c r="A262" s="189">
        <f t="shared" si="11"/>
        <v>0</v>
      </c>
      <c r="B262" s="191">
        <f t="shared" si="12"/>
        <v>260</v>
      </c>
      <c r="E262" s="195"/>
      <c r="F262" s="195"/>
      <c r="G262" s="195"/>
      <c r="H262" s="200"/>
      <c r="K262" s="195"/>
    </row>
    <row r="263" spans="1:11" ht="13">
      <c r="A263" s="189">
        <f t="shared" si="11"/>
        <v>0</v>
      </c>
      <c r="B263" s="191">
        <f t="shared" si="12"/>
        <v>261</v>
      </c>
      <c r="E263" s="195"/>
      <c r="F263" s="195"/>
      <c r="G263" s="195"/>
      <c r="H263" s="200"/>
      <c r="K263" s="195"/>
    </row>
    <row r="264" spans="1:11" ht="13">
      <c r="A264" s="189">
        <f>IF(INDEX(LangText,B264,LangCode)&lt;&gt;0,INDEX(LangText,B264,LangCode),D264)</f>
        <v>0</v>
      </c>
      <c r="B264" s="191">
        <f>ROW(A264)-ROW($B$2)</f>
        <v>262</v>
      </c>
      <c r="E264" s="195"/>
      <c r="F264" s="195"/>
      <c r="G264" s="195"/>
      <c r="H264" s="200"/>
      <c r="K264" s="195"/>
    </row>
    <row r="265" spans="1:11" s="190" customFormat="1">
      <c r="A265" s="196"/>
      <c r="B265" s="193"/>
      <c r="C265" s="196"/>
      <c r="D265" s="743"/>
      <c r="E265" s="196"/>
      <c r="F265" s="196"/>
      <c r="G265" s="196"/>
      <c r="H265" s="196"/>
      <c r="K265" s="196"/>
    </row>
  </sheetData>
  <sheetProtection password="DE0E" sheet="1" objects="1" scenarios="1" formatColumns="0"/>
  <phoneticPr fontId="6" type="noConversion"/>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RefSheet"/>
  <dimension ref="C7:K50"/>
  <sheetViews>
    <sheetView zoomScale="125" zoomScaleNormal="125" zoomScalePageLayoutView="125" workbookViewId="0">
      <selection activeCell="H40" sqref="H40"/>
    </sheetView>
  </sheetViews>
  <sheetFormatPr baseColWidth="10" defaultColWidth="8.796875" defaultRowHeight="12"/>
  <cols>
    <col min="3" max="3" width="13.796875" customWidth="1"/>
  </cols>
  <sheetData>
    <row r="7" spans="3:4">
      <c r="C7" t="s">
        <v>239</v>
      </c>
      <c r="D7" s="188">
        <v>1</v>
      </c>
    </row>
    <row r="8" spans="3:4">
      <c r="C8" t="s">
        <v>258</v>
      </c>
      <c r="D8" s="188" t="b">
        <v>0</v>
      </c>
    </row>
    <row r="9" spans="3:4">
      <c r="C9" t="s">
        <v>263</v>
      </c>
      <c r="D9" s="218" t="s">
        <v>599</v>
      </c>
    </row>
    <row r="11" spans="3:4">
      <c r="C11" t="s">
        <v>265</v>
      </c>
      <c r="D11" s="225">
        <v>2.2200000000000002</v>
      </c>
    </row>
    <row r="12" spans="3:4">
      <c r="C12" t="s">
        <v>266</v>
      </c>
      <c r="D12" s="226">
        <v>40973</v>
      </c>
    </row>
    <row r="13" spans="3:4">
      <c r="C13" t="s">
        <v>267</v>
      </c>
      <c r="D13" s="225"/>
    </row>
    <row r="14" spans="3:4">
      <c r="C14" t="s">
        <v>1156</v>
      </c>
      <c r="D14" s="823" t="s">
        <v>1157</v>
      </c>
    </row>
    <row r="15" spans="3:4">
      <c r="C15" t="s">
        <v>1155</v>
      </c>
      <c r="D15" s="225">
        <v>14.1</v>
      </c>
    </row>
    <row r="16" spans="3:4">
      <c r="C16" t="s">
        <v>436</v>
      </c>
      <c r="D16" s="540">
        <v>410</v>
      </c>
    </row>
    <row r="18" spans="3:11">
      <c r="C18" t="s">
        <v>429</v>
      </c>
      <c r="D18" s="225" t="b">
        <v>0</v>
      </c>
      <c r="K18">
        <v>285000</v>
      </c>
    </row>
    <row r="19" spans="3:11">
      <c r="C19" t="s">
        <v>430</v>
      </c>
      <c r="D19" s="225" t="s">
        <v>599</v>
      </c>
      <c r="K19">
        <f>K18/4</f>
        <v>71250</v>
      </c>
    </row>
    <row r="20" spans="3:11">
      <c r="C20" t="s">
        <v>431</v>
      </c>
      <c r="D20" s="225" t="b">
        <v>0</v>
      </c>
    </row>
    <row r="21" spans="3:11">
      <c r="C21" t="s">
        <v>432</v>
      </c>
      <c r="D21" s="225" t="b">
        <v>0</v>
      </c>
    </row>
    <row r="22" spans="3:11">
      <c r="C22" t="s">
        <v>433</v>
      </c>
      <c r="D22" s="225" t="b">
        <v>1</v>
      </c>
    </row>
    <row r="23" spans="3:11">
      <c r="C23" t="s">
        <v>434</v>
      </c>
      <c r="D23" s="225" t="b">
        <v>1</v>
      </c>
    </row>
    <row r="25" spans="3:11">
      <c r="C25" t="s">
        <v>679</v>
      </c>
      <c r="D25" t="b">
        <f>IF(ExcelVersion&gt;=12,TRUE,FALSE)</f>
        <v>1</v>
      </c>
      <c r="E25" s="3" t="s">
        <v>1162</v>
      </c>
    </row>
    <row r="28" spans="3:11">
      <c r="C28" t="s">
        <v>210</v>
      </c>
    </row>
    <row r="29" spans="3:11">
      <c r="C29" t="s">
        <v>268</v>
      </c>
    </row>
    <row r="30" spans="3:11">
      <c r="C30" t="s">
        <v>545</v>
      </c>
    </row>
    <row r="31" spans="3:11">
      <c r="C31" t="s">
        <v>1169</v>
      </c>
    </row>
    <row r="32" spans="3:11">
      <c r="C32" t="s">
        <v>269</v>
      </c>
    </row>
    <row r="35" spans="3:5">
      <c r="C35" t="s">
        <v>719</v>
      </c>
      <c r="E35" t="s">
        <v>832</v>
      </c>
    </row>
    <row r="36" spans="3:5" ht="13" thickBot="1">
      <c r="E36" s="225">
        <v>2</v>
      </c>
    </row>
    <row r="37" spans="3:5" ht="13" thickBot="1">
      <c r="C37" s="664" t="s">
        <v>815</v>
      </c>
      <c r="D37" s="664" t="s">
        <v>715</v>
      </c>
      <c r="E37" s="562" t="str">
        <f>INDEX(C37:D49,E36,2)</f>
        <v>$</v>
      </c>
    </row>
    <row r="38" spans="3:5">
      <c r="C38" s="664" t="s">
        <v>816</v>
      </c>
      <c r="D38" s="664" t="s">
        <v>713</v>
      </c>
      <c r="E38" t="str">
        <f>INDEX(C37:D49,E36,1)</f>
        <v>US$</v>
      </c>
    </row>
    <row r="39" spans="3:5">
      <c r="C39" s="664" t="s">
        <v>817</v>
      </c>
      <c r="D39" s="664" t="s">
        <v>716</v>
      </c>
    </row>
    <row r="40" spans="3:5">
      <c r="C40" s="664" t="s">
        <v>717</v>
      </c>
      <c r="D40" s="664" t="s">
        <v>831</v>
      </c>
    </row>
    <row r="41" spans="3:5">
      <c r="C41" s="664" t="s">
        <v>718</v>
      </c>
      <c r="D41" s="664" t="s">
        <v>718</v>
      </c>
    </row>
    <row r="42" spans="3:5">
      <c r="C42" s="664" t="s">
        <v>722</v>
      </c>
      <c r="D42" s="664" t="str">
        <f>"K\S\H"</f>
        <v>K\S\H</v>
      </c>
    </row>
    <row r="43" spans="3:5">
      <c r="C43" s="664" t="s">
        <v>797</v>
      </c>
      <c r="D43" s="664" t="s">
        <v>796</v>
      </c>
    </row>
    <row r="44" spans="3:5">
      <c r="C44" s="664" t="s">
        <v>814</v>
      </c>
      <c r="D44" s="664" t="s">
        <v>796</v>
      </c>
    </row>
    <row r="45" spans="3:5">
      <c r="C45" s="664" t="s">
        <v>846</v>
      </c>
      <c r="D45" s="664" t="s">
        <v>847</v>
      </c>
    </row>
    <row r="46" spans="3:5">
      <c r="C46" s="664" t="s">
        <v>714</v>
      </c>
      <c r="D46" s="664" t="s">
        <v>723</v>
      </c>
    </row>
    <row r="47" spans="3:5">
      <c r="C47" t="str">
        <f>Introduction!N5</f>
        <v>Peso</v>
      </c>
      <c r="D47" t="str">
        <f>Introduction!O5</f>
        <v>P</v>
      </c>
    </row>
    <row r="48" spans="3:5">
      <c r="C48" t="str">
        <f>Introduction!N6</f>
        <v>TZS</v>
      </c>
      <c r="D48" t="str">
        <f>Introduction!O6</f>
        <v xml:space="preserve">T\Z\S\ </v>
      </c>
    </row>
    <row r="49" spans="3:4">
      <c r="C49">
        <f>Introduction!N7</f>
        <v>0</v>
      </c>
      <c r="D49">
        <f>Introduction!O7</f>
        <v>0</v>
      </c>
    </row>
    <row r="50" spans="3:4">
      <c r="C50" s="3" t="s">
        <v>720</v>
      </c>
    </row>
  </sheetData>
  <sheetProtection password="DE0E" sheet="1" objects="1" scenarios="1" formatColumns="0"/>
  <phoneticPr fontId="6" type="noConversion"/>
  <pageMargins left="0.7" right="0.7" top="0.75" bottom="0.75" header="0.3" footer="0.3"/>
  <pageSetup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837057" r:id="rId3" name="Button 1">
              <controlPr defaultSize="0" print="0" autoFill="0" autoPict="0" macro="[0]!disablevents">
                <anchor moveWithCells="1" sizeWithCells="1">
                  <from>
                    <xdr:col>6</xdr:col>
                    <xdr:colOff>190500</xdr:colOff>
                    <xdr:row>2</xdr:row>
                    <xdr:rowOff>76200</xdr:rowOff>
                  </from>
                  <to>
                    <xdr:col>8</xdr:col>
                    <xdr:colOff>279400</xdr:colOff>
                    <xdr:row>3</xdr:row>
                    <xdr:rowOff>101600</xdr:rowOff>
                  </to>
                </anchor>
              </controlPr>
            </control>
          </mc:Choice>
        </mc:AlternateContent>
        <mc:AlternateContent xmlns:mc="http://schemas.openxmlformats.org/markup-compatibility/2006">
          <mc:Choice Requires="x14">
            <control shapeId="1837058" r:id="rId4" name="Button 2">
              <controlPr defaultSize="0" print="0" autoFill="0" autoPict="0" macro="[0]!enablevents">
                <anchor moveWithCells="1" sizeWithCells="1">
                  <from>
                    <xdr:col>6</xdr:col>
                    <xdr:colOff>215900</xdr:colOff>
                    <xdr:row>4</xdr:row>
                    <xdr:rowOff>63500</xdr:rowOff>
                  </from>
                  <to>
                    <xdr:col>8</xdr:col>
                    <xdr:colOff>342900</xdr:colOff>
                    <xdr:row>5</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15</vt:i4>
      </vt:variant>
      <vt:variant>
        <vt:lpstr>Named Ranges</vt:lpstr>
      </vt:variant>
      <vt:variant>
        <vt:i4>195</vt:i4>
      </vt:variant>
    </vt:vector>
  </HeadingPairs>
  <TitlesOfParts>
    <vt:vector size="210" baseType="lpstr">
      <vt:lpstr>Introduction</vt:lpstr>
      <vt:lpstr>Pricing - Basic</vt:lpstr>
      <vt:lpstr>Rep Schedule - Basic</vt:lpstr>
      <vt:lpstr>Pricing - Advanced</vt:lpstr>
      <vt:lpstr>Rep Schedule - Advanced</vt:lpstr>
      <vt:lpstr>IRR Flow</vt:lpstr>
      <vt:lpstr>Model Repay Schedule</vt:lpstr>
      <vt:lpstr>Quick Cost Curve Calculator</vt:lpstr>
      <vt:lpstr>Cost Structure Data</vt:lpstr>
      <vt:lpstr>Graphs</vt:lpstr>
      <vt:lpstr>MFI Breakeven Point</vt:lpstr>
      <vt:lpstr>Bangladesh Wk Loan</vt:lpstr>
      <vt:lpstr>Client Cost HIDE</vt:lpstr>
      <vt:lpstr>Translations</vt:lpstr>
      <vt:lpstr>References</vt:lpstr>
      <vt:lpstr>AfterHide</vt:lpstr>
      <vt:lpstr>'Bangladesh Wk Loan'!all_cols</vt:lpstr>
      <vt:lpstr>'Rep Schedule - Advanced'!all_cols</vt:lpstr>
      <vt:lpstr>'Rep Schedule - Basic'!all_cols</vt:lpstr>
      <vt:lpstr>Amort</vt:lpstr>
      <vt:lpstr>'Bangladesh Wk Loan'!amortized</vt:lpstr>
      <vt:lpstr>'Client Cost HIDE'!amortized</vt:lpstr>
      <vt:lpstr>'Pricing - Advanced'!amortized</vt:lpstr>
      <vt:lpstr>'Rep Schedule - Advanced'!amortized</vt:lpstr>
      <vt:lpstr>'Rep Schedule - Basic'!amortized</vt:lpstr>
      <vt:lpstr>'Rep Schedule - Advanced'!auto_first</vt:lpstr>
      <vt:lpstr>'Rep Schedule - Basic'!auto_first</vt:lpstr>
      <vt:lpstr>'Bangladesh Wk Loan'!auto_width</vt:lpstr>
      <vt:lpstr>'Rep Schedule - Advanced'!auto_width</vt:lpstr>
      <vt:lpstr>'Rep Schedule - Basic'!auto_width</vt:lpstr>
      <vt:lpstr>'Bangladesh Wk Loan'!AutoWidthRange</vt:lpstr>
      <vt:lpstr>'Rep Schedule - Advanced'!AutoWidthRange</vt:lpstr>
      <vt:lpstr>'Rep Schedule - Basic'!AutoWidthRange</vt:lpstr>
      <vt:lpstr>'Pricing - Advanced'!autozoom</vt:lpstr>
      <vt:lpstr>'Pricing - Basic'!autozoom</vt:lpstr>
      <vt:lpstr>BetaVersion</vt:lpstr>
      <vt:lpstr>CapGrace</vt:lpstr>
      <vt:lpstr>ClientCost</vt:lpstr>
      <vt:lpstr>ConfigureSheets</vt:lpstr>
      <vt:lpstr>'Client Cost HIDE'!cost_1</vt:lpstr>
      <vt:lpstr>cost_1</vt:lpstr>
      <vt:lpstr>cost_10</vt:lpstr>
      <vt:lpstr>'Client Cost HIDE'!cost_11</vt:lpstr>
      <vt:lpstr>cost_11</vt:lpstr>
      <vt:lpstr>'Client Cost HIDE'!cost_12</vt:lpstr>
      <vt:lpstr>'Client Cost HIDE'!cost_13</vt:lpstr>
      <vt:lpstr>cost_13</vt:lpstr>
      <vt:lpstr>'Client Cost HIDE'!cost_14</vt:lpstr>
      <vt:lpstr>cost_14</vt:lpstr>
      <vt:lpstr>cost_15</vt:lpstr>
      <vt:lpstr>'Client Cost HIDE'!cost_16</vt:lpstr>
      <vt:lpstr>cost_16</vt:lpstr>
      <vt:lpstr>'Client Cost HIDE'!cost_17</vt:lpstr>
      <vt:lpstr>cost_17</vt:lpstr>
      <vt:lpstr>'Client Cost HIDE'!cost_18</vt:lpstr>
      <vt:lpstr>cost_18</vt:lpstr>
      <vt:lpstr>cost_19</vt:lpstr>
      <vt:lpstr>cost_2</vt:lpstr>
      <vt:lpstr>cost_20</vt:lpstr>
      <vt:lpstr>cost_21</vt:lpstr>
      <vt:lpstr>cost_22</vt:lpstr>
      <vt:lpstr>cost_23</vt:lpstr>
      <vt:lpstr>cost_24</vt:lpstr>
      <vt:lpstr>cost_25</vt:lpstr>
      <vt:lpstr>cost_3</vt:lpstr>
      <vt:lpstr>cost_4</vt:lpstr>
      <vt:lpstr>cost_40</vt:lpstr>
      <vt:lpstr>cost_41</vt:lpstr>
      <vt:lpstr>cost_5</vt:lpstr>
      <vt:lpstr>'Client Cost HIDE'!cost_6</vt:lpstr>
      <vt:lpstr>cost_6</vt:lpstr>
      <vt:lpstr>'Client Cost HIDE'!cost_7</vt:lpstr>
      <vt:lpstr>cost_7</vt:lpstr>
      <vt:lpstr>'Client Cost HIDE'!cost_8</vt:lpstr>
      <vt:lpstr>cost_8</vt:lpstr>
      <vt:lpstr>'Client Cost HIDE'!cost_9</vt:lpstr>
      <vt:lpstr>cost_9</vt:lpstr>
      <vt:lpstr>Cost1</vt:lpstr>
      <vt:lpstr>Cost10</vt:lpstr>
      <vt:lpstr>Cost2</vt:lpstr>
      <vt:lpstr>Cost3</vt:lpstr>
      <vt:lpstr>Cost4</vt:lpstr>
      <vt:lpstr>Cost5</vt:lpstr>
      <vt:lpstr>Cost6</vt:lpstr>
      <vt:lpstr>Cost7</vt:lpstr>
      <vt:lpstr>Cost8</vt:lpstr>
      <vt:lpstr>CurrSymbol</vt:lpstr>
      <vt:lpstr>'Bangladesh Wk Loan'!DaysPeriod</vt:lpstr>
      <vt:lpstr>DaysPeriod</vt:lpstr>
      <vt:lpstr>DaysYr</vt:lpstr>
      <vt:lpstr>DebugVBA</vt:lpstr>
      <vt:lpstr>DevMode</vt:lpstr>
      <vt:lpstr>DevOk</vt:lpstr>
      <vt:lpstr>DevShowCols</vt:lpstr>
      <vt:lpstr>DevShowRows</vt:lpstr>
      <vt:lpstr>DiscountType</vt:lpstr>
      <vt:lpstr>EU_APR</vt:lpstr>
      <vt:lpstr>EU_APR1</vt:lpstr>
      <vt:lpstr>EU_APR2</vt:lpstr>
      <vt:lpstr>EU_APR3</vt:lpstr>
      <vt:lpstr>ExactDays</vt:lpstr>
      <vt:lpstr>ExcelBuild</vt:lpstr>
      <vt:lpstr>ExcelVersion</vt:lpstr>
      <vt:lpstr>FeeOngoFix</vt:lpstr>
      <vt:lpstr>FeeOngoPerc</vt:lpstr>
      <vt:lpstr>FirstPmt</vt:lpstr>
      <vt:lpstr>FullTerm</vt:lpstr>
      <vt:lpstr>GraphHideRows</vt:lpstr>
      <vt:lpstr>'Bangladesh Wk Loan'!hide_cols</vt:lpstr>
      <vt:lpstr>hide_cols</vt:lpstr>
      <vt:lpstr>'Client Cost HIDE'!hide_rows</vt:lpstr>
      <vt:lpstr>'Rep Schedule - Advanced'!hide_rows</vt:lpstr>
      <vt:lpstr>'Rep Schedule - Basic'!hide_rows</vt:lpstr>
      <vt:lpstr>'Bangladesh Wk Loan'!HideRows</vt:lpstr>
      <vt:lpstr>'Client Cost HIDE'!HideRows</vt:lpstr>
      <vt:lpstr>'Rep Schedule - Basic'!HideRows</vt:lpstr>
      <vt:lpstr>HideRows</vt:lpstr>
      <vt:lpstr>HideSchedRows</vt:lpstr>
      <vt:lpstr>HolGrace</vt:lpstr>
      <vt:lpstr>Holidays</vt:lpstr>
      <vt:lpstr>'Bangladesh Wk Loan'!indexing</vt:lpstr>
      <vt:lpstr>'Client Cost HIDE'!indexing</vt:lpstr>
      <vt:lpstr>'Rep Schedule - Advanced'!indexing</vt:lpstr>
      <vt:lpstr>'Rep Schedule - Basic'!indexing</vt:lpstr>
      <vt:lpstr>inst_period</vt:lpstr>
      <vt:lpstr>'Bangladesh Wk Loan'!int_method</vt:lpstr>
      <vt:lpstr>'Client Cost HIDE'!int_method</vt:lpstr>
      <vt:lpstr>'Rep Schedule - Advanced'!int_method</vt:lpstr>
      <vt:lpstr>'Rep Schedule - Basic'!int_method</vt:lpstr>
      <vt:lpstr>int_method</vt:lpstr>
      <vt:lpstr>IntCalcMon</vt:lpstr>
      <vt:lpstr>IntPmt</vt:lpstr>
      <vt:lpstr>IntPmtMon</vt:lpstr>
      <vt:lpstr>IrregularSched</vt:lpstr>
      <vt:lpstr>LangCode</vt:lpstr>
      <vt:lpstr>LangText</vt:lpstr>
      <vt:lpstr>LblOk</vt:lpstr>
      <vt:lpstr>'Client Cost HIDE'!LOAN_AMT</vt:lpstr>
      <vt:lpstr>'Rep Schedule - Basic'!LOAN_AMT</vt:lpstr>
      <vt:lpstr>'Bangladesh Wk Loan'!LoanAmt</vt:lpstr>
      <vt:lpstr>LoanAmt</vt:lpstr>
      <vt:lpstr>'Client Cost HIDE'!LoanTerm</vt:lpstr>
      <vt:lpstr>'Pricing - Basic'!LoanTerm</vt:lpstr>
      <vt:lpstr>'Rep Schedule - Basic'!LoanTerm</vt:lpstr>
      <vt:lpstr>LoanTerm</vt:lpstr>
      <vt:lpstr>MacrosEnab</vt:lpstr>
      <vt:lpstr>ManualDates</vt:lpstr>
      <vt:lpstr>ManualMode</vt:lpstr>
      <vt:lpstr>NetDiff</vt:lpstr>
      <vt:lpstr>NetDiff1</vt:lpstr>
      <vt:lpstr>NetDiff2</vt:lpstr>
      <vt:lpstr>NetDiff3</vt:lpstr>
      <vt:lpstr>OpSystem</vt:lpstr>
      <vt:lpstr>PaymentAmt</vt:lpstr>
      <vt:lpstr>PeriodsYr</vt:lpstr>
      <vt:lpstr>PrepayPeriod</vt:lpstr>
      <vt:lpstr>'Bangladesh Wk Loan'!print_all</vt:lpstr>
      <vt:lpstr>'Client Cost HIDE'!print_all</vt:lpstr>
      <vt:lpstr>'Rep Schedule - Advanced'!print_all</vt:lpstr>
      <vt:lpstr>'Rep Schedule - Basic'!print_all</vt:lpstr>
      <vt:lpstr>'Bangladesh Wk Loan'!Print_Area</vt:lpstr>
      <vt:lpstr>'Client Cost HIDE'!Print_Area</vt:lpstr>
      <vt:lpstr>'Rep Schedule - Advanced'!Print_Area</vt:lpstr>
      <vt:lpstr>'Rep Schedule - Basic'!Print_Area</vt:lpstr>
      <vt:lpstr>'Bangladesh Wk Loan'!Print_Titles</vt:lpstr>
      <vt:lpstr>'Rep Schedule - Advanced'!Print_Titles</vt:lpstr>
      <vt:lpstr>'Rep Schedule - Basic'!Print_Titles</vt:lpstr>
      <vt:lpstr>'Bangladesh Wk Loan'!repsched</vt:lpstr>
      <vt:lpstr>'Client Cost HIDE'!repsched</vt:lpstr>
      <vt:lpstr>'Rep Schedule - Basic'!repsched</vt:lpstr>
      <vt:lpstr>repsched</vt:lpstr>
      <vt:lpstr>SameDay</vt:lpstr>
      <vt:lpstr>SchedTop</vt:lpstr>
      <vt:lpstr>'Client Cost HIDE'!SeedIRR</vt:lpstr>
      <vt:lpstr>'Pricing - Basic'!SeedIRR</vt:lpstr>
      <vt:lpstr>'Rep Schedule - Basic'!SeedIRR</vt:lpstr>
      <vt:lpstr>SeedIRR</vt:lpstr>
      <vt:lpstr>'Bangladesh Wk Loan'!sheet_id</vt:lpstr>
      <vt:lpstr>'Client Cost HIDE'!sheet_id</vt:lpstr>
      <vt:lpstr>'Rep Schedule - Basic'!sheet_id</vt:lpstr>
      <vt:lpstr>ShowAdvanced</vt:lpstr>
      <vt:lpstr>ShowBasic</vt:lpstr>
      <vt:lpstr>ShowBdesh</vt:lpstr>
      <vt:lpstr>ShowCostStruc</vt:lpstr>
      <vt:lpstr>ShowEIR</vt:lpstr>
      <vt:lpstr>ShowIRRFlow</vt:lpstr>
      <vt:lpstr>ShowModelSched</vt:lpstr>
      <vt:lpstr>ShowQuickCurve</vt:lpstr>
      <vt:lpstr>'Client Cost HIDE'!term</vt:lpstr>
      <vt:lpstr>'Pricing - Basic'!term</vt:lpstr>
      <vt:lpstr>'Rep Schedule - Basic'!term</vt:lpstr>
      <vt:lpstr>term</vt:lpstr>
      <vt:lpstr>TermMonths</vt:lpstr>
      <vt:lpstr>TestLabel</vt:lpstr>
      <vt:lpstr>'Bangladesh Wk Loan'!top</vt:lpstr>
      <vt:lpstr>'Client Cost HIDE'!top</vt:lpstr>
      <vt:lpstr>'Rep Schedule - Basic'!top</vt:lpstr>
      <vt:lpstr>TopLeft</vt:lpstr>
      <vt:lpstr>TranHidden</vt:lpstr>
      <vt:lpstr>TranVisible</vt:lpstr>
      <vt:lpstr>UseManualCalcs</vt:lpstr>
      <vt:lpstr>UserDate</vt:lpstr>
      <vt:lpstr>UserFees</vt:lpstr>
      <vt:lpstr>UserIns</vt:lpstr>
      <vt:lpstr>UserInt</vt:lpstr>
      <vt:lpstr>UserPrin</vt:lpstr>
      <vt:lpstr>UserSec</vt:lpstr>
      <vt:lpstr>UserTax</vt:lpstr>
      <vt:lpstr>UseXIRR</vt:lpstr>
      <vt:lpstr>ZoomCostCl</vt:lpstr>
    </vt:vector>
  </TitlesOfParts>
  <Company>MFI Solutions,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Business Planning Model for MFIs</dc:title>
  <dc:creator>Charles Waterfield</dc:creator>
  <cp:keywords>microfinance, projections, business planning</cp:keywords>
  <cp:lastModifiedBy>Microsoft Office User</cp:lastModifiedBy>
  <cp:lastPrinted>2009-04-09T18:00:26Z</cp:lastPrinted>
  <dcterms:created xsi:type="dcterms:W3CDTF">1998-11-16T04:08:22Z</dcterms:created>
  <dcterms:modified xsi:type="dcterms:W3CDTF">2018-05-03T03:52:18Z</dcterms:modified>
</cp:coreProperties>
</file>